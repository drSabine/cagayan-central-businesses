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Files WADAS\AARS\22-Jayson\AARS\2024\Region 2\Abulug_Cagayan_AAR2024\AAR\"/>
    </mc:Choice>
  </mc:AlternateContent>
  <bookViews>
    <workbookView xWindow="0" yWindow="0" windowWidth="23040" windowHeight="9072" tabRatio="922"/>
  </bookViews>
  <sheets>
    <sheet name="Position" sheetId="2" r:id="rId1"/>
    <sheet name="Performance" sheetId="3" r:id="rId2"/>
    <sheet name="Changes" sheetId="6" r:id="rId3"/>
    <sheet name="Cash Flows" sheetId="4" r:id="rId4"/>
    <sheet name="SCBAA" sheetId="9" r:id="rId5"/>
    <sheet name="Sheet1" sheetId="8" state="hidden" r:id="rId6"/>
  </sheets>
  <definedNames>
    <definedName name="_xlnm.Print_Area" localSheetId="3">'Cash Flows'!$A$1:$F$40</definedName>
    <definedName name="_xlnm.Print_Area" localSheetId="2">Changes!$A$1:$E$16</definedName>
    <definedName name="_xlnm.Print_Area" localSheetId="0">Position!$A$1:$G$46</definedName>
    <definedName name="_xlnm.Print_Titles" localSheetId="4">SCBAA!$7:$8</definedName>
  </definedNames>
  <calcPr calcId="162913"/>
</workbook>
</file>

<file path=xl/calcChain.xml><?xml version="1.0" encoding="utf-8"?>
<calcChain xmlns="http://schemas.openxmlformats.org/spreadsheetml/2006/main">
  <c r="K17" i="8" l="1"/>
  <c r="J17" i="8"/>
  <c r="I17" i="8"/>
  <c r="I19" i="8" l="1"/>
  <c r="I18" i="8"/>
  <c r="H17" i="8"/>
  <c r="F19" i="8" s="1"/>
  <c r="G17" i="8"/>
  <c r="F18" i="8" s="1"/>
  <c r="F17" i="8"/>
  <c r="E17" i="8"/>
  <c r="C19" i="8" s="1"/>
  <c r="D17" i="8"/>
  <c r="C18" i="8" s="1"/>
  <c r="C17" i="8"/>
</calcChain>
</file>

<file path=xl/sharedStrings.xml><?xml version="1.0" encoding="utf-8"?>
<sst xmlns="http://schemas.openxmlformats.org/spreadsheetml/2006/main" count="226" uniqueCount="170">
  <si>
    <t>ASSETS</t>
  </si>
  <si>
    <t>Note</t>
  </si>
  <si>
    <t>Current Assets</t>
  </si>
  <si>
    <t>Cash and Cash Equivalents</t>
  </si>
  <si>
    <t>Receivables</t>
  </si>
  <si>
    <t>Total Current Assets</t>
  </si>
  <si>
    <t>Non-Current Assets</t>
  </si>
  <si>
    <t>Property, Plant and Equipment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</si>
  <si>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</si>
  <si>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</si>
  <si>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</si>
  <si>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</si>
  <si>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</si>
  <si>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</si>
  <si>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Deferred Credits/Unearned Income</t>
  </si>
  <si>
    <t>Total Current Liabilites</t>
  </si>
  <si>
    <t>Non-Current Liabilities</t>
  </si>
  <si>
    <t>Other Payables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</si>
  <si>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</si>
  <si>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</si>
  <si>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</si>
  <si>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</si>
  <si>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</si>
  <si>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 xml:space="preserve">Revenue </t>
  </si>
  <si>
    <t>Tax Revenue</t>
  </si>
  <si>
    <t>Share from Internal Revenue Collections</t>
  </si>
  <si>
    <t>Other Share from National Taxes</t>
  </si>
  <si>
    <t>Service and Business Income</t>
  </si>
  <si>
    <t>Shares, Grants and Donations</t>
  </si>
  <si>
    <t>Total Revenue</t>
  </si>
  <si>
    <t>Less: Current Operating Expenses</t>
  </si>
  <si>
    <t>Maintenance and Other Operating Expenses</t>
  </si>
  <si>
    <t>Non-cash Expenses</t>
  </si>
  <si>
    <t>Financial Expenses</t>
  </si>
  <si>
    <t>Current Operating Expenses</t>
  </si>
  <si>
    <t>Surplus (Deficit) from Current Operation</t>
  </si>
  <si>
    <t>Add (Deduct):</t>
  </si>
  <si>
    <t>Transfers, Assistance and Subsidy From</t>
  </si>
  <si>
    <t>Transfers, Assistance and Subsidy To</t>
  </si>
  <si>
    <t>Surplus (Deficit) for the period</t>
  </si>
  <si>
    <t>Province of Cagayan</t>
  </si>
  <si>
    <t>Cash Flows from Operating Activities</t>
  </si>
  <si>
    <t>Collection from taxpayers</t>
  </si>
  <si>
    <t>Share from Internal Revenue Allotment</t>
  </si>
  <si>
    <t>Other Receipts</t>
  </si>
  <si>
    <t>Total Cash Inflows</t>
  </si>
  <si>
    <t>Payment of expenses</t>
  </si>
  <si>
    <t>Payments to suppliers and  creditors</t>
  </si>
  <si>
    <t>Payments to employees</t>
  </si>
  <si>
    <t>Other Expenses</t>
  </si>
  <si>
    <t>Total Cash Outflows</t>
  </si>
  <si>
    <t>Net Cash Flows from Operating Activities</t>
  </si>
  <si>
    <t>Cash Flows from Investing Activities</t>
  </si>
  <si>
    <t>Purchase/Construction of Property, Plant and Equipment</t>
  </si>
  <si>
    <t>Net Cash Flows from Investing Activities</t>
  </si>
  <si>
    <t>Cash Flows from Financing  Activities</t>
  </si>
  <si>
    <t>Net Cash Flows from Financing Activities</t>
  </si>
  <si>
    <t>Add: Cash at the Beginning of the year</t>
  </si>
  <si>
    <t>Cash Balance at the End of the Year</t>
  </si>
  <si>
    <t>Consolidated Statement of Changes in Net Assets/Equity</t>
  </si>
  <si>
    <t>Add (Deduct)</t>
  </si>
  <si>
    <t>Change in Accounting Policy</t>
  </si>
  <si>
    <t>Prior Period Errors</t>
  </si>
  <si>
    <t>Restated Balance</t>
  </si>
  <si>
    <t>Add (Deduct) Changes in net assets/equity during the year</t>
  </si>
  <si>
    <t>Personnel Services</t>
  </si>
  <si>
    <t>Consolidated Statement of Financial Position</t>
  </si>
  <si>
    <t>Consolidated Statement of Financial Performance</t>
  </si>
  <si>
    <t>Statement of Comparison of Budget and Actual Amounts</t>
  </si>
  <si>
    <t>Original</t>
  </si>
  <si>
    <t>Final</t>
  </si>
  <si>
    <t>Revenue</t>
  </si>
  <si>
    <t>Total Tax Revenue</t>
  </si>
  <si>
    <t>Total Non-Tax Revenue</t>
  </si>
  <si>
    <t>Capital Outlay</t>
  </si>
  <si>
    <t>Health, Nutrition and Population Control</t>
  </si>
  <si>
    <t>Social Services and Social Welfare</t>
  </si>
  <si>
    <t>Economic Services</t>
  </si>
  <si>
    <t>Others</t>
  </si>
  <si>
    <t>Actual Amounts</t>
  </si>
  <si>
    <t>Personal Services</t>
  </si>
  <si>
    <t>Trust Liabilities</t>
  </si>
  <si>
    <t>Interest Income</t>
  </si>
  <si>
    <t>Other Adjustment</t>
  </si>
  <si>
    <t>Consolidated Statement of Cash Flows</t>
  </si>
  <si>
    <t xml:space="preserve">A.  Local Sources </t>
  </si>
  <si>
    <t>1.  Tax Revenue</t>
  </si>
  <si>
    <t>a.  Tax Revenue - Property</t>
  </si>
  <si>
    <t>b.  Tax Revenue - Goods and Services</t>
  </si>
  <si>
    <t>c.  Other Local Taxes</t>
  </si>
  <si>
    <t>2.  Non-Tax Revenue</t>
  </si>
  <si>
    <t>a.  Service Income</t>
  </si>
  <si>
    <t>b.  Business Income</t>
  </si>
  <si>
    <t>c.  Other Income and Receipts</t>
  </si>
  <si>
    <t>B.  External Sources</t>
  </si>
  <si>
    <t>1.  Share from the National Internal Revenue Taxes (IRA)</t>
  </si>
  <si>
    <t>2.  Share from GOCCs</t>
  </si>
  <si>
    <t>3.  Other Shares from National Tax Collections</t>
  </si>
  <si>
    <t>a.  Share from Ecozone</t>
  </si>
  <si>
    <t>b.  Share from EVAT</t>
  </si>
  <si>
    <t>c.  Share from National Wealth</t>
  </si>
  <si>
    <t>d. Share from Tobacco Excise Tax</t>
  </si>
  <si>
    <t>Total Revenue and Receipts</t>
  </si>
  <si>
    <t xml:space="preserve">Expenditures </t>
  </si>
  <si>
    <t>Current Appropriations</t>
  </si>
  <si>
    <t xml:space="preserve">General Public Services </t>
  </si>
  <si>
    <t>Other Purposes:</t>
  </si>
  <si>
    <t>Total Current Appropriations</t>
  </si>
  <si>
    <t>Continuing Appropriations</t>
  </si>
  <si>
    <t>Total Continuing Appropriations</t>
  </si>
  <si>
    <t>Total Appropriations</t>
  </si>
  <si>
    <t>Budgeted Amounts</t>
  </si>
  <si>
    <t xml:space="preserve">Difference </t>
  </si>
  <si>
    <t>Original and Final Budget</t>
  </si>
  <si>
    <t>Final Budget and Actual</t>
  </si>
  <si>
    <t>Intra-Agency Payables</t>
  </si>
  <si>
    <t>Inventories</t>
  </si>
  <si>
    <t>Receipt from Business/Service Income</t>
  </si>
  <si>
    <t>LDRRMF</t>
  </si>
  <si>
    <t>20% Development Fund</t>
  </si>
  <si>
    <t>Allocation for Senior Citizens and PWD</t>
  </si>
  <si>
    <t>Education</t>
  </si>
  <si>
    <t>4.  Other Receipts</t>
  </si>
  <si>
    <t>a.  Grants and Donations</t>
  </si>
  <si>
    <t>b.  Other Subsidy Income</t>
  </si>
  <si>
    <t xml:space="preserve">personal </t>
  </si>
  <si>
    <t>mooe</t>
  </si>
  <si>
    <t>CO</t>
  </si>
  <si>
    <t xml:space="preserve">Original </t>
  </si>
  <si>
    <t>Actual</t>
  </si>
  <si>
    <t>GPS</t>
  </si>
  <si>
    <t>Mayor</t>
  </si>
  <si>
    <t>VM</t>
  </si>
  <si>
    <t>SB</t>
  </si>
  <si>
    <t>Support</t>
  </si>
  <si>
    <t>Admin-MA</t>
  </si>
  <si>
    <t>Andmin-PS</t>
  </si>
  <si>
    <t>MPDC</t>
  </si>
  <si>
    <t>Civil R</t>
  </si>
  <si>
    <t>GSO</t>
  </si>
  <si>
    <t>MBO</t>
  </si>
  <si>
    <t>Acct</t>
  </si>
  <si>
    <t>Tres</t>
  </si>
  <si>
    <t>Assesor</t>
  </si>
  <si>
    <t>5.  Inter-local Transfer</t>
  </si>
  <si>
    <t>6.  Capital /Investment Receipts</t>
  </si>
  <si>
    <t>a.  Sale of Capital Assets</t>
  </si>
  <si>
    <t>b.  Sale of Investments</t>
  </si>
  <si>
    <t>c.  Proceeds from Collections of Loan Receivables</t>
  </si>
  <si>
    <t>C. Receipts from Borrowings</t>
  </si>
  <si>
    <t>Cash Inflows</t>
  </si>
  <si>
    <t>Cash Outflows</t>
  </si>
  <si>
    <t xml:space="preserve"> </t>
  </si>
  <si>
    <t>Balance at January 1</t>
  </si>
  <si>
    <t>Balance at December  31</t>
  </si>
  <si>
    <t>Prepayments and Deferred Charges</t>
  </si>
  <si>
    <t>Particulars</t>
  </si>
  <si>
    <t>Investment Property</t>
  </si>
  <si>
    <t>( See accompanying Notes to Financial Statements)</t>
  </si>
  <si>
    <t>Biological Assets</t>
  </si>
  <si>
    <t>As at December 31, 2024</t>
  </si>
  <si>
    <t>For the Year Ended December 31, 2024</t>
  </si>
  <si>
    <t>Grants</t>
  </si>
  <si>
    <t>Total Cash provided by Operating, Investing and Financing Activities</t>
  </si>
  <si>
    <t>Municipality of Abulug</t>
  </si>
  <si>
    <t>Gains</t>
  </si>
  <si>
    <t>Interest Expenses</t>
  </si>
  <si>
    <t>Proceeds from Sale/Disposal of Property, Plant and Equipment</t>
  </si>
  <si>
    <t>Purchase/Construction of Investment Property</t>
  </si>
  <si>
    <t>e. Share from PAGCOR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</si>
</sst>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_-[$₱-3409]* #,##0.00_-;\-[$₱-3409]* #,##0.00_-;_-[$₱-3409]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0">
    <xf numFmtId="0" fontId="0" fillId="0" borderId="0" xfId="0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64" fontId="6" fillId="0" borderId="2" xfId="1" applyFont="1" applyBorder="1"/>
    <xf numFmtId="164" fontId="2" fillId="0" borderId="0" xfId="1" applyFont="1" applyFill="1"/>
    <xf numFmtId="164" fontId="6" fillId="0" borderId="2" xfId="1" applyFont="1" applyFill="1" applyBorder="1"/>
    <xf numFmtId="164" fontId="5" fillId="0" borderId="0" xfId="1" applyFont="1" applyFill="1" applyBorder="1"/>
    <xf numFmtId="0" fontId="6" fillId="0" borderId="0" xfId="0" quotePrefix="1" applyFont="1" applyAlignment="1">
      <alignment horizontal="center"/>
    </xf>
    <xf numFmtId="0" fontId="2" fillId="0" borderId="0" xfId="0" applyFont="1"/>
    <xf numFmtId="164" fontId="2" fillId="0" borderId="0" xfId="1" applyFont="1"/>
    <xf numFmtId="164" fontId="2" fillId="0" borderId="0" xfId="1" applyFont="1" applyBorder="1"/>
    <xf numFmtId="164" fontId="2" fillId="0" borderId="0" xfId="0" applyNumberFormat="1" applyFont="1"/>
    <xf numFmtId="164" fontId="2" fillId="0" borderId="1" xfId="1" applyFont="1" applyBorder="1"/>
    <xf numFmtId="0" fontId="7" fillId="0" borderId="0" xfId="0" applyFont="1"/>
    <xf numFmtId="164" fontId="2" fillId="0" borderId="1" xfId="1" applyFont="1" applyFill="1" applyBorder="1"/>
    <xf numFmtId="0" fontId="9" fillId="0" borderId="0" xfId="0" applyFont="1"/>
    <xf numFmtId="0" fontId="10" fillId="0" borderId="0" xfId="0" applyFont="1"/>
    <xf numFmtId="164" fontId="3" fillId="0" borderId="1" xfId="1" applyFont="1" applyFill="1" applyBorder="1" applyAlignment="1">
      <alignment horizontal="center" vertical="top" wrapText="1"/>
    </xf>
    <xf numFmtId="0" fontId="5" fillId="0" borderId="0" xfId="0" applyFont="1" applyAlignment="1">
      <alignment wrapText="1" shrinkToFit="1"/>
    </xf>
    <xf numFmtId="0" fontId="1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" fontId="5" fillId="0" borderId="0" xfId="0" quotePrefix="1" applyNumberFormat="1" applyFont="1" applyAlignment="1">
      <alignment horizontal="right"/>
    </xf>
    <xf numFmtId="0" fontId="6" fillId="0" borderId="0" xfId="0" applyFont="1" applyAlignment="1">
      <alignment horizontal="left" wrapText="1" shrinkToFit="1"/>
    </xf>
    <xf numFmtId="0" fontId="5" fillId="0" borderId="0" xfId="0" applyFont="1" applyAlignment="1">
      <alignment horizontal="left" wrapText="1" shrinkToFit="1"/>
    </xf>
    <xf numFmtId="0" fontId="5" fillId="0" borderId="0" xfId="0" applyFont="1" applyAlignment="1">
      <alignment horizontal="left" wrapText="1"/>
    </xf>
    <xf numFmtId="164" fontId="2" fillId="0" borderId="0" xfId="1" applyFont="1" applyAlignment="1">
      <alignment horizontal="right"/>
    </xf>
    <xf numFmtId="164" fontId="11" fillId="0" borderId="0" xfId="1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5" fillId="0" borderId="0" xfId="1" applyFont="1"/>
    <xf numFmtId="0" fontId="6" fillId="0" borderId="0" xfId="0" applyFont="1" applyAlignment="1">
      <alignment horizontal="center"/>
    </xf>
    <xf numFmtId="1" fontId="5" fillId="0" borderId="0" xfId="0" quotePrefix="1" applyNumberFormat="1" applyFont="1" applyAlignment="1">
      <alignment horizontal="center"/>
    </xf>
    <xf numFmtId="164" fontId="4" fillId="0" borderId="0" xfId="1" applyFont="1"/>
    <xf numFmtId="164" fontId="0" fillId="0" borderId="11" xfId="1" applyFont="1" applyBorder="1"/>
    <xf numFmtId="164" fontId="0" fillId="0" borderId="5" xfId="1" applyFont="1" applyBorder="1"/>
    <xf numFmtId="164" fontId="0" fillId="0" borderId="0" xfId="1" applyFont="1" applyBorder="1"/>
    <xf numFmtId="164" fontId="0" fillId="0" borderId="6" xfId="1" applyFont="1" applyBorder="1"/>
    <xf numFmtId="164" fontId="0" fillId="0" borderId="0" xfId="1" applyFont="1"/>
    <xf numFmtId="164" fontId="0" fillId="0" borderId="7" xfId="1" applyFont="1" applyBorder="1"/>
    <xf numFmtId="164" fontId="0" fillId="0" borderId="1" xfId="1" applyFont="1" applyBorder="1"/>
    <xf numFmtId="164" fontId="0" fillId="0" borderId="8" xfId="1" applyFont="1" applyBorder="1"/>
    <xf numFmtId="164" fontId="12" fillId="0" borderId="0" xfId="1" applyFont="1" applyFill="1"/>
    <xf numFmtId="0" fontId="12" fillId="0" borderId="0" xfId="0" applyFont="1"/>
    <xf numFmtId="0" fontId="14" fillId="0" borderId="0" xfId="0" applyFont="1"/>
    <xf numFmtId="0" fontId="14" fillId="0" borderId="5" xfId="0" applyFont="1" applyBorder="1"/>
    <xf numFmtId="0" fontId="13" fillId="0" borderId="5" xfId="0" applyFont="1" applyBorder="1"/>
    <xf numFmtId="164" fontId="14" fillId="0" borderId="0" xfId="1" applyFont="1" applyFill="1" applyBorder="1"/>
    <xf numFmtId="0" fontId="13" fillId="0" borderId="0" xfId="0" applyFont="1"/>
    <xf numFmtId="164" fontId="14" fillId="0" borderId="1" xfId="1" applyFont="1" applyFill="1" applyBorder="1"/>
    <xf numFmtId="164" fontId="14" fillId="0" borderId="9" xfId="1" applyFont="1" applyFill="1" applyBorder="1"/>
    <xf numFmtId="164" fontId="14" fillId="0" borderId="2" xfId="1" applyFont="1" applyFill="1" applyBorder="1"/>
    <xf numFmtId="164" fontId="14" fillId="0" borderId="11" xfId="1" applyFont="1" applyFill="1" applyBorder="1"/>
    <xf numFmtId="0" fontId="13" fillId="0" borderId="7" xfId="0" applyFont="1" applyBorder="1"/>
    <xf numFmtId="0" fontId="14" fillId="0" borderId="1" xfId="0" applyFont="1" applyBorder="1"/>
    <xf numFmtId="165" fontId="5" fillId="0" borderId="0" xfId="0" applyNumberFormat="1" applyFont="1" applyAlignment="1">
      <alignment horizontal="right"/>
    </xf>
    <xf numFmtId="165" fontId="2" fillId="0" borderId="0" xfId="0" applyNumberFormat="1" applyFont="1"/>
    <xf numFmtId="165" fontId="2" fillId="0" borderId="0" xfId="1" applyNumberFormat="1" applyFont="1"/>
    <xf numFmtId="165" fontId="6" fillId="0" borderId="3" xfId="1" applyNumberFormat="1" applyFont="1" applyBorder="1"/>
    <xf numFmtId="165" fontId="6" fillId="0" borderId="4" xfId="1" applyNumberFormat="1" applyFont="1" applyBorder="1"/>
    <xf numFmtId="165" fontId="4" fillId="0" borderId="4" xfId="1" applyNumberFormat="1" applyFont="1" applyBorder="1"/>
    <xf numFmtId="165" fontId="2" fillId="0" borderId="0" xfId="1" applyNumberFormat="1" applyFont="1" applyFill="1"/>
    <xf numFmtId="165" fontId="6" fillId="0" borderId="4" xfId="1" applyNumberFormat="1" applyFont="1" applyFill="1" applyBorder="1"/>
    <xf numFmtId="164" fontId="6" fillId="0" borderId="0" xfId="1" applyFont="1" applyFill="1" applyAlignment="1">
      <alignment wrapText="1"/>
    </xf>
    <xf numFmtId="164" fontId="6" fillId="0" borderId="3" xfId="1" applyFont="1" applyBorder="1"/>
    <xf numFmtId="164" fontId="6" fillId="0" borderId="1" xfId="1" applyFont="1" applyBorder="1"/>
    <xf numFmtId="164" fontId="6" fillId="0" borderId="0" xfId="1" applyFont="1"/>
    <xf numFmtId="0" fontId="14" fillId="0" borderId="6" xfId="0" applyFont="1" applyBorder="1"/>
    <xf numFmtId="164" fontId="14" fillId="0" borderId="6" xfId="1" applyFont="1" applyFill="1" applyBorder="1"/>
    <xf numFmtId="164" fontId="14" fillId="0" borderId="8" xfId="1" applyFont="1" applyFill="1" applyBorder="1"/>
    <xf numFmtId="0" fontId="13" fillId="0" borderId="11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164" fontId="6" fillId="0" borderId="1" xfId="1" applyFont="1" applyFill="1" applyBorder="1"/>
    <xf numFmtId="164" fontId="4" fillId="0" borderId="2" xfId="1" applyFont="1" applyBorder="1"/>
    <xf numFmtId="0" fontId="14" fillId="0" borderId="14" xfId="0" applyFont="1" applyBorder="1"/>
    <xf numFmtId="164" fontId="14" fillId="0" borderId="14" xfId="1" applyFont="1" applyFill="1" applyBorder="1"/>
    <xf numFmtId="164" fontId="14" fillId="0" borderId="12" xfId="1" applyFont="1" applyFill="1" applyBorder="1"/>
    <xf numFmtId="164" fontId="14" fillId="0" borderId="13" xfId="1" applyFont="1" applyFill="1" applyBorder="1"/>
    <xf numFmtId="0" fontId="13" fillId="0" borderId="1" xfId="0" applyFont="1" applyBorder="1"/>
    <xf numFmtId="164" fontId="3" fillId="0" borderId="1" xfId="1" applyFont="1" applyBorder="1" applyAlignment="1">
      <alignment horizontal="right" vertical="center"/>
    </xf>
    <xf numFmtId="43" fontId="2" fillId="0" borderId="0" xfId="0" applyNumberFormat="1" applyFont="1"/>
    <xf numFmtId="43" fontId="14" fillId="0" borderId="0" xfId="0" applyNumberFormat="1" applyFont="1"/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4" fillId="0" borderId="7" xfId="0" applyFont="1" applyBorder="1"/>
    <xf numFmtId="164" fontId="13" fillId="0" borderId="11" xfId="1" applyFont="1" applyFill="1" applyBorder="1"/>
    <xf numFmtId="164" fontId="13" fillId="0" borderId="2" xfId="1" applyFont="1" applyFill="1" applyBorder="1"/>
    <xf numFmtId="164" fontId="13" fillId="0" borderId="9" xfId="1" applyFont="1" applyFill="1" applyBorder="1"/>
    <xf numFmtId="164" fontId="13" fillId="0" borderId="12" xfId="0" applyNumberFormat="1" applyFont="1" applyBorder="1"/>
    <xf numFmtId="164" fontId="13" fillId="0" borderId="1" xfId="0" applyNumberFormat="1" applyFont="1" applyBorder="1"/>
    <xf numFmtId="164" fontId="13" fillId="0" borderId="11" xfId="0" applyNumberFormat="1" applyFont="1" applyBorder="1"/>
    <xf numFmtId="164" fontId="13" fillId="0" borderId="8" xfId="0" applyNumberFormat="1" applyFont="1" applyBorder="1"/>
    <xf numFmtId="0" fontId="14" fillId="0" borderId="0" xfId="0" applyFont="1" applyAlignment="1">
      <alignment horizontal="justify" vertical="center" wrapText="1"/>
    </xf>
    <xf numFmtId="0" fontId="14" fillId="0" borderId="8" xfId="0" applyFont="1" applyBorder="1"/>
    <xf numFmtId="1" fontId="6" fillId="0" borderId="0" xfId="0" quotePrefix="1" applyNumberFormat="1" applyFont="1" applyAlignment="1">
      <alignment horizontal="right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top" shrinkToFit="1"/>
    </xf>
    <xf numFmtId="0" fontId="6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6" xfId="0" applyFont="1" applyBorder="1" applyAlignment="1">
      <alignment horizontal="left" wrapText="1"/>
    </xf>
    <xf numFmtId="2" fontId="13" fillId="0" borderId="13" xfId="0" applyNumberFormat="1" applyFont="1" applyBorder="1" applyAlignment="1">
      <alignment horizontal="center" vertical="center" wrapText="1"/>
    </xf>
    <xf numFmtId="2" fontId="13" fillId="0" borderId="12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left" shrinkToFit="1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164" fontId="0" fillId="0" borderId="11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6"/>
  <sheetViews>
    <sheetView tabSelected="1" zoomScaleNormal="100" zoomScaleSheetLayoutView="120" workbookViewId="0"/>
  </sheetViews>
  <sheetFormatPr defaultColWidth="9.109375" defaultRowHeight="15.6" x14ac:dyDescent="0.3"/>
  <cols>
    <col min="1" max="1" width="2.109375" style="9" customWidth="1"/>
    <col min="2" max="2" width="32.33203125" style="9" customWidth="1"/>
    <col min="3" max="3" width="4.44140625" style="2" customWidth="1"/>
    <col min="4" max="4" width="3" style="24" customWidth="1"/>
    <col min="5" max="5" width="19.109375" style="10" customWidth="1"/>
    <col min="6" max="6" width="2.88671875" style="10" customWidth="1"/>
    <col min="7" max="7" width="18.88671875" style="10" customWidth="1"/>
    <col min="8" max="16384" width="9.109375" style="9"/>
  </cols>
  <sheetData>
    <row r="1" spans="1:7" ht="18" x14ac:dyDescent="0.35">
      <c r="A1" s="35" t="s">
        <v>164</v>
      </c>
      <c r="B1" s="35"/>
    </row>
    <row r="2" spans="1:7" ht="18" x14ac:dyDescent="0.35">
      <c r="A2" s="102" t="s">
        <v>40</v>
      </c>
      <c r="B2" s="102"/>
    </row>
    <row r="3" spans="1:7" ht="18" x14ac:dyDescent="0.35">
      <c r="A3" s="36" t="s">
        <v>66</v>
      </c>
      <c r="B3" s="35"/>
      <c r="D3" s="25"/>
    </row>
    <row r="4" spans="1:7" ht="18" x14ac:dyDescent="0.35">
      <c r="A4" s="102" t="s">
        <v>160</v>
      </c>
      <c r="B4" s="102"/>
      <c r="D4" s="25"/>
    </row>
    <row r="5" spans="1:7" ht="18" x14ac:dyDescent="0.35">
      <c r="A5" s="17"/>
      <c r="B5" s="17"/>
      <c r="D5" s="25"/>
    </row>
    <row r="6" spans="1:7" x14ac:dyDescent="0.3">
      <c r="A6" s="2"/>
      <c r="B6" s="2"/>
      <c r="D6" s="25"/>
    </row>
    <row r="7" spans="1:7" x14ac:dyDescent="0.3">
      <c r="A7" s="1" t="s">
        <v>0</v>
      </c>
      <c r="B7" s="2"/>
      <c r="C7" s="38" t="s">
        <v>1</v>
      </c>
      <c r="D7" s="26"/>
      <c r="E7" s="38">
        <v>2024</v>
      </c>
      <c r="F7" s="40"/>
      <c r="G7" s="38">
        <v>2023</v>
      </c>
    </row>
    <row r="8" spans="1:7" x14ac:dyDescent="0.3">
      <c r="A8" s="2"/>
      <c r="B8" s="1" t="s">
        <v>2</v>
      </c>
      <c r="D8" s="25"/>
    </row>
    <row r="9" spans="1:7" x14ac:dyDescent="0.3">
      <c r="A9" s="2"/>
      <c r="B9" s="2" t="s">
        <v>3</v>
      </c>
      <c r="C9" s="3">
        <v>4</v>
      </c>
      <c r="D9" s="62"/>
      <c r="E9" s="64">
        <v>105818606.58000001</v>
      </c>
      <c r="F9" s="25"/>
      <c r="G9" s="64">
        <v>49501257.530000001</v>
      </c>
    </row>
    <row r="10" spans="1:7" x14ac:dyDescent="0.3">
      <c r="A10" s="2"/>
      <c r="B10" s="2" t="s">
        <v>4</v>
      </c>
      <c r="C10" s="3">
        <v>5</v>
      </c>
      <c r="D10" s="62"/>
      <c r="E10" s="10">
        <v>90542603.829999998</v>
      </c>
      <c r="F10" s="25"/>
      <c r="G10" s="10">
        <v>94140288.960000008</v>
      </c>
    </row>
    <row r="11" spans="1:7" x14ac:dyDescent="0.3">
      <c r="A11" s="2"/>
      <c r="B11" s="2" t="s">
        <v>116</v>
      </c>
      <c r="C11" s="3">
        <v>6</v>
      </c>
      <c r="D11" s="62"/>
      <c r="E11" s="10">
        <v>6056618.2999999998</v>
      </c>
      <c r="F11" s="25"/>
      <c r="G11" s="10">
        <v>4275196.8599999994</v>
      </c>
    </row>
    <row r="12" spans="1:7" x14ac:dyDescent="0.3">
      <c r="A12" s="2"/>
      <c r="B12" s="2" t="s">
        <v>155</v>
      </c>
      <c r="C12" s="3">
        <v>7</v>
      </c>
      <c r="D12" s="62"/>
      <c r="E12" s="10">
        <v>3118145.39</v>
      </c>
      <c r="F12" s="25"/>
      <c r="G12" s="10">
        <v>0</v>
      </c>
    </row>
    <row r="13" spans="1:7" x14ac:dyDescent="0.3">
      <c r="A13" s="2"/>
      <c r="B13" s="1" t="s">
        <v>5</v>
      </c>
      <c r="D13" s="62"/>
      <c r="E13" s="4">
        <v>205535974.10000002</v>
      </c>
      <c r="F13" s="25"/>
      <c r="G13" s="4">
        <v>147916743.35000002</v>
      </c>
    </row>
    <row r="14" spans="1:7" ht="9.75" customHeight="1" x14ac:dyDescent="0.3">
      <c r="A14" s="2"/>
      <c r="B14" s="2"/>
      <c r="D14" s="62"/>
      <c r="F14" s="25"/>
    </row>
    <row r="15" spans="1:7" x14ac:dyDescent="0.3">
      <c r="A15" s="2"/>
      <c r="B15" s="1" t="s">
        <v>6</v>
      </c>
      <c r="D15" s="62"/>
      <c r="F15" s="25"/>
    </row>
    <row r="16" spans="1:7" x14ac:dyDescent="0.3">
      <c r="A16" s="2"/>
      <c r="B16" s="2" t="s">
        <v>157</v>
      </c>
      <c r="C16" s="3">
        <v>8</v>
      </c>
      <c r="D16" s="62"/>
      <c r="E16" s="10">
        <v>564430.76</v>
      </c>
      <c r="F16" s="25"/>
      <c r="G16" s="10">
        <v>9791254.8599999994</v>
      </c>
    </row>
    <row r="17" spans="1:7" x14ac:dyDescent="0.3">
      <c r="A17" s="2"/>
      <c r="B17" s="2" t="s">
        <v>7</v>
      </c>
      <c r="C17" s="3">
        <v>9</v>
      </c>
      <c r="D17" s="63"/>
      <c r="E17" s="10">
        <v>479271861.31</v>
      </c>
      <c r="F17" s="9"/>
      <c r="G17" s="10">
        <v>433180207.18000001</v>
      </c>
    </row>
    <row r="18" spans="1:7" x14ac:dyDescent="0.3">
      <c r="A18" s="2"/>
      <c r="B18" s="2" t="s">
        <v>159</v>
      </c>
      <c r="C18" s="3">
        <v>10</v>
      </c>
      <c r="D18" s="63"/>
      <c r="E18" s="10">
        <v>320500</v>
      </c>
      <c r="F18" s="9"/>
      <c r="G18" s="10">
        <v>320500</v>
      </c>
    </row>
    <row r="19" spans="1:7" x14ac:dyDescent="0.3">
      <c r="A19" s="2"/>
      <c r="B19" s="2" t="s">
        <v>8</v>
      </c>
      <c r="D19" s="62"/>
      <c r="E19" s="4">
        <v>480156792.06999999</v>
      </c>
      <c r="F19" s="25"/>
      <c r="G19" s="4">
        <v>443291962.04000002</v>
      </c>
    </row>
    <row r="20" spans="1:7" ht="10.5" customHeight="1" x14ac:dyDescent="0.3">
      <c r="A20" s="2"/>
      <c r="B20" s="2"/>
      <c r="D20" s="62"/>
      <c r="F20" s="25"/>
    </row>
    <row r="21" spans="1:7" ht="16.2" thickBot="1" x14ac:dyDescent="0.35">
      <c r="A21" s="2"/>
      <c r="B21" s="1" t="s">
        <v>9</v>
      </c>
      <c r="D21" s="62"/>
      <c r="E21" s="71">
        <v>685692766.17000008</v>
      </c>
      <c r="F21" s="25"/>
      <c r="G21" s="71">
        <v>591208705.3900001</v>
      </c>
    </row>
    <row r="22" spans="1:7" ht="9.75" customHeight="1" thickTop="1" x14ac:dyDescent="0.3">
      <c r="A22" s="2"/>
      <c r="B22" s="2"/>
      <c r="D22" s="62"/>
      <c r="F22" s="25"/>
    </row>
    <row r="23" spans="1:7" x14ac:dyDescent="0.3">
      <c r="A23" s="1" t="s">
        <v>10</v>
      </c>
      <c r="D23" s="62"/>
      <c r="F23" s="25"/>
    </row>
    <row r="24" spans="1:7" x14ac:dyDescent="0.3">
      <c r="A24" s="2"/>
      <c r="B24" s="1" t="s">
        <v>11</v>
      </c>
      <c r="D24" s="62"/>
      <c r="F24" s="25"/>
    </row>
    <row r="25" spans="1:7" x14ac:dyDescent="0.3">
      <c r="A25" s="2"/>
      <c r="B25" s="2" t="s">
        <v>12</v>
      </c>
      <c r="C25" s="3">
        <v>11</v>
      </c>
      <c r="D25" s="62"/>
      <c r="E25" s="10">
        <v>94286.62000000001</v>
      </c>
      <c r="F25" s="25"/>
      <c r="G25" s="10">
        <v>93806.62000000001</v>
      </c>
    </row>
    <row r="26" spans="1:7" x14ac:dyDescent="0.3">
      <c r="A26" s="2"/>
      <c r="B26" s="2" t="s">
        <v>13</v>
      </c>
      <c r="C26" s="3">
        <v>12</v>
      </c>
      <c r="D26" s="62"/>
      <c r="E26" s="10">
        <v>92565151.650000006</v>
      </c>
      <c r="F26" s="25"/>
      <c r="G26" s="10">
        <v>14073049.539999999</v>
      </c>
    </row>
    <row r="27" spans="1:7" x14ac:dyDescent="0.3">
      <c r="A27" s="2"/>
      <c r="B27" s="2" t="s">
        <v>115</v>
      </c>
      <c r="C27" s="3">
        <v>13</v>
      </c>
      <c r="D27" s="62"/>
      <c r="E27" s="10">
        <v>601109.17000000004</v>
      </c>
      <c r="F27" s="25"/>
      <c r="G27" s="10">
        <v>4801974.75</v>
      </c>
    </row>
    <row r="28" spans="1:7" x14ac:dyDescent="0.3">
      <c r="A28" s="2"/>
      <c r="B28" s="2" t="s">
        <v>81</v>
      </c>
      <c r="C28" s="3">
        <v>14</v>
      </c>
      <c r="D28" s="62"/>
      <c r="E28" s="10">
        <v>10116818.57</v>
      </c>
      <c r="F28" s="25"/>
      <c r="G28" s="10">
        <v>8577666.6099999994</v>
      </c>
    </row>
    <row r="29" spans="1:7" x14ac:dyDescent="0.3">
      <c r="A29" s="2"/>
      <c r="B29" s="1" t="s">
        <v>15</v>
      </c>
      <c r="D29" s="62"/>
      <c r="E29" s="4">
        <v>103377366.01000002</v>
      </c>
      <c r="F29" s="25"/>
      <c r="G29" s="4">
        <v>27546497.519999996</v>
      </c>
    </row>
    <row r="30" spans="1:7" ht="10.5" customHeight="1" x14ac:dyDescent="0.3">
      <c r="A30" s="2"/>
      <c r="B30" s="2"/>
      <c r="D30" s="62"/>
      <c r="F30" s="25"/>
    </row>
    <row r="31" spans="1:7" x14ac:dyDescent="0.3">
      <c r="A31" s="2"/>
      <c r="B31" s="1" t="s">
        <v>16</v>
      </c>
      <c r="D31" s="62"/>
      <c r="F31" s="25"/>
    </row>
    <row r="32" spans="1:7" x14ac:dyDescent="0.3">
      <c r="A32" s="2"/>
      <c r="B32" s="2" t="s">
        <v>14</v>
      </c>
      <c r="C32" s="3">
        <v>15</v>
      </c>
      <c r="D32" s="62"/>
      <c r="E32" s="11">
        <v>89293651.599999994</v>
      </c>
      <c r="F32" s="25"/>
      <c r="G32" s="11">
        <v>86883034.659999996</v>
      </c>
    </row>
    <row r="33" spans="1:7" x14ac:dyDescent="0.3">
      <c r="A33" s="2"/>
      <c r="B33" s="2" t="s">
        <v>17</v>
      </c>
      <c r="C33" s="3">
        <v>16</v>
      </c>
      <c r="D33" s="62"/>
      <c r="E33" s="13">
        <v>1240488.8400000001</v>
      </c>
      <c r="F33" s="25"/>
      <c r="G33" s="13">
        <v>1185983.21</v>
      </c>
    </row>
    <row r="34" spans="1:7" x14ac:dyDescent="0.3">
      <c r="A34" s="2"/>
      <c r="B34" s="1" t="s">
        <v>18</v>
      </c>
      <c r="D34" s="62"/>
      <c r="E34" s="4">
        <v>90534140.439999998</v>
      </c>
      <c r="F34" s="25"/>
      <c r="G34" s="4">
        <v>88069017.86999999</v>
      </c>
    </row>
    <row r="35" spans="1:7" ht="10.5" customHeight="1" x14ac:dyDescent="0.3">
      <c r="A35" s="2"/>
      <c r="B35" s="2"/>
      <c r="D35" s="62"/>
      <c r="F35" s="25"/>
    </row>
    <row r="36" spans="1:7" x14ac:dyDescent="0.3">
      <c r="A36" s="2"/>
      <c r="B36" s="1" t="s">
        <v>19</v>
      </c>
      <c r="D36" s="62"/>
      <c r="E36" s="72">
        <v>193911506.45000002</v>
      </c>
      <c r="F36" s="25"/>
      <c r="G36" s="72">
        <v>115615515.38999999</v>
      </c>
    </row>
    <row r="37" spans="1:7" ht="9" customHeight="1" x14ac:dyDescent="0.3">
      <c r="A37" s="2"/>
      <c r="B37" s="2"/>
      <c r="D37" s="62"/>
      <c r="F37" s="25"/>
    </row>
    <row r="38" spans="1:7" x14ac:dyDescent="0.3">
      <c r="A38" s="2"/>
      <c r="B38" s="1" t="s">
        <v>20</v>
      </c>
      <c r="D38" s="62"/>
      <c r="F38" s="25"/>
    </row>
    <row r="39" spans="1:7" x14ac:dyDescent="0.3">
      <c r="A39" s="2"/>
      <c r="B39" s="2" t="s">
        <v>21</v>
      </c>
      <c r="D39" s="62"/>
      <c r="E39" s="13">
        <v>491781259.71999997</v>
      </c>
      <c r="F39" s="25"/>
      <c r="G39" s="13">
        <v>475593190</v>
      </c>
    </row>
    <row r="40" spans="1:7" ht="8.25" customHeight="1" x14ac:dyDescent="0.3">
      <c r="A40" s="2"/>
      <c r="B40" s="2"/>
      <c r="D40" s="62"/>
      <c r="F40" s="25"/>
    </row>
    <row r="41" spans="1:7" ht="16.2" thickBot="1" x14ac:dyDescent="0.35">
      <c r="A41" s="2"/>
      <c r="B41" s="1" t="s">
        <v>22</v>
      </c>
      <c r="D41" s="62"/>
      <c r="E41" s="65">
        <v>685692766.16999996</v>
      </c>
      <c r="F41" s="25"/>
      <c r="G41" s="65">
        <v>591208705.38999999</v>
      </c>
    </row>
    <row r="42" spans="1:7" ht="16.2" thickTop="1" x14ac:dyDescent="0.3"/>
    <row r="46" spans="1:7" x14ac:dyDescent="0.3">
      <c r="A46" s="103" t="s">
        <v>158</v>
      </c>
      <c r="B46" s="103"/>
      <c r="C46" s="103"/>
      <c r="D46" s="103"/>
      <c r="E46" s="103"/>
      <c r="F46" s="103"/>
      <c r="G46" s="103"/>
    </row>
  </sheetData>
  <sheetProtection password="C296" sheet="1" objects="1" scenarios="1" selectLockedCells="1" selectUnlockedCells="1"/>
  <mergeCells count="3">
    <mergeCell ref="A2:B2"/>
    <mergeCell ref="A4:B4"/>
    <mergeCell ref="A46:G46"/>
  </mergeCells>
  <pageMargins left="1.5" right="1" top="1" bottom="1" header="0" footer="0"/>
  <pageSetup scale="90" fitToWidth="0" fitToHeight="0" orientation="portrait" horizontalDpi="360" verticalDpi="360" r:id="rId1"/>
  <headerFooter>
    <oddFooter xml:space="preserve">&amp;C&amp;"Times New Roman,Regular"&amp;12 &amp;"Arial,Regular"&amp;10 5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45"/>
  <sheetViews>
    <sheetView zoomScaleNormal="100" workbookViewId="0"/>
  </sheetViews>
  <sheetFormatPr defaultColWidth="9.109375" defaultRowHeight="15.6" x14ac:dyDescent="0.3"/>
  <cols>
    <col min="1" max="1" width="1.6640625" style="9" customWidth="1"/>
    <col min="2" max="2" width="38.44140625" style="9" customWidth="1"/>
    <col min="3" max="3" width="4.44140625" style="2" customWidth="1"/>
    <col min="4" max="4" width="1.109375" style="24" customWidth="1"/>
    <col min="5" max="5" width="18" style="9" customWidth="1"/>
    <col min="6" max="6" width="2.5546875" style="9" customWidth="1"/>
    <col min="7" max="7" width="17.88671875" style="9" customWidth="1"/>
    <col min="8" max="16384" width="9.109375" style="9"/>
  </cols>
  <sheetData>
    <row r="1" spans="1:7" ht="18" x14ac:dyDescent="0.35">
      <c r="A1" s="35" t="s">
        <v>164</v>
      </c>
      <c r="B1" s="17"/>
    </row>
    <row r="2" spans="1:7" ht="18" x14ac:dyDescent="0.35">
      <c r="A2" s="17" t="s">
        <v>40</v>
      </c>
      <c r="B2" s="17"/>
    </row>
    <row r="3" spans="1:7" ht="18" x14ac:dyDescent="0.35">
      <c r="A3" s="16" t="s">
        <v>67</v>
      </c>
      <c r="B3" s="17"/>
    </row>
    <row r="4" spans="1:7" ht="18" x14ac:dyDescent="0.35">
      <c r="A4" s="17" t="s">
        <v>161</v>
      </c>
      <c r="B4" s="17"/>
      <c r="D4" s="25"/>
    </row>
    <row r="5" spans="1:7" x14ac:dyDescent="0.3">
      <c r="A5" s="2"/>
      <c r="B5" s="2"/>
      <c r="D5" s="25"/>
    </row>
    <row r="6" spans="1:7" x14ac:dyDescent="0.3">
      <c r="A6" s="2"/>
      <c r="B6" s="2"/>
      <c r="D6" s="25"/>
    </row>
    <row r="7" spans="1:7" x14ac:dyDescent="0.3">
      <c r="A7" s="2"/>
      <c r="B7" s="2"/>
      <c r="C7" s="1" t="s">
        <v>1</v>
      </c>
      <c r="D7" s="26"/>
      <c r="E7" s="8">
        <v>2024</v>
      </c>
      <c r="G7" s="8">
        <v>2023</v>
      </c>
    </row>
    <row r="8" spans="1:7" x14ac:dyDescent="0.3">
      <c r="A8" s="1" t="s">
        <v>23</v>
      </c>
      <c r="B8" s="2"/>
      <c r="D8" s="25"/>
    </row>
    <row r="9" spans="1:7" x14ac:dyDescent="0.3">
      <c r="A9" s="2"/>
      <c r="B9" s="2" t="s">
        <v>24</v>
      </c>
      <c r="C9" s="3">
        <v>17</v>
      </c>
      <c r="D9" s="25"/>
      <c r="E9" s="64">
        <v>17353410.030000001</v>
      </c>
      <c r="F9" s="25"/>
      <c r="G9" s="64">
        <v>17847067.120000001</v>
      </c>
    </row>
    <row r="10" spans="1:7" x14ac:dyDescent="0.3">
      <c r="A10" s="2"/>
      <c r="B10" s="2" t="s">
        <v>25</v>
      </c>
      <c r="C10" s="3">
        <v>18</v>
      </c>
      <c r="D10" s="25"/>
      <c r="E10" s="10">
        <v>169514927</v>
      </c>
      <c r="F10" s="25"/>
      <c r="G10" s="10">
        <v>159539845</v>
      </c>
    </row>
    <row r="11" spans="1:7" x14ac:dyDescent="0.3">
      <c r="A11" s="2"/>
      <c r="B11" s="2" t="s">
        <v>26</v>
      </c>
      <c r="C11" s="3"/>
      <c r="D11" s="25"/>
      <c r="E11" s="10">
        <v>0</v>
      </c>
      <c r="F11" s="25"/>
      <c r="G11" s="10">
        <v>0</v>
      </c>
    </row>
    <row r="12" spans="1:7" x14ac:dyDescent="0.3">
      <c r="A12" s="2"/>
      <c r="B12" s="2" t="s">
        <v>27</v>
      </c>
      <c r="C12" s="3">
        <v>19</v>
      </c>
      <c r="D12" s="25"/>
      <c r="E12" s="10">
        <v>9946156.8900000006</v>
      </c>
      <c r="F12" s="25"/>
      <c r="G12" s="10">
        <v>9246360.5099999998</v>
      </c>
    </row>
    <row r="13" spans="1:7" x14ac:dyDescent="0.3">
      <c r="A13" s="2"/>
      <c r="B13" s="2" t="s">
        <v>28</v>
      </c>
      <c r="C13" s="3">
        <v>20</v>
      </c>
      <c r="D13" s="25"/>
      <c r="E13" s="10">
        <v>10754.52</v>
      </c>
      <c r="F13" s="25"/>
      <c r="G13" s="10">
        <v>0</v>
      </c>
    </row>
    <row r="14" spans="1:7" x14ac:dyDescent="0.3">
      <c r="A14" s="2"/>
      <c r="B14" s="2" t="s">
        <v>165</v>
      </c>
      <c r="C14" s="3">
        <v>21</v>
      </c>
      <c r="D14" s="25"/>
      <c r="E14" s="86">
        <v>135439.95000000001</v>
      </c>
      <c r="G14" s="86"/>
    </row>
    <row r="15" spans="1:7" x14ac:dyDescent="0.3">
      <c r="A15" s="1" t="s">
        <v>29</v>
      </c>
      <c r="B15" s="2"/>
      <c r="C15" s="3"/>
      <c r="D15" s="25"/>
      <c r="E15" s="72">
        <v>196960688.39000002</v>
      </c>
      <c r="F15" s="25"/>
      <c r="G15" s="72">
        <v>186633272.63</v>
      </c>
    </row>
    <row r="16" spans="1:7" x14ac:dyDescent="0.3">
      <c r="A16" s="2"/>
      <c r="B16" s="2"/>
      <c r="C16" s="3"/>
      <c r="D16" s="25"/>
      <c r="F16" s="25"/>
    </row>
    <row r="17" spans="1:7" x14ac:dyDescent="0.3">
      <c r="A17" s="1" t="s">
        <v>30</v>
      </c>
      <c r="B17" s="2"/>
      <c r="C17" s="3"/>
      <c r="D17" s="25"/>
      <c r="F17" s="25"/>
    </row>
    <row r="18" spans="1:7" x14ac:dyDescent="0.3">
      <c r="A18" s="2"/>
      <c r="B18" s="2" t="s">
        <v>65</v>
      </c>
      <c r="C18" s="3">
        <v>22</v>
      </c>
      <c r="D18" s="25"/>
      <c r="E18" s="10">
        <v>75735708.930000007</v>
      </c>
      <c r="F18" s="25"/>
      <c r="G18" s="10">
        <v>69533923.850000009</v>
      </c>
    </row>
    <row r="19" spans="1:7" x14ac:dyDescent="0.3">
      <c r="A19" s="2"/>
      <c r="B19" s="2" t="s">
        <v>31</v>
      </c>
      <c r="C19" s="39">
        <v>23</v>
      </c>
      <c r="D19" s="27"/>
      <c r="E19" s="10">
        <v>61082240.799999997</v>
      </c>
      <c r="F19" s="27"/>
      <c r="G19" s="10">
        <v>63064403.010000005</v>
      </c>
    </row>
    <row r="20" spans="1:7" x14ac:dyDescent="0.3">
      <c r="A20" s="2"/>
      <c r="B20" s="2" t="s">
        <v>33</v>
      </c>
      <c r="C20" s="39"/>
      <c r="D20" s="27"/>
      <c r="E20" s="40"/>
      <c r="F20" s="101"/>
      <c r="G20" s="40"/>
    </row>
    <row r="21" spans="1:7" x14ac:dyDescent="0.3">
      <c r="A21" s="2"/>
      <c r="B21" s="2" t="s">
        <v>32</v>
      </c>
      <c r="C21" s="3">
        <v>24</v>
      </c>
      <c r="D21" s="25"/>
      <c r="E21" s="10">
        <v>42257675.420000002</v>
      </c>
      <c r="F21" s="25"/>
      <c r="G21" s="10">
        <v>28541323.23</v>
      </c>
    </row>
    <row r="22" spans="1:7" x14ac:dyDescent="0.3">
      <c r="A22" s="1" t="s">
        <v>34</v>
      </c>
      <c r="B22" s="1"/>
      <c r="C22" s="3"/>
      <c r="D22" s="25"/>
      <c r="E22" s="4">
        <v>179075625.15000004</v>
      </c>
      <c r="F22" s="25"/>
      <c r="G22" s="4">
        <v>161139650.09</v>
      </c>
    </row>
    <row r="23" spans="1:7" x14ac:dyDescent="0.3">
      <c r="A23" s="2"/>
      <c r="B23" s="2"/>
      <c r="C23" s="3"/>
      <c r="D23" s="25"/>
      <c r="F23" s="25"/>
    </row>
    <row r="24" spans="1:7" x14ac:dyDescent="0.3">
      <c r="A24" s="1" t="s">
        <v>35</v>
      </c>
      <c r="B24" s="2"/>
      <c r="C24" s="3"/>
      <c r="D24" s="25"/>
      <c r="E24" s="73">
        <v>17885063.23999998</v>
      </c>
      <c r="F24" s="25"/>
      <c r="G24" s="73">
        <v>25493622.539999992</v>
      </c>
    </row>
    <row r="25" spans="1:7" x14ac:dyDescent="0.3">
      <c r="A25" s="2"/>
      <c r="B25" s="2" t="s">
        <v>36</v>
      </c>
      <c r="C25" s="3"/>
      <c r="D25" s="25"/>
      <c r="F25" s="25"/>
    </row>
    <row r="26" spans="1:7" x14ac:dyDescent="0.3">
      <c r="A26" s="2"/>
      <c r="B26" s="2" t="s">
        <v>37</v>
      </c>
      <c r="C26" s="3"/>
      <c r="D26" s="25"/>
      <c r="E26" s="40">
        <v>0</v>
      </c>
      <c r="F26" s="101"/>
      <c r="G26" s="40">
        <v>0</v>
      </c>
    </row>
    <row r="27" spans="1:7" x14ac:dyDescent="0.3">
      <c r="A27" s="2"/>
      <c r="B27" s="2" t="s">
        <v>38</v>
      </c>
      <c r="C27" s="3">
        <v>25</v>
      </c>
      <c r="D27" s="25"/>
      <c r="E27" s="11">
        <v>-232085.86</v>
      </c>
      <c r="F27" s="25"/>
      <c r="G27" s="11">
        <v>-1983983.41</v>
      </c>
    </row>
    <row r="28" spans="1:7" ht="16.2" thickBot="1" x14ac:dyDescent="0.35">
      <c r="A28" s="1" t="s">
        <v>39</v>
      </c>
      <c r="B28" s="2"/>
      <c r="D28" s="25"/>
      <c r="E28" s="66">
        <v>17652977.37999998</v>
      </c>
      <c r="F28" s="25"/>
      <c r="G28" s="66">
        <v>23509639.129999992</v>
      </c>
    </row>
    <row r="29" spans="1:7" ht="16.2" thickTop="1" x14ac:dyDescent="0.3"/>
    <row r="31" spans="1:7" x14ac:dyDescent="0.3">
      <c r="E31" s="87"/>
      <c r="G31" s="87"/>
    </row>
    <row r="32" spans="1:7" x14ac:dyDescent="0.3">
      <c r="E32" s="12"/>
      <c r="G32" s="12"/>
    </row>
    <row r="45" spans="1:7" x14ac:dyDescent="0.3">
      <c r="A45" s="103" t="s">
        <v>158</v>
      </c>
      <c r="B45" s="103"/>
      <c r="C45" s="103"/>
      <c r="D45" s="103"/>
      <c r="E45" s="103"/>
      <c r="F45" s="103"/>
      <c r="G45" s="103"/>
    </row>
  </sheetData>
  <sheetProtection password="C296" sheet="1" objects="1" scenarios="1" selectLockedCells="1" selectUnlockedCells="1"/>
  <mergeCells count="1">
    <mergeCell ref="A45:G45"/>
  </mergeCells>
  <pageMargins left="1.5" right="1" top="1" bottom="1" header="0" footer="0"/>
  <pageSetup scale="90" fitToWidth="0" fitToHeight="0" orientation="portrait" horizontalDpi="360" verticalDpi="360" r:id="rId1"/>
  <headerFooter>
    <oddFooter xml:space="preserve">&amp;C&amp;"Times New Roman,Regular"&amp;12 &amp;"Arial,Regular"&amp;10 6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17"/>
  <sheetViews>
    <sheetView zoomScaleNormal="100" workbookViewId="0"/>
  </sheetViews>
  <sheetFormatPr defaultColWidth="9.109375" defaultRowHeight="15.6" x14ac:dyDescent="0.3"/>
  <cols>
    <col min="1" max="1" width="38.6640625" style="9" customWidth="1"/>
    <col min="2" max="2" width="2.88671875" style="9" customWidth="1"/>
    <col min="3" max="3" width="19.33203125" style="10" customWidth="1"/>
    <col min="4" max="4" width="3.109375" style="31" customWidth="1"/>
    <col min="5" max="5" width="20.6640625" style="2" customWidth="1"/>
    <col min="6" max="16384" width="9.109375" style="9"/>
  </cols>
  <sheetData>
    <row r="1" spans="1:5" ht="18" x14ac:dyDescent="0.35">
      <c r="A1" s="35" t="s">
        <v>164</v>
      </c>
      <c r="E1" s="37"/>
    </row>
    <row r="2" spans="1:5" ht="18" x14ac:dyDescent="0.35">
      <c r="A2" s="17" t="s">
        <v>40</v>
      </c>
      <c r="E2" s="37"/>
    </row>
    <row r="3" spans="1:5" ht="17.399999999999999" customHeight="1" x14ac:dyDescent="0.3">
      <c r="A3" s="104" t="s">
        <v>59</v>
      </c>
      <c r="B3" s="104"/>
      <c r="C3" s="104"/>
      <c r="D3" s="104"/>
      <c r="E3" s="104"/>
    </row>
    <row r="4" spans="1:5" ht="18" x14ac:dyDescent="0.35">
      <c r="A4" s="17" t="s">
        <v>161</v>
      </c>
      <c r="B4" s="2"/>
    </row>
    <row r="5" spans="1:5" x14ac:dyDescent="0.3">
      <c r="A5" s="2"/>
      <c r="B5" s="2"/>
      <c r="E5" s="38"/>
    </row>
    <row r="6" spans="1:5" x14ac:dyDescent="0.3">
      <c r="A6" s="2"/>
      <c r="B6" s="2"/>
      <c r="C6" s="8">
        <v>2024</v>
      </c>
      <c r="D6" s="24"/>
      <c r="E6" s="8">
        <v>2023</v>
      </c>
    </row>
    <row r="7" spans="1:5" x14ac:dyDescent="0.3">
      <c r="A7" s="2"/>
      <c r="B7" s="2"/>
      <c r="C7" s="8"/>
      <c r="D7" s="24"/>
      <c r="E7" s="8"/>
    </row>
    <row r="8" spans="1:5" x14ac:dyDescent="0.3">
      <c r="A8" s="22" t="s">
        <v>153</v>
      </c>
      <c r="B8" s="2"/>
      <c r="C8" s="64">
        <v>475593189.99999988</v>
      </c>
      <c r="D8" s="25"/>
      <c r="E8" s="64">
        <v>421169998.75</v>
      </c>
    </row>
    <row r="9" spans="1:5" x14ac:dyDescent="0.3">
      <c r="A9" s="21" t="s">
        <v>60</v>
      </c>
      <c r="B9" s="2"/>
      <c r="D9" s="25"/>
      <c r="E9" s="10"/>
    </row>
    <row r="10" spans="1:5" x14ac:dyDescent="0.3">
      <c r="A10" s="21" t="s">
        <v>61</v>
      </c>
      <c r="B10" s="2"/>
      <c r="C10" s="40">
        <v>0</v>
      </c>
      <c r="D10" s="101"/>
      <c r="E10" s="40">
        <v>0</v>
      </c>
    </row>
    <row r="11" spans="1:5" x14ac:dyDescent="0.3">
      <c r="A11" s="21" t="s">
        <v>62</v>
      </c>
      <c r="B11" s="2"/>
      <c r="C11" s="13">
        <v>5140197.58</v>
      </c>
      <c r="D11" s="25"/>
      <c r="E11" s="13">
        <v>3451301.28</v>
      </c>
    </row>
    <row r="12" spans="1:5" x14ac:dyDescent="0.3">
      <c r="A12" s="22" t="s">
        <v>63</v>
      </c>
      <c r="B12" s="1"/>
      <c r="C12" s="80">
        <v>480733387.57999986</v>
      </c>
      <c r="D12" s="26"/>
      <c r="E12" s="80">
        <v>424621300.02999997</v>
      </c>
    </row>
    <row r="13" spans="1:5" ht="31.2" x14ac:dyDescent="0.3">
      <c r="A13" s="28" t="s">
        <v>64</v>
      </c>
      <c r="B13" s="2"/>
      <c r="D13" s="25"/>
      <c r="E13" s="10"/>
    </row>
    <row r="14" spans="1:5" x14ac:dyDescent="0.3">
      <c r="A14" s="29" t="s">
        <v>83</v>
      </c>
      <c r="B14" s="2"/>
      <c r="C14" s="10">
        <v>-6605105.2399999993</v>
      </c>
      <c r="D14" s="25"/>
      <c r="E14" s="10">
        <v>27462250.84</v>
      </c>
    </row>
    <row r="15" spans="1:5" x14ac:dyDescent="0.3">
      <c r="A15" s="30" t="s">
        <v>39</v>
      </c>
      <c r="B15" s="2"/>
      <c r="C15" s="13">
        <v>17652977.379999999</v>
      </c>
      <c r="D15" s="25"/>
      <c r="E15" s="13">
        <v>23509639.129999992</v>
      </c>
    </row>
    <row r="16" spans="1:5" ht="16.2" thickBot="1" x14ac:dyDescent="0.35">
      <c r="A16" s="22" t="s">
        <v>154</v>
      </c>
      <c r="B16" s="1"/>
      <c r="C16" s="67">
        <v>491781259.71999985</v>
      </c>
      <c r="D16" s="26"/>
      <c r="E16" s="67">
        <v>475593189.99999994</v>
      </c>
    </row>
    <row r="17" ht="16.2" thickTop="1" x14ac:dyDescent="0.3"/>
  </sheetData>
  <sheetProtection password="C296" sheet="1" objects="1" scenarios="1" selectLockedCells="1" selectUnlockedCells="1"/>
  <mergeCells count="1">
    <mergeCell ref="A3:E3"/>
  </mergeCells>
  <pageMargins left="1.5" right="1" top="1" bottom="1" header="0" footer="0"/>
  <pageSetup scale="90" fitToWidth="0" fitToHeight="0" orientation="portrait" horizontalDpi="360" verticalDpi="360" r:id="rId1"/>
  <headerFooter>
    <oddFooter xml:space="preserve">&amp;C&amp;"Times New Roman,Regular"&amp;12 &amp;"Arial,Regular"&amp;10 7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44"/>
  <sheetViews>
    <sheetView zoomScaleNormal="100" workbookViewId="0"/>
  </sheetViews>
  <sheetFormatPr defaultColWidth="9.109375" defaultRowHeight="15.6" x14ac:dyDescent="0.3"/>
  <cols>
    <col min="1" max="1" width="2.109375" style="9" customWidth="1"/>
    <col min="2" max="2" width="37.88671875" style="23" customWidth="1"/>
    <col min="3" max="3" width="2.109375" style="23" customWidth="1"/>
    <col min="4" max="4" width="19.33203125" style="5" customWidth="1"/>
    <col min="5" max="5" width="1.6640625" style="5" customWidth="1"/>
    <col min="6" max="6" width="20.6640625" style="5" customWidth="1"/>
    <col min="7" max="16384" width="9.109375" style="9"/>
  </cols>
  <sheetData>
    <row r="1" spans="1:6" ht="18" x14ac:dyDescent="0.35">
      <c r="A1" s="35" t="s">
        <v>164</v>
      </c>
      <c r="B1" s="20"/>
      <c r="C1" s="20"/>
    </row>
    <row r="2" spans="1:6" ht="18" x14ac:dyDescent="0.35">
      <c r="A2" s="17" t="s">
        <v>40</v>
      </c>
      <c r="B2" s="20"/>
      <c r="C2" s="20"/>
    </row>
    <row r="3" spans="1:6" ht="18" x14ac:dyDescent="0.35">
      <c r="A3" s="16" t="s">
        <v>84</v>
      </c>
      <c r="B3" s="20"/>
      <c r="C3" s="20"/>
    </row>
    <row r="4" spans="1:6" ht="18" x14ac:dyDescent="0.35">
      <c r="A4" s="17" t="s">
        <v>161</v>
      </c>
      <c r="B4" s="20"/>
      <c r="C4" s="20"/>
      <c r="D4" s="5" t="s">
        <v>152</v>
      </c>
      <c r="F4" s="5" t="s">
        <v>152</v>
      </c>
    </row>
    <row r="5" spans="1:6" x14ac:dyDescent="0.3">
      <c r="A5" s="2"/>
      <c r="B5" s="21"/>
      <c r="C5" s="21"/>
      <c r="D5" s="8"/>
      <c r="E5" s="9"/>
      <c r="F5" s="8"/>
    </row>
    <row r="6" spans="1:6" x14ac:dyDescent="0.3">
      <c r="A6" s="1" t="s">
        <v>41</v>
      </c>
      <c r="B6" s="21"/>
      <c r="C6" s="21"/>
      <c r="D6" s="8">
        <v>2024</v>
      </c>
      <c r="E6" s="9"/>
      <c r="F6" s="8">
        <v>2023</v>
      </c>
    </row>
    <row r="7" spans="1:6" ht="16.2" x14ac:dyDescent="0.35">
      <c r="A7" s="14" t="s">
        <v>150</v>
      </c>
      <c r="B7" s="21"/>
      <c r="C7" s="21"/>
      <c r="D7" s="8"/>
      <c r="E7" s="9"/>
      <c r="F7" s="8"/>
    </row>
    <row r="8" spans="1:6" x14ac:dyDescent="0.3">
      <c r="A8" s="2"/>
      <c r="B8" s="21" t="s">
        <v>42</v>
      </c>
      <c r="C8" s="21"/>
      <c r="D8" s="68">
        <v>30668781.459999997</v>
      </c>
      <c r="E8" s="21"/>
      <c r="F8" s="68">
        <v>33441649.989999998</v>
      </c>
    </row>
    <row r="9" spans="1:6" x14ac:dyDescent="0.3">
      <c r="A9" s="2"/>
      <c r="B9" s="21" t="s">
        <v>43</v>
      </c>
      <c r="C9" s="21"/>
      <c r="D9" s="5">
        <v>169514927</v>
      </c>
      <c r="E9" s="21"/>
      <c r="F9" s="5">
        <v>159539845</v>
      </c>
    </row>
    <row r="10" spans="1:6" x14ac:dyDescent="0.3">
      <c r="A10" s="2"/>
      <c r="B10" s="21" t="s">
        <v>117</v>
      </c>
      <c r="C10" s="21"/>
      <c r="E10" s="21"/>
    </row>
    <row r="11" spans="1:6" x14ac:dyDescent="0.3">
      <c r="A11" s="2"/>
      <c r="B11" s="21" t="s">
        <v>162</v>
      </c>
      <c r="C11" s="21"/>
      <c r="E11" s="21"/>
    </row>
    <row r="12" spans="1:6" x14ac:dyDescent="0.3">
      <c r="A12" s="2"/>
      <c r="B12" s="21" t="s">
        <v>82</v>
      </c>
      <c r="C12" s="21"/>
      <c r="D12" s="5">
        <v>111045.35</v>
      </c>
      <c r="E12" s="21"/>
      <c r="F12" s="5">
        <v>4400.58</v>
      </c>
    </row>
    <row r="13" spans="1:6" x14ac:dyDescent="0.3">
      <c r="A13" s="2"/>
      <c r="B13" s="21" t="s">
        <v>44</v>
      </c>
      <c r="C13" s="21"/>
      <c r="D13" s="15">
        <v>215161625.97</v>
      </c>
      <c r="E13" s="21"/>
      <c r="F13" s="15">
        <v>30623257</v>
      </c>
    </row>
    <row r="14" spans="1:6" x14ac:dyDescent="0.3">
      <c r="A14" s="2"/>
      <c r="B14" s="22" t="s">
        <v>45</v>
      </c>
      <c r="C14" s="22"/>
      <c r="D14" s="6">
        <v>415456379.77999997</v>
      </c>
      <c r="E14" s="22"/>
      <c r="F14" s="6">
        <v>223609152.57000002</v>
      </c>
    </row>
    <row r="15" spans="1:6" ht="16.2" x14ac:dyDescent="0.35">
      <c r="A15" s="14" t="s">
        <v>151</v>
      </c>
      <c r="B15" s="21"/>
      <c r="C15" s="21"/>
      <c r="E15" s="21"/>
    </row>
    <row r="16" spans="1:6" x14ac:dyDescent="0.3">
      <c r="A16" s="2"/>
      <c r="B16" s="21" t="s">
        <v>46</v>
      </c>
      <c r="C16" s="21"/>
      <c r="D16" s="5">
        <v>18421141.18</v>
      </c>
      <c r="E16" s="21"/>
      <c r="F16" s="5">
        <v>16433337.680000002</v>
      </c>
    </row>
    <row r="17" spans="1:6" x14ac:dyDescent="0.3">
      <c r="A17" s="2"/>
      <c r="B17" s="21" t="s">
        <v>47</v>
      </c>
      <c r="C17" s="21"/>
      <c r="D17" s="5">
        <v>25405727.009999998</v>
      </c>
      <c r="E17" s="21"/>
      <c r="F17" s="5">
        <v>26600637.809999999</v>
      </c>
    </row>
    <row r="18" spans="1:6" x14ac:dyDescent="0.3">
      <c r="A18" s="2"/>
      <c r="B18" s="21" t="s">
        <v>48</v>
      </c>
      <c r="C18" s="21"/>
      <c r="D18" s="5">
        <v>40369989.329999998</v>
      </c>
      <c r="E18" s="21"/>
      <c r="F18" s="5">
        <v>37074240.32</v>
      </c>
    </row>
    <row r="19" spans="1:6" x14ac:dyDescent="0.3">
      <c r="A19" s="2"/>
      <c r="B19" s="21" t="s">
        <v>166</v>
      </c>
      <c r="C19" s="21"/>
      <c r="D19" s="5">
        <v>858.11</v>
      </c>
      <c r="E19" s="21"/>
      <c r="F19" s="5">
        <v>0</v>
      </c>
    </row>
    <row r="20" spans="1:6" x14ac:dyDescent="0.3">
      <c r="A20" s="2"/>
      <c r="B20" s="21" t="s">
        <v>49</v>
      </c>
      <c r="C20" s="21"/>
      <c r="D20" s="18">
        <v>194990540.00999999</v>
      </c>
      <c r="E20" s="21"/>
      <c r="F20" s="18">
        <v>92126703.539999992</v>
      </c>
    </row>
    <row r="21" spans="1:6" x14ac:dyDescent="0.3">
      <c r="A21" s="2"/>
      <c r="B21" s="22" t="s">
        <v>50</v>
      </c>
      <c r="C21" s="22"/>
      <c r="D21" s="79">
        <v>279188255.63999999</v>
      </c>
      <c r="E21" s="22"/>
      <c r="F21" s="79">
        <v>172234919.34999999</v>
      </c>
    </row>
    <row r="22" spans="1:6" ht="16.2" x14ac:dyDescent="0.35">
      <c r="A22" s="14" t="s">
        <v>51</v>
      </c>
      <c r="B22" s="21"/>
      <c r="C22" s="22"/>
      <c r="D22" s="6">
        <v>136268124.13999999</v>
      </c>
      <c r="E22" s="22"/>
      <c r="F22" s="6">
        <v>51374233.220000029</v>
      </c>
    </row>
    <row r="23" spans="1:6" x14ac:dyDescent="0.3">
      <c r="A23" s="1" t="s">
        <v>52</v>
      </c>
      <c r="B23" s="21"/>
      <c r="C23" s="21"/>
      <c r="E23" s="21"/>
    </row>
    <row r="24" spans="1:6" ht="16.2" x14ac:dyDescent="0.35">
      <c r="A24" s="14" t="s">
        <v>150</v>
      </c>
      <c r="B24" s="21"/>
      <c r="C24" s="21"/>
      <c r="E24" s="21"/>
    </row>
    <row r="25" spans="1:6" ht="31.8" x14ac:dyDescent="0.35">
      <c r="A25" s="14"/>
      <c r="B25" s="21" t="s">
        <v>167</v>
      </c>
      <c r="C25" s="21"/>
      <c r="D25" s="5">
        <v>370500</v>
      </c>
      <c r="E25" s="21"/>
      <c r="F25" s="5">
        <v>0</v>
      </c>
    </row>
    <row r="26" spans="1:6" x14ac:dyDescent="0.3">
      <c r="A26" s="2"/>
      <c r="B26" s="22" t="s">
        <v>45</v>
      </c>
      <c r="C26" s="22"/>
      <c r="D26" s="6">
        <v>370500</v>
      </c>
      <c r="E26" s="22"/>
      <c r="F26" s="6">
        <v>0</v>
      </c>
    </row>
    <row r="27" spans="1:6" ht="16.2" x14ac:dyDescent="0.35">
      <c r="A27" s="14" t="s">
        <v>151</v>
      </c>
      <c r="B27" s="21"/>
      <c r="C27" s="21"/>
      <c r="E27" s="21"/>
    </row>
    <row r="28" spans="1:6" ht="31.8" x14ac:dyDescent="0.35">
      <c r="A28" s="14"/>
      <c r="B28" s="21" t="s">
        <v>168</v>
      </c>
      <c r="C28" s="21"/>
      <c r="D28" s="5">
        <v>161649.98000000001</v>
      </c>
      <c r="E28" s="21"/>
    </row>
    <row r="29" spans="1:6" ht="31.2" x14ac:dyDescent="0.3">
      <c r="A29" s="2"/>
      <c r="B29" s="19" t="s">
        <v>53</v>
      </c>
      <c r="C29" s="19"/>
      <c r="D29" s="5">
        <v>80159625.109999999</v>
      </c>
      <c r="E29" s="19"/>
      <c r="F29" s="5">
        <v>76487765.640000001</v>
      </c>
    </row>
    <row r="30" spans="1:6" x14ac:dyDescent="0.3">
      <c r="A30" s="2"/>
      <c r="B30" s="22" t="s">
        <v>50</v>
      </c>
      <c r="C30" s="22"/>
      <c r="D30" s="6">
        <v>80321275.090000004</v>
      </c>
      <c r="E30" s="22"/>
      <c r="F30" s="6">
        <v>76487765.640000001</v>
      </c>
    </row>
    <row r="31" spans="1:6" ht="16.2" x14ac:dyDescent="0.35">
      <c r="A31" s="14" t="s">
        <v>54</v>
      </c>
      <c r="B31" s="21"/>
      <c r="C31" s="22"/>
      <c r="D31" s="6">
        <v>-79950775.090000004</v>
      </c>
      <c r="E31" s="70"/>
      <c r="F31" s="6">
        <v>-76487765.640000001</v>
      </c>
    </row>
    <row r="32" spans="1:6" x14ac:dyDescent="0.3">
      <c r="A32" s="1" t="s">
        <v>55</v>
      </c>
      <c r="B32" s="21"/>
      <c r="C32" s="21"/>
      <c r="E32" s="21"/>
    </row>
    <row r="33" spans="1:6" ht="16.2" x14ac:dyDescent="0.35">
      <c r="A33" s="14" t="s">
        <v>150</v>
      </c>
      <c r="B33" s="21"/>
      <c r="C33" s="21"/>
      <c r="E33" s="21"/>
    </row>
    <row r="34" spans="1:6" x14ac:dyDescent="0.3">
      <c r="A34" s="2"/>
      <c r="B34" s="22" t="s">
        <v>45</v>
      </c>
      <c r="C34" s="22"/>
      <c r="D34" s="6">
        <v>0</v>
      </c>
      <c r="E34" s="22"/>
      <c r="F34" s="6">
        <v>0</v>
      </c>
    </row>
    <row r="35" spans="1:6" ht="16.2" x14ac:dyDescent="0.35">
      <c r="A35" s="14" t="s">
        <v>151</v>
      </c>
      <c r="B35" s="21"/>
      <c r="C35" s="21"/>
      <c r="E35" s="21"/>
    </row>
    <row r="36" spans="1:6" x14ac:dyDescent="0.3">
      <c r="A36" s="2"/>
      <c r="B36" s="22" t="s">
        <v>50</v>
      </c>
      <c r="C36" s="22"/>
      <c r="D36" s="6">
        <v>0</v>
      </c>
      <c r="E36" s="22"/>
      <c r="F36" s="6">
        <v>0</v>
      </c>
    </row>
    <row r="37" spans="1:6" ht="16.2" x14ac:dyDescent="0.35">
      <c r="A37" s="14" t="s">
        <v>56</v>
      </c>
      <c r="B37" s="21"/>
      <c r="C37" s="22"/>
      <c r="D37" s="6">
        <v>0</v>
      </c>
      <c r="E37" s="22"/>
      <c r="F37" s="6">
        <v>0</v>
      </c>
    </row>
    <row r="38" spans="1:6" ht="30.6" customHeight="1" x14ac:dyDescent="0.3">
      <c r="A38" s="105" t="s">
        <v>163</v>
      </c>
      <c r="B38" s="105"/>
      <c r="C38" s="22"/>
      <c r="D38" s="7">
        <v>56317349.049999982</v>
      </c>
      <c r="E38" s="70"/>
      <c r="F38" s="7">
        <v>-25113532.419999972</v>
      </c>
    </row>
    <row r="39" spans="1:6" x14ac:dyDescent="0.3">
      <c r="A39" s="1" t="s">
        <v>57</v>
      </c>
      <c r="B39" s="21"/>
      <c r="C39" s="21"/>
      <c r="D39" s="15">
        <v>49501257.530000016</v>
      </c>
      <c r="E39" s="21"/>
      <c r="F39" s="15">
        <v>74614789.949999988</v>
      </c>
    </row>
    <row r="40" spans="1:6" ht="16.2" thickBot="1" x14ac:dyDescent="0.35">
      <c r="A40" s="1" t="s">
        <v>58</v>
      </c>
      <c r="B40" s="21"/>
      <c r="C40" s="22"/>
      <c r="D40" s="69">
        <v>105818606.58</v>
      </c>
      <c r="E40" s="22"/>
      <c r="F40" s="69">
        <v>49501257.530000016</v>
      </c>
    </row>
    <row r="41" spans="1:6" ht="16.2" thickTop="1" x14ac:dyDescent="0.3"/>
    <row r="43" spans="1:6" ht="14.25" customHeight="1" x14ac:dyDescent="0.3"/>
    <row r="44" spans="1:6" hidden="1" x14ac:dyDescent="0.3"/>
  </sheetData>
  <sheetProtection password="C296" sheet="1" objects="1" scenarios="1" selectLockedCells="1" selectUnlockedCells="1"/>
  <mergeCells count="1">
    <mergeCell ref="A38:B38"/>
  </mergeCells>
  <pageMargins left="1.5" right="1" top="1" bottom="1" header="0" footer="0"/>
  <pageSetup scale="90" fitToWidth="0" fitToHeight="0" orientation="portrait" horizontalDpi="360" verticalDpi="360" r:id="rId1"/>
  <headerFooter>
    <oddFooter xml:space="preserve">&amp;C&amp;"Times New Roman,Regular"&amp;12 &amp;"Arial,Regular"&amp;10 8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zoomScaleNormal="100" zoomScaleSheetLayoutView="100" zoomScalePageLayoutView="90" workbookViewId="0">
      <selection sqref="A1:F1"/>
    </sheetView>
  </sheetViews>
  <sheetFormatPr defaultColWidth="8.6640625" defaultRowHeight="12" x14ac:dyDescent="0.25"/>
  <cols>
    <col min="1" max="1" width="2.44140625" style="51" customWidth="1"/>
    <col min="2" max="2" width="2.6640625" style="51" customWidth="1"/>
    <col min="3" max="3" width="2.88671875" style="51" customWidth="1"/>
    <col min="4" max="4" width="2.44140625" style="51" customWidth="1"/>
    <col min="5" max="5" width="25" style="51" customWidth="1"/>
    <col min="6" max="6" width="13.44140625" style="51" customWidth="1"/>
    <col min="7" max="7" width="13.33203125" style="51" customWidth="1"/>
    <col min="8" max="8" width="12.6640625" style="51" bestFit="1" customWidth="1"/>
    <col min="9" max="9" width="13.33203125" style="51" customWidth="1"/>
    <col min="10" max="10" width="14" style="51" customWidth="1"/>
    <col min="11" max="16384" width="8.6640625" style="51"/>
  </cols>
  <sheetData>
    <row r="1" spans="1:10" s="50" customFormat="1" ht="18" x14ac:dyDescent="0.35">
      <c r="A1" s="102" t="s">
        <v>164</v>
      </c>
      <c r="B1" s="102"/>
      <c r="C1" s="102"/>
      <c r="D1" s="102"/>
      <c r="E1" s="102"/>
      <c r="F1" s="102"/>
      <c r="G1" s="32"/>
      <c r="H1" s="49"/>
      <c r="I1" s="49"/>
      <c r="J1" s="49"/>
    </row>
    <row r="2" spans="1:10" s="50" customFormat="1" ht="18" x14ac:dyDescent="0.35">
      <c r="A2" s="35" t="s">
        <v>40</v>
      </c>
      <c r="B2" s="33"/>
      <c r="C2" s="33"/>
      <c r="D2" s="33"/>
      <c r="E2" s="34"/>
      <c r="F2" s="32"/>
      <c r="G2" s="32"/>
      <c r="H2" s="49"/>
      <c r="I2" s="49"/>
      <c r="J2" s="49"/>
    </row>
    <row r="3" spans="1:10" s="50" customFormat="1" ht="17.399999999999999" x14ac:dyDescent="0.3">
      <c r="A3" s="116" t="s">
        <v>68</v>
      </c>
      <c r="B3" s="116"/>
      <c r="C3" s="116"/>
      <c r="D3" s="116"/>
      <c r="E3" s="116"/>
      <c r="F3" s="116"/>
      <c r="G3" s="116"/>
      <c r="H3" s="49"/>
      <c r="I3" s="49"/>
      <c r="J3" s="49"/>
    </row>
    <row r="4" spans="1:10" s="50" customFormat="1" ht="18" x14ac:dyDescent="0.35">
      <c r="A4" s="35" t="s">
        <v>161</v>
      </c>
      <c r="B4" s="33"/>
      <c r="C4" s="33"/>
      <c r="D4" s="33"/>
      <c r="E4" s="34"/>
      <c r="F4" s="32"/>
      <c r="G4" s="32"/>
      <c r="H4" s="49"/>
      <c r="I4" s="49"/>
      <c r="J4" s="49"/>
    </row>
    <row r="7" spans="1:10" ht="14.4" customHeight="1" x14ac:dyDescent="0.25">
      <c r="A7" s="110" t="s">
        <v>156</v>
      </c>
      <c r="B7" s="111"/>
      <c r="C7" s="111"/>
      <c r="D7" s="111"/>
      <c r="E7" s="112"/>
      <c r="F7" s="117" t="s">
        <v>111</v>
      </c>
      <c r="G7" s="118"/>
      <c r="H7" s="89" t="s">
        <v>112</v>
      </c>
      <c r="I7" s="108" t="s">
        <v>79</v>
      </c>
      <c r="J7" s="90" t="s">
        <v>112</v>
      </c>
    </row>
    <row r="8" spans="1:10" ht="23.4" x14ac:dyDescent="0.25">
      <c r="A8" s="113"/>
      <c r="B8" s="114"/>
      <c r="C8" s="114"/>
      <c r="D8" s="114"/>
      <c r="E8" s="115"/>
      <c r="F8" s="90" t="s">
        <v>69</v>
      </c>
      <c r="G8" s="90" t="s">
        <v>70</v>
      </c>
      <c r="H8" s="78" t="s">
        <v>113</v>
      </c>
      <c r="I8" s="109"/>
      <c r="J8" s="77" t="s">
        <v>114</v>
      </c>
    </row>
    <row r="9" spans="1:10" x14ac:dyDescent="0.25">
      <c r="A9" s="53" t="s">
        <v>71</v>
      </c>
      <c r="D9" s="99"/>
      <c r="E9" s="99"/>
      <c r="F9" s="81"/>
      <c r="G9" s="81"/>
      <c r="I9" s="81"/>
      <c r="J9" s="74"/>
    </row>
    <row r="10" spans="1:10" x14ac:dyDescent="0.25">
      <c r="A10" s="52"/>
      <c r="B10" s="51" t="s">
        <v>85</v>
      </c>
      <c r="F10" s="82"/>
      <c r="G10" s="82"/>
      <c r="H10" s="54"/>
      <c r="I10" s="82"/>
      <c r="J10" s="75"/>
    </row>
    <row r="11" spans="1:10" x14ac:dyDescent="0.25">
      <c r="A11" s="52"/>
      <c r="C11" s="51" t="s">
        <v>86</v>
      </c>
      <c r="F11" s="82"/>
      <c r="G11" s="82"/>
      <c r="H11" s="54"/>
      <c r="I11" s="82"/>
      <c r="J11" s="75"/>
    </row>
    <row r="12" spans="1:10" x14ac:dyDescent="0.25">
      <c r="A12" s="53"/>
      <c r="B12" s="55"/>
      <c r="C12" s="55"/>
      <c r="D12" s="51" t="s">
        <v>87</v>
      </c>
      <c r="F12" s="82">
        <v>1500000</v>
      </c>
      <c r="G12" s="82">
        <v>1500000</v>
      </c>
      <c r="H12" s="54">
        <v>0</v>
      </c>
      <c r="I12" s="82">
        <v>1771335.95</v>
      </c>
      <c r="J12" s="75">
        <v>-271335.94999999995</v>
      </c>
    </row>
    <row r="13" spans="1:10" x14ac:dyDescent="0.25">
      <c r="A13" s="53"/>
      <c r="B13" s="55"/>
      <c r="C13" s="55"/>
      <c r="D13" s="51" t="s">
        <v>88</v>
      </c>
      <c r="F13" s="82">
        <v>8000000</v>
      </c>
      <c r="G13" s="82">
        <v>8000000</v>
      </c>
      <c r="H13" s="54">
        <v>0</v>
      </c>
      <c r="I13" s="82">
        <v>12440521.060000001</v>
      </c>
      <c r="J13" s="75">
        <v>-4440521.0600000005</v>
      </c>
    </row>
    <row r="14" spans="1:10" x14ac:dyDescent="0.25">
      <c r="A14" s="53"/>
      <c r="B14" s="55"/>
      <c r="C14" s="55"/>
      <c r="D14" s="51" t="s">
        <v>89</v>
      </c>
      <c r="F14" s="83">
        <v>921000</v>
      </c>
      <c r="G14" s="83">
        <v>921000</v>
      </c>
      <c r="H14" s="56">
        <v>0</v>
      </c>
      <c r="I14" s="83">
        <v>927383.1</v>
      </c>
      <c r="J14" s="76">
        <v>-6383.0999999999767</v>
      </c>
    </row>
    <row r="15" spans="1:10" x14ac:dyDescent="0.25">
      <c r="A15" s="53"/>
      <c r="B15" s="55"/>
      <c r="C15" s="51" t="s">
        <v>72</v>
      </c>
      <c r="F15" s="59">
        <v>10421000</v>
      </c>
      <c r="G15" s="83">
        <v>10421000</v>
      </c>
      <c r="H15" s="56">
        <v>0</v>
      </c>
      <c r="I15" s="59">
        <v>15139240.109999999</v>
      </c>
      <c r="J15" s="76">
        <v>-4718240.1100000003</v>
      </c>
    </row>
    <row r="16" spans="1:10" x14ac:dyDescent="0.25">
      <c r="A16" s="53"/>
      <c r="B16" s="55"/>
      <c r="C16" s="51" t="s">
        <v>90</v>
      </c>
      <c r="F16" s="82"/>
      <c r="G16" s="82"/>
      <c r="H16" s="54"/>
      <c r="I16" s="84"/>
      <c r="J16" s="75"/>
    </row>
    <row r="17" spans="1:10" x14ac:dyDescent="0.25">
      <c r="A17" s="53"/>
      <c r="B17" s="55"/>
      <c r="C17" s="55"/>
      <c r="D17" s="51" t="s">
        <v>91</v>
      </c>
      <c r="F17" s="82">
        <v>3423500</v>
      </c>
      <c r="G17" s="82">
        <v>3423500</v>
      </c>
      <c r="H17" s="54">
        <v>0</v>
      </c>
      <c r="I17" s="82">
        <v>7494396.7400000002</v>
      </c>
      <c r="J17" s="75">
        <v>-4070896.74</v>
      </c>
    </row>
    <row r="18" spans="1:10" x14ac:dyDescent="0.25">
      <c r="A18" s="53"/>
      <c r="B18" s="55"/>
      <c r="C18" s="55"/>
      <c r="D18" s="51" t="s">
        <v>92</v>
      </c>
      <c r="F18" s="82">
        <v>969500</v>
      </c>
      <c r="G18" s="82">
        <v>969500</v>
      </c>
      <c r="H18" s="54">
        <v>0</v>
      </c>
      <c r="I18" s="82">
        <v>2447469.63</v>
      </c>
      <c r="J18" s="75">
        <v>-1477969.63</v>
      </c>
    </row>
    <row r="19" spans="1:10" x14ac:dyDescent="0.25">
      <c r="A19" s="53"/>
      <c r="B19" s="55"/>
      <c r="C19" s="55"/>
      <c r="D19" s="51" t="s">
        <v>93</v>
      </c>
      <c r="F19" s="82"/>
      <c r="G19" s="82"/>
      <c r="H19" s="54">
        <v>0</v>
      </c>
      <c r="I19" s="83"/>
      <c r="J19" s="75">
        <v>0</v>
      </c>
    </row>
    <row r="20" spans="1:10" x14ac:dyDescent="0.25">
      <c r="A20" s="53"/>
      <c r="B20" s="55"/>
      <c r="C20" s="51" t="s">
        <v>73</v>
      </c>
      <c r="F20" s="59">
        <v>4393000</v>
      </c>
      <c r="G20" s="59">
        <v>4393000</v>
      </c>
      <c r="H20" s="58">
        <v>0</v>
      </c>
      <c r="I20" s="59">
        <v>9941866.370000001</v>
      </c>
      <c r="J20" s="57">
        <v>-5548866.3700000001</v>
      </c>
    </row>
    <row r="21" spans="1:10" x14ac:dyDescent="0.25">
      <c r="A21" s="53"/>
      <c r="B21" s="51" t="s">
        <v>94</v>
      </c>
      <c r="C21" s="55"/>
      <c r="F21" s="82"/>
      <c r="G21" s="82"/>
      <c r="H21" s="54"/>
      <c r="I21" s="82"/>
      <c r="J21" s="75"/>
    </row>
    <row r="22" spans="1:10" ht="24.6" customHeight="1" x14ac:dyDescent="0.25">
      <c r="A22" s="53"/>
      <c r="B22" s="55"/>
      <c r="C22" s="106" t="s">
        <v>95</v>
      </c>
      <c r="D22" s="106"/>
      <c r="E22" s="107"/>
      <c r="F22" s="82">
        <v>169508473</v>
      </c>
      <c r="G22" s="82">
        <v>169508473</v>
      </c>
      <c r="H22" s="54">
        <v>0</v>
      </c>
      <c r="I22" s="82">
        <v>169514927</v>
      </c>
      <c r="J22" s="75">
        <v>-6454</v>
      </c>
    </row>
    <row r="23" spans="1:10" x14ac:dyDescent="0.25">
      <c r="A23" s="53"/>
      <c r="B23" s="55"/>
      <c r="C23" s="51" t="s">
        <v>96</v>
      </c>
      <c r="F23" s="82"/>
      <c r="G23" s="82"/>
      <c r="H23" s="54">
        <v>0</v>
      </c>
      <c r="I23" s="82"/>
      <c r="J23" s="75">
        <v>0</v>
      </c>
    </row>
    <row r="24" spans="1:10" ht="24.6" customHeight="1" x14ac:dyDescent="0.25">
      <c r="A24" s="53"/>
      <c r="B24" s="55"/>
      <c r="C24" s="106" t="s">
        <v>97</v>
      </c>
      <c r="D24" s="106"/>
      <c r="E24" s="107"/>
      <c r="F24" s="82">
        <v>0</v>
      </c>
      <c r="G24" s="82">
        <v>0</v>
      </c>
      <c r="H24" s="54">
        <v>0</v>
      </c>
      <c r="I24" s="82">
        <v>10754.52</v>
      </c>
      <c r="J24" s="75">
        <v>-10754.52</v>
      </c>
    </row>
    <row r="25" spans="1:10" x14ac:dyDescent="0.25">
      <c r="A25" s="52"/>
      <c r="D25" s="51" t="s">
        <v>98</v>
      </c>
      <c r="F25" s="82"/>
      <c r="G25" s="82"/>
      <c r="H25" s="54">
        <v>0</v>
      </c>
      <c r="I25" s="82"/>
      <c r="J25" s="75">
        <v>0</v>
      </c>
    </row>
    <row r="26" spans="1:10" x14ac:dyDescent="0.25">
      <c r="A26" s="52"/>
      <c r="D26" s="51" t="s">
        <v>99</v>
      </c>
      <c r="F26" s="82"/>
      <c r="G26" s="82"/>
      <c r="H26" s="54">
        <v>0</v>
      </c>
      <c r="I26" s="82"/>
      <c r="J26" s="75">
        <v>0</v>
      </c>
    </row>
    <row r="27" spans="1:10" x14ac:dyDescent="0.25">
      <c r="A27" s="52"/>
      <c r="D27" s="51" t="s">
        <v>100</v>
      </c>
      <c r="F27" s="82"/>
      <c r="G27" s="82"/>
      <c r="H27" s="54">
        <v>0</v>
      </c>
      <c r="I27" s="82"/>
      <c r="J27" s="75">
        <v>0</v>
      </c>
    </row>
    <row r="28" spans="1:10" x14ac:dyDescent="0.25">
      <c r="A28" s="52"/>
      <c r="D28" s="51" t="s">
        <v>101</v>
      </c>
      <c r="F28" s="82"/>
      <c r="G28" s="82"/>
      <c r="H28" s="54">
        <v>0</v>
      </c>
      <c r="I28" s="82"/>
      <c r="J28" s="75">
        <v>0</v>
      </c>
    </row>
    <row r="29" spans="1:10" x14ac:dyDescent="0.25">
      <c r="A29" s="52"/>
      <c r="D29" s="51" t="s">
        <v>169</v>
      </c>
      <c r="F29" s="82"/>
      <c r="G29" s="82"/>
      <c r="H29" s="54"/>
      <c r="I29" s="82">
        <v>10754.52</v>
      </c>
      <c r="J29" s="75"/>
    </row>
    <row r="30" spans="1:10" x14ac:dyDescent="0.25">
      <c r="A30" s="52"/>
      <c r="C30" s="51" t="s">
        <v>122</v>
      </c>
      <c r="F30" s="82">
        <v>0</v>
      </c>
      <c r="G30" s="82">
        <v>0</v>
      </c>
      <c r="H30" s="54">
        <v>0</v>
      </c>
      <c r="I30" s="82"/>
      <c r="J30" s="75">
        <v>0</v>
      </c>
    </row>
    <row r="31" spans="1:10" x14ac:dyDescent="0.25">
      <c r="A31" s="52"/>
      <c r="D31" s="51" t="s">
        <v>123</v>
      </c>
      <c r="F31" s="82"/>
      <c r="G31" s="82"/>
      <c r="H31" s="54">
        <v>0</v>
      </c>
      <c r="I31" s="82"/>
      <c r="J31" s="75">
        <v>0</v>
      </c>
    </row>
    <row r="32" spans="1:10" x14ac:dyDescent="0.25">
      <c r="A32" s="52"/>
      <c r="D32" s="51" t="s">
        <v>124</v>
      </c>
      <c r="F32" s="82"/>
      <c r="G32" s="82"/>
      <c r="H32" s="54">
        <v>0</v>
      </c>
      <c r="I32" s="82"/>
      <c r="J32" s="75">
        <v>0</v>
      </c>
    </row>
    <row r="33" spans="1:10" x14ac:dyDescent="0.25">
      <c r="A33" s="52"/>
      <c r="C33" s="51" t="s">
        <v>144</v>
      </c>
      <c r="F33" s="82"/>
      <c r="G33" s="82"/>
      <c r="H33" s="54">
        <v>0</v>
      </c>
      <c r="I33" s="82"/>
      <c r="J33" s="75">
        <v>0</v>
      </c>
    </row>
    <row r="34" spans="1:10" x14ac:dyDescent="0.25">
      <c r="A34" s="52"/>
      <c r="C34" s="51" t="s">
        <v>145</v>
      </c>
      <c r="F34" s="82">
        <v>0</v>
      </c>
      <c r="G34" s="82">
        <v>0</v>
      </c>
      <c r="H34" s="54">
        <v>0</v>
      </c>
      <c r="I34" s="82">
        <v>135439.95000000001</v>
      </c>
      <c r="J34" s="75">
        <v>-135439.95000000001</v>
      </c>
    </row>
    <row r="35" spans="1:10" x14ac:dyDescent="0.25">
      <c r="A35" s="52"/>
      <c r="D35" s="51" t="s">
        <v>146</v>
      </c>
      <c r="F35" s="82"/>
      <c r="G35" s="82"/>
      <c r="H35" s="54">
        <v>0</v>
      </c>
      <c r="I35" s="82">
        <v>135439.95000000001</v>
      </c>
      <c r="J35" s="75">
        <v>-135439.95000000001</v>
      </c>
    </row>
    <row r="36" spans="1:10" x14ac:dyDescent="0.25">
      <c r="A36" s="52"/>
      <c r="D36" s="51" t="s">
        <v>147</v>
      </c>
      <c r="F36" s="82"/>
      <c r="G36" s="82"/>
      <c r="H36" s="54">
        <v>0</v>
      </c>
      <c r="I36" s="82"/>
      <c r="J36" s="75">
        <v>0</v>
      </c>
    </row>
    <row r="37" spans="1:10" x14ac:dyDescent="0.25">
      <c r="A37" s="52"/>
      <c r="D37" s="51" t="s">
        <v>148</v>
      </c>
      <c r="F37" s="82"/>
      <c r="G37" s="82"/>
      <c r="H37" s="54">
        <v>0</v>
      </c>
      <c r="I37" s="82"/>
      <c r="J37" s="75">
        <v>0</v>
      </c>
    </row>
    <row r="38" spans="1:10" x14ac:dyDescent="0.25">
      <c r="A38" s="52"/>
      <c r="B38" s="51" t="s">
        <v>149</v>
      </c>
      <c r="F38" s="82"/>
      <c r="G38" s="82"/>
      <c r="H38" s="54">
        <v>0</v>
      </c>
      <c r="I38" s="82"/>
      <c r="J38" s="75">
        <v>0</v>
      </c>
    </row>
    <row r="39" spans="1:10" s="55" customFormat="1" ht="11.4" x14ac:dyDescent="0.2">
      <c r="A39" s="53" t="s">
        <v>102</v>
      </c>
      <c r="F39" s="92">
        <v>184322473</v>
      </c>
      <c r="G39" s="92">
        <v>184322473</v>
      </c>
      <c r="H39" s="93">
        <v>0</v>
      </c>
      <c r="I39" s="92">
        <v>194742227.94999999</v>
      </c>
      <c r="J39" s="94">
        <v>-10419754.949999999</v>
      </c>
    </row>
    <row r="40" spans="1:10" x14ac:dyDescent="0.25">
      <c r="A40" s="53" t="s">
        <v>103</v>
      </c>
      <c r="F40" s="82"/>
      <c r="G40" s="82"/>
      <c r="H40" s="54"/>
      <c r="I40" s="82"/>
      <c r="J40" s="75"/>
    </row>
    <row r="41" spans="1:10" x14ac:dyDescent="0.25">
      <c r="A41" s="53" t="s">
        <v>104</v>
      </c>
      <c r="F41" s="82"/>
      <c r="G41" s="82"/>
      <c r="H41" s="54"/>
      <c r="I41" s="82"/>
      <c r="J41" s="75"/>
    </row>
    <row r="42" spans="1:10" x14ac:dyDescent="0.25">
      <c r="A42" s="52"/>
      <c r="B42" s="55" t="s">
        <v>105</v>
      </c>
      <c r="C42" s="55"/>
      <c r="F42" s="82"/>
      <c r="G42" s="82"/>
      <c r="H42" s="54"/>
      <c r="I42" s="82"/>
      <c r="J42" s="75"/>
    </row>
    <row r="43" spans="1:10" x14ac:dyDescent="0.25">
      <c r="A43" s="52"/>
      <c r="B43" s="55"/>
      <c r="C43" s="51" t="s">
        <v>80</v>
      </c>
      <c r="F43" s="82">
        <v>53083460</v>
      </c>
      <c r="G43" s="82">
        <v>58372989.870000005</v>
      </c>
      <c r="H43" s="54">
        <v>-5289529.8700000048</v>
      </c>
      <c r="I43" s="82">
        <v>52680740.630000003</v>
      </c>
      <c r="J43" s="75">
        <v>5692249.2400000021</v>
      </c>
    </row>
    <row r="44" spans="1:10" x14ac:dyDescent="0.25">
      <c r="A44" s="52"/>
      <c r="B44" s="55"/>
      <c r="C44" s="51" t="s">
        <v>31</v>
      </c>
      <c r="F44" s="82">
        <v>35134247.369999997</v>
      </c>
      <c r="G44" s="82">
        <v>41225247.370000005</v>
      </c>
      <c r="H44" s="54">
        <v>-6091000.0000000075</v>
      </c>
      <c r="I44" s="82">
        <v>38363753.660000004</v>
      </c>
      <c r="J44" s="75">
        <v>2861493.7100000009</v>
      </c>
    </row>
    <row r="45" spans="1:10" x14ac:dyDescent="0.25">
      <c r="A45" s="52"/>
      <c r="B45" s="55"/>
      <c r="C45" s="51" t="s">
        <v>74</v>
      </c>
      <c r="F45" s="82">
        <v>5000000</v>
      </c>
      <c r="G45" s="82">
        <v>10245000</v>
      </c>
      <c r="H45" s="54">
        <v>-5245000</v>
      </c>
      <c r="I45" s="82">
        <v>7942000.0499999998</v>
      </c>
      <c r="J45" s="75">
        <v>2302999.9500000002</v>
      </c>
    </row>
    <row r="46" spans="1:10" x14ac:dyDescent="0.25">
      <c r="A46" s="52"/>
      <c r="B46" s="55" t="s">
        <v>75</v>
      </c>
      <c r="F46" s="82"/>
      <c r="G46" s="82"/>
      <c r="H46" s="54"/>
      <c r="I46" s="82"/>
      <c r="J46" s="75"/>
    </row>
    <row r="47" spans="1:10" x14ac:dyDescent="0.25">
      <c r="A47" s="52"/>
      <c r="C47" s="51" t="s">
        <v>80</v>
      </c>
      <c r="F47" s="82"/>
      <c r="G47" s="82"/>
      <c r="H47" s="54">
        <v>0</v>
      </c>
      <c r="I47" s="82"/>
      <c r="J47" s="75">
        <v>0</v>
      </c>
    </row>
    <row r="48" spans="1:10" x14ac:dyDescent="0.25">
      <c r="A48" s="52"/>
      <c r="C48" s="51" t="s">
        <v>31</v>
      </c>
      <c r="F48" s="82"/>
      <c r="G48" s="82"/>
      <c r="H48" s="54">
        <v>0</v>
      </c>
      <c r="I48" s="82"/>
      <c r="J48" s="75">
        <v>0</v>
      </c>
    </row>
    <row r="49" spans="1:10" x14ac:dyDescent="0.25">
      <c r="A49" s="52"/>
      <c r="B49" s="55" t="s">
        <v>76</v>
      </c>
      <c r="F49" s="82"/>
      <c r="G49" s="82"/>
      <c r="H49" s="54"/>
      <c r="I49" s="82"/>
      <c r="J49" s="75"/>
    </row>
    <row r="50" spans="1:10" x14ac:dyDescent="0.25">
      <c r="A50" s="52"/>
      <c r="C50" s="51" t="s">
        <v>80</v>
      </c>
      <c r="F50" s="82">
        <v>16925698</v>
      </c>
      <c r="G50" s="82">
        <v>15820398</v>
      </c>
      <c r="H50" s="54">
        <v>1105300</v>
      </c>
      <c r="I50" s="82">
        <v>14174067.119999999</v>
      </c>
      <c r="J50" s="75">
        <v>1646330.8800000008</v>
      </c>
    </row>
    <row r="51" spans="1:10" x14ac:dyDescent="0.25">
      <c r="A51" s="52"/>
      <c r="C51" s="51" t="s">
        <v>31</v>
      </c>
      <c r="F51" s="82">
        <v>3508600</v>
      </c>
      <c r="G51" s="82">
        <v>3596600</v>
      </c>
      <c r="H51" s="54">
        <v>-88000</v>
      </c>
      <c r="I51" s="82">
        <v>3059757.59</v>
      </c>
      <c r="J51" s="75">
        <v>536842.41000000015</v>
      </c>
    </row>
    <row r="52" spans="1:10" x14ac:dyDescent="0.25">
      <c r="A52" s="52"/>
      <c r="B52" s="55" t="s">
        <v>77</v>
      </c>
      <c r="C52" s="55"/>
      <c r="F52" s="82"/>
      <c r="G52" s="82"/>
      <c r="H52" s="54"/>
      <c r="I52" s="82"/>
      <c r="J52" s="75"/>
    </row>
    <row r="53" spans="1:10" x14ac:dyDescent="0.25">
      <c r="A53" s="52"/>
      <c r="C53" s="51" t="s">
        <v>80</v>
      </c>
      <c r="F53" s="82">
        <v>11458441</v>
      </c>
      <c r="G53" s="82">
        <v>11179820</v>
      </c>
      <c r="H53" s="54">
        <v>278621</v>
      </c>
      <c r="I53" s="82">
        <v>8880901.1799999997</v>
      </c>
      <c r="J53" s="75">
        <v>2298918.8200000003</v>
      </c>
    </row>
    <row r="54" spans="1:10" x14ac:dyDescent="0.25">
      <c r="A54" s="52"/>
      <c r="C54" s="51" t="s">
        <v>31</v>
      </c>
      <c r="F54" s="82">
        <v>5163000</v>
      </c>
      <c r="G54" s="82">
        <v>8294000</v>
      </c>
      <c r="H54" s="54">
        <v>-3131000</v>
      </c>
      <c r="I54" s="82">
        <v>7951256.1900000004</v>
      </c>
      <c r="J54" s="75">
        <v>342743.80999999959</v>
      </c>
    </row>
    <row r="55" spans="1:10" x14ac:dyDescent="0.25">
      <c r="A55" s="52"/>
      <c r="B55" s="55" t="s">
        <v>106</v>
      </c>
      <c r="C55" s="55"/>
      <c r="F55" s="82"/>
      <c r="G55" s="82"/>
      <c r="H55" s="54"/>
      <c r="I55" s="82"/>
      <c r="J55" s="75"/>
    </row>
    <row r="56" spans="1:10" x14ac:dyDescent="0.25">
      <c r="A56" s="52"/>
      <c r="B56" s="51" t="s">
        <v>118</v>
      </c>
      <c r="F56" s="82"/>
      <c r="G56" s="82"/>
      <c r="H56" s="54"/>
      <c r="I56" s="82"/>
      <c r="J56" s="75"/>
    </row>
    <row r="57" spans="1:10" x14ac:dyDescent="0.25">
      <c r="A57" s="52"/>
      <c r="C57" s="51" t="s">
        <v>31</v>
      </c>
      <c r="F57" s="82">
        <v>6616123.6500000004</v>
      </c>
      <c r="G57" s="82">
        <v>6616123.6500000004</v>
      </c>
      <c r="H57" s="54">
        <v>0</v>
      </c>
      <c r="I57" s="82">
        <v>6384037.79</v>
      </c>
      <c r="J57" s="75">
        <v>232085.86000000034</v>
      </c>
    </row>
    <row r="58" spans="1:10" x14ac:dyDescent="0.25">
      <c r="A58" s="52"/>
      <c r="C58" s="51" t="s">
        <v>74</v>
      </c>
      <c r="F58" s="82">
        <v>2600000</v>
      </c>
      <c r="G58" s="82">
        <v>2600000</v>
      </c>
      <c r="H58" s="54">
        <v>0</v>
      </c>
      <c r="I58" s="82">
        <v>265834.40999999997</v>
      </c>
      <c r="J58" s="75">
        <v>2334165.59</v>
      </c>
    </row>
    <row r="59" spans="1:10" x14ac:dyDescent="0.25">
      <c r="A59" s="52"/>
      <c r="B59" s="51" t="s">
        <v>119</v>
      </c>
      <c r="F59" s="82"/>
      <c r="G59" s="82"/>
      <c r="H59" s="54"/>
      <c r="I59" s="82"/>
      <c r="J59" s="75"/>
    </row>
    <row r="60" spans="1:10" x14ac:dyDescent="0.25">
      <c r="A60" s="52"/>
      <c r="C60" s="51" t="s">
        <v>74</v>
      </c>
      <c r="E60" s="74"/>
      <c r="F60" s="82">
        <v>33901694.600000001</v>
      </c>
      <c r="G60" s="82">
        <v>33901694.600000001</v>
      </c>
      <c r="H60" s="54">
        <v>0</v>
      </c>
      <c r="I60" s="82">
        <v>29463309.079999998</v>
      </c>
      <c r="J60" s="75">
        <v>4438385.5200000033</v>
      </c>
    </row>
    <row r="61" spans="1:10" x14ac:dyDescent="0.25">
      <c r="A61" s="52"/>
      <c r="B61" s="51" t="s">
        <v>120</v>
      </c>
      <c r="E61" s="74"/>
      <c r="F61" s="82"/>
      <c r="G61" s="82"/>
      <c r="H61" s="54"/>
      <c r="I61" s="82"/>
      <c r="J61" s="75"/>
    </row>
    <row r="62" spans="1:10" x14ac:dyDescent="0.25">
      <c r="A62" s="91"/>
      <c r="B62" s="61"/>
      <c r="C62" s="61" t="s">
        <v>31</v>
      </c>
      <c r="D62" s="61"/>
      <c r="E62" s="100"/>
      <c r="F62" s="83"/>
      <c r="G62" s="83"/>
      <c r="H62" s="56">
        <v>0</v>
      </c>
      <c r="I62" s="83"/>
      <c r="J62" s="76">
        <v>0</v>
      </c>
    </row>
    <row r="63" spans="1:10" x14ac:dyDescent="0.25">
      <c r="A63" s="52"/>
      <c r="B63" s="51" t="s">
        <v>78</v>
      </c>
      <c r="F63" s="82"/>
      <c r="G63" s="82"/>
      <c r="H63" s="54"/>
      <c r="I63" s="82"/>
      <c r="J63" s="75"/>
    </row>
    <row r="64" spans="1:10" x14ac:dyDescent="0.25">
      <c r="A64" s="52"/>
      <c r="C64" s="51" t="s">
        <v>31</v>
      </c>
      <c r="F64" s="82">
        <v>8410687.4800000004</v>
      </c>
      <c r="G64" s="82">
        <v>8410687.4800000004</v>
      </c>
      <c r="H64" s="54">
        <v>0</v>
      </c>
      <c r="I64" s="82">
        <v>7214519.6200000001</v>
      </c>
      <c r="J64" s="75">
        <v>1196167.8600000003</v>
      </c>
    </row>
    <row r="65" spans="1:10" x14ac:dyDescent="0.25">
      <c r="A65" s="52"/>
      <c r="C65" s="51" t="s">
        <v>74</v>
      </c>
      <c r="F65" s="82">
        <v>2520520.9</v>
      </c>
      <c r="G65" s="82">
        <v>2520520.9</v>
      </c>
      <c r="H65" s="54">
        <v>0</v>
      </c>
      <c r="I65" s="82">
        <v>143842.10999999999</v>
      </c>
      <c r="J65" s="75">
        <v>2376678.79</v>
      </c>
    </row>
    <row r="66" spans="1:10" s="55" customFormat="1" ht="11.4" x14ac:dyDescent="0.2">
      <c r="A66" s="60"/>
      <c r="B66" s="85" t="s">
        <v>107</v>
      </c>
      <c r="C66" s="85"/>
      <c r="D66" s="85"/>
      <c r="E66" s="85"/>
      <c r="F66" s="92">
        <v>184322473</v>
      </c>
      <c r="G66" s="92">
        <v>202783081.87</v>
      </c>
      <c r="H66" s="93">
        <v>-18460608.870000012</v>
      </c>
      <c r="I66" s="92">
        <v>176524019.43000001</v>
      </c>
      <c r="J66" s="94">
        <v>26259062.440000005</v>
      </c>
    </row>
    <row r="67" spans="1:10" x14ac:dyDescent="0.25">
      <c r="A67" s="53" t="s">
        <v>108</v>
      </c>
      <c r="B67" s="55"/>
      <c r="F67" s="82"/>
      <c r="G67" s="82"/>
      <c r="H67" s="54"/>
      <c r="I67" s="82"/>
      <c r="J67" s="75"/>
    </row>
    <row r="68" spans="1:10" x14ac:dyDescent="0.25">
      <c r="A68" s="52"/>
      <c r="B68" s="55" t="s">
        <v>105</v>
      </c>
      <c r="C68" s="55"/>
      <c r="F68" s="82"/>
      <c r="G68" s="82"/>
      <c r="H68" s="54"/>
      <c r="I68" s="82"/>
      <c r="J68" s="75"/>
    </row>
    <row r="69" spans="1:10" x14ac:dyDescent="0.25">
      <c r="A69" s="52"/>
      <c r="C69" s="51" t="s">
        <v>74</v>
      </c>
      <c r="F69" s="82">
        <v>1876583.11</v>
      </c>
      <c r="G69" s="82">
        <v>1876583.11</v>
      </c>
      <c r="H69" s="54">
        <v>0</v>
      </c>
      <c r="I69" s="82">
        <v>80060</v>
      </c>
      <c r="J69" s="75">
        <v>1796523.11</v>
      </c>
    </row>
    <row r="70" spans="1:10" x14ac:dyDescent="0.25">
      <c r="A70" s="91"/>
      <c r="B70" s="85" t="s">
        <v>121</v>
      </c>
      <c r="C70" s="85"/>
      <c r="D70" s="61"/>
      <c r="E70" s="100"/>
      <c r="F70" s="83"/>
      <c r="G70" s="83"/>
      <c r="H70" s="56"/>
      <c r="I70" s="83"/>
      <c r="J70" s="76"/>
    </row>
    <row r="71" spans="1:10" x14ac:dyDescent="0.25">
      <c r="A71" s="52"/>
      <c r="C71" s="51" t="s">
        <v>74</v>
      </c>
      <c r="E71" s="74"/>
      <c r="F71" s="82"/>
      <c r="G71" s="82"/>
      <c r="H71" s="54">
        <v>0</v>
      </c>
      <c r="I71" s="82"/>
      <c r="J71" s="75">
        <v>0</v>
      </c>
    </row>
    <row r="72" spans="1:10" x14ac:dyDescent="0.25">
      <c r="A72" s="52"/>
      <c r="B72" s="55" t="s">
        <v>75</v>
      </c>
      <c r="F72" s="82"/>
      <c r="G72" s="82"/>
      <c r="H72" s="54"/>
      <c r="I72" s="82"/>
      <c r="J72" s="75"/>
    </row>
    <row r="73" spans="1:10" x14ac:dyDescent="0.25">
      <c r="A73" s="52"/>
      <c r="C73" s="51" t="s">
        <v>74</v>
      </c>
      <c r="F73" s="82"/>
      <c r="G73" s="82"/>
      <c r="H73" s="54">
        <v>0</v>
      </c>
      <c r="I73" s="82"/>
      <c r="J73" s="75">
        <v>0</v>
      </c>
    </row>
    <row r="74" spans="1:10" x14ac:dyDescent="0.25">
      <c r="A74" s="52"/>
      <c r="B74" s="55" t="s">
        <v>76</v>
      </c>
      <c r="F74" s="82"/>
      <c r="G74" s="82"/>
      <c r="H74" s="54"/>
      <c r="I74" s="82"/>
      <c r="J74" s="75"/>
    </row>
    <row r="75" spans="1:10" x14ac:dyDescent="0.25">
      <c r="A75" s="52"/>
      <c r="C75" s="51" t="s">
        <v>74</v>
      </c>
      <c r="F75" s="82"/>
      <c r="G75" s="82"/>
      <c r="H75" s="54">
        <v>0</v>
      </c>
      <c r="I75" s="82"/>
      <c r="J75" s="75">
        <v>0</v>
      </c>
    </row>
    <row r="76" spans="1:10" x14ac:dyDescent="0.25">
      <c r="A76" s="52"/>
      <c r="B76" s="55" t="s">
        <v>77</v>
      </c>
      <c r="F76" s="82"/>
      <c r="G76" s="82"/>
      <c r="H76" s="54"/>
      <c r="I76" s="82"/>
      <c r="J76" s="75"/>
    </row>
    <row r="77" spans="1:10" x14ac:dyDescent="0.25">
      <c r="A77" s="52"/>
      <c r="C77" s="51" t="s">
        <v>74</v>
      </c>
      <c r="F77" s="82"/>
      <c r="G77" s="82"/>
      <c r="H77" s="54">
        <v>0</v>
      </c>
      <c r="I77" s="82"/>
      <c r="J77" s="75">
        <v>0</v>
      </c>
    </row>
    <row r="78" spans="1:10" x14ac:dyDescent="0.25">
      <c r="A78" s="52"/>
      <c r="B78" s="55" t="s">
        <v>106</v>
      </c>
      <c r="F78" s="82"/>
      <c r="G78" s="82"/>
      <c r="H78" s="54"/>
      <c r="I78" s="82"/>
      <c r="J78" s="75"/>
    </row>
    <row r="79" spans="1:10" x14ac:dyDescent="0.25">
      <c r="A79" s="52"/>
      <c r="C79" s="51" t="s">
        <v>74</v>
      </c>
      <c r="F79" s="82">
        <v>9523648.120000001</v>
      </c>
      <c r="G79" s="82">
        <v>9523648.120000001</v>
      </c>
      <c r="H79" s="54">
        <v>0</v>
      </c>
      <c r="I79" s="82">
        <v>5469128.6300000008</v>
      </c>
      <c r="J79" s="75">
        <v>4054519.49</v>
      </c>
    </row>
    <row r="80" spans="1:10" x14ac:dyDescent="0.25">
      <c r="A80" s="52"/>
      <c r="B80" s="55" t="s">
        <v>109</v>
      </c>
      <c r="F80" s="59">
        <v>11400231.23</v>
      </c>
      <c r="G80" s="59">
        <v>11400231.23</v>
      </c>
      <c r="H80" s="58">
        <v>0</v>
      </c>
      <c r="I80" s="59">
        <v>5549188.6300000008</v>
      </c>
      <c r="J80" s="57">
        <v>5851042.6000000006</v>
      </c>
    </row>
    <row r="81" spans="1:10" s="55" customFormat="1" ht="11.4" x14ac:dyDescent="0.2">
      <c r="A81" s="53" t="s">
        <v>110</v>
      </c>
      <c r="F81" s="92">
        <v>195722704.22999999</v>
      </c>
      <c r="G81" s="92">
        <v>214183313.09999999</v>
      </c>
      <c r="H81" s="93">
        <v>-18460608.870000012</v>
      </c>
      <c r="I81" s="92">
        <v>182073208.06</v>
      </c>
      <c r="J81" s="94">
        <v>32110105.040000007</v>
      </c>
    </row>
    <row r="82" spans="1:10" s="55" customFormat="1" ht="11.4" x14ac:dyDescent="0.2">
      <c r="A82" s="60" t="s">
        <v>39</v>
      </c>
      <c r="B82" s="85"/>
      <c r="C82" s="85"/>
      <c r="D82" s="85"/>
      <c r="E82" s="85"/>
      <c r="F82" s="92">
        <v>-11400231.229999989</v>
      </c>
      <c r="G82" s="95">
        <v>-29860840.099999994</v>
      </c>
      <c r="H82" s="96">
        <v>18460608.870000012</v>
      </c>
      <c r="I82" s="97">
        <v>12669019.889999986</v>
      </c>
      <c r="J82" s="98">
        <v>-42529859.99000001</v>
      </c>
    </row>
    <row r="84" spans="1:10" x14ac:dyDescent="0.25">
      <c r="I84" s="88"/>
    </row>
    <row r="85" spans="1:10" x14ac:dyDescent="0.25">
      <c r="I85" s="88"/>
    </row>
  </sheetData>
  <sheetProtection password="C296" sheet="1" objects="1" scenarios="1" selectLockedCells="1" selectUnlockedCells="1"/>
  <mergeCells count="7">
    <mergeCell ref="C22:E22"/>
    <mergeCell ref="C24:E24"/>
    <mergeCell ref="I7:I8"/>
    <mergeCell ref="A7:E8"/>
    <mergeCell ref="A1:F1"/>
    <mergeCell ref="A3:G3"/>
    <mergeCell ref="F7:G7"/>
  </mergeCells>
  <pageMargins left="1.2074074074074075" right="0.87407407407407411" top="1" bottom="1" header="0" footer="0"/>
  <pageSetup scale="80" fitToHeight="0" orientation="portrait" horizontalDpi="0" verticalDpi="0" r:id="rId1"/>
  <headerFooter differentFirst="1">
    <oddFooter xml:space="preserve">&amp;C&amp;"Arial,Regular"&amp;10 10
&amp;"-,Regular"&amp;11
</oddFooter>
    <firstFooter xml:space="preserve">&amp;C9
</firstFooter>
  </headerFooter>
  <rowBreaks count="1" manualBreakCount="1">
    <brk id="6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I17" sqref="I17:I19"/>
    </sheetView>
  </sheetViews>
  <sheetFormatPr defaultRowHeight="14.4" x14ac:dyDescent="0.3"/>
  <cols>
    <col min="1" max="1" width="4.5546875" customWidth="1"/>
    <col min="2" max="2" width="10.44140625" customWidth="1"/>
    <col min="3" max="3" width="14" style="45" customWidth="1"/>
    <col min="4" max="4" width="15.33203125" style="45" customWidth="1"/>
    <col min="5" max="5" width="12.88671875" style="45" customWidth="1"/>
    <col min="6" max="11" width="13.6640625" style="45" customWidth="1"/>
    <col min="12" max="12" width="13.6640625" customWidth="1"/>
  </cols>
  <sheetData>
    <row r="1" spans="1:11" x14ac:dyDescent="0.3">
      <c r="C1" s="119" t="s">
        <v>128</v>
      </c>
      <c r="D1" s="119"/>
      <c r="E1" s="119"/>
      <c r="F1" s="119" t="s">
        <v>70</v>
      </c>
      <c r="G1" s="119"/>
      <c r="H1" s="119"/>
      <c r="I1" s="119" t="s">
        <v>129</v>
      </c>
      <c r="J1" s="119"/>
      <c r="K1" s="119"/>
    </row>
    <row r="2" spans="1:11" x14ac:dyDescent="0.3">
      <c r="C2" s="41" t="s">
        <v>125</v>
      </c>
      <c r="D2" s="41" t="s">
        <v>126</v>
      </c>
      <c r="E2" s="41" t="s">
        <v>127</v>
      </c>
      <c r="F2" s="41" t="s">
        <v>125</v>
      </c>
      <c r="G2" s="41" t="s">
        <v>126</v>
      </c>
      <c r="H2" s="41" t="s">
        <v>127</v>
      </c>
      <c r="I2" s="41" t="s">
        <v>125</v>
      </c>
      <c r="J2" s="41" t="s">
        <v>126</v>
      </c>
      <c r="K2" s="41" t="s">
        <v>127</v>
      </c>
    </row>
    <row r="3" spans="1:11" x14ac:dyDescent="0.3">
      <c r="A3" t="s">
        <v>130</v>
      </c>
      <c r="C3" s="42"/>
      <c r="D3" s="43"/>
      <c r="E3" s="44"/>
      <c r="I3" s="42"/>
      <c r="J3" s="43"/>
      <c r="K3" s="44"/>
    </row>
    <row r="4" spans="1:11" x14ac:dyDescent="0.3">
      <c r="B4" t="s">
        <v>131</v>
      </c>
      <c r="C4" s="42">
        <v>4300318.4000000004</v>
      </c>
      <c r="D4" s="43">
        <v>16999239.399999999</v>
      </c>
      <c r="E4" s="44">
        <v>0</v>
      </c>
      <c r="F4" s="45">
        <v>3722655.4</v>
      </c>
      <c r="G4" s="45">
        <v>16999239.399999999</v>
      </c>
      <c r="H4" s="45">
        <v>0</v>
      </c>
      <c r="I4" s="42">
        <v>3473827.48</v>
      </c>
      <c r="J4" s="43">
        <v>14881116.140000001</v>
      </c>
      <c r="K4" s="44">
        <v>0</v>
      </c>
    </row>
    <row r="5" spans="1:11" x14ac:dyDescent="0.3">
      <c r="B5" t="s">
        <v>132</v>
      </c>
      <c r="C5" s="42">
        <v>1298058</v>
      </c>
      <c r="D5" s="43">
        <v>643000</v>
      </c>
      <c r="E5" s="44">
        <v>50000</v>
      </c>
      <c r="F5" s="45">
        <v>1313058</v>
      </c>
      <c r="G5" s="45">
        <v>643000</v>
      </c>
      <c r="H5" s="45">
        <v>50000</v>
      </c>
      <c r="I5" s="42">
        <v>1313057.28</v>
      </c>
      <c r="J5" s="43">
        <v>531405.09</v>
      </c>
      <c r="K5" s="44">
        <v>0</v>
      </c>
    </row>
    <row r="6" spans="1:11" x14ac:dyDescent="0.3">
      <c r="B6" t="s">
        <v>133</v>
      </c>
      <c r="C6" s="42">
        <v>14433776.380000001</v>
      </c>
      <c r="D6" s="43">
        <v>2279000</v>
      </c>
      <c r="E6" s="44">
        <v>50000</v>
      </c>
      <c r="F6" s="45">
        <v>14633439.380000001</v>
      </c>
      <c r="G6" s="45">
        <v>2279000</v>
      </c>
      <c r="H6" s="45">
        <v>50000</v>
      </c>
      <c r="I6" s="42">
        <v>14482212.27</v>
      </c>
      <c r="J6" s="43">
        <v>1953541.83</v>
      </c>
      <c r="K6" s="44">
        <v>49290</v>
      </c>
    </row>
    <row r="7" spans="1:11" x14ac:dyDescent="0.3">
      <c r="B7" t="s">
        <v>134</v>
      </c>
      <c r="C7" s="42">
        <v>1890936.47</v>
      </c>
      <c r="D7" s="43">
        <v>455000</v>
      </c>
      <c r="E7" s="44">
        <v>250000</v>
      </c>
      <c r="F7" s="45">
        <v>1950936.47</v>
      </c>
      <c r="G7" s="45">
        <v>455000</v>
      </c>
      <c r="H7" s="45">
        <v>250000</v>
      </c>
      <c r="I7" s="42">
        <v>1912054.66</v>
      </c>
      <c r="J7" s="43">
        <v>407096.29</v>
      </c>
      <c r="K7" s="44">
        <v>250000</v>
      </c>
    </row>
    <row r="8" spans="1:11" x14ac:dyDescent="0.3">
      <c r="B8" t="s">
        <v>135</v>
      </c>
      <c r="C8" s="42">
        <v>1173124</v>
      </c>
      <c r="D8" s="43">
        <v>237000</v>
      </c>
      <c r="E8" s="44">
        <v>0</v>
      </c>
      <c r="F8" s="45">
        <v>1072124</v>
      </c>
      <c r="G8" s="45">
        <v>237000</v>
      </c>
      <c r="H8" s="45">
        <v>0</v>
      </c>
      <c r="I8" s="42">
        <v>954884.2</v>
      </c>
      <c r="J8" s="43">
        <v>206972</v>
      </c>
      <c r="K8" s="44"/>
    </row>
    <row r="9" spans="1:11" x14ac:dyDescent="0.3">
      <c r="B9" t="s">
        <v>136</v>
      </c>
      <c r="C9" s="42">
        <v>1138764.8899999999</v>
      </c>
      <c r="D9" s="43">
        <v>119000</v>
      </c>
      <c r="E9" s="44">
        <v>0</v>
      </c>
      <c r="F9" s="45">
        <v>800434.89</v>
      </c>
      <c r="G9" s="45">
        <v>119000</v>
      </c>
      <c r="I9" s="42">
        <v>596027.71</v>
      </c>
      <c r="J9" s="43">
        <v>95477.38</v>
      </c>
      <c r="K9" s="44"/>
    </row>
    <row r="10" spans="1:11" x14ac:dyDescent="0.3">
      <c r="B10" t="s">
        <v>137</v>
      </c>
      <c r="C10" s="42">
        <v>2050774.93</v>
      </c>
      <c r="D10" s="43">
        <v>506000</v>
      </c>
      <c r="E10" s="44">
        <v>120000</v>
      </c>
      <c r="F10" s="45">
        <v>2096774.93</v>
      </c>
      <c r="G10" s="45">
        <v>506000</v>
      </c>
      <c r="H10" s="45">
        <v>120000</v>
      </c>
      <c r="I10" s="42">
        <v>1989179.43</v>
      </c>
      <c r="J10" s="43">
        <v>329384.28000000003</v>
      </c>
      <c r="K10" s="44"/>
    </row>
    <row r="11" spans="1:11" x14ac:dyDescent="0.3">
      <c r="B11" t="s">
        <v>138</v>
      </c>
      <c r="C11" s="42">
        <v>1662687.85</v>
      </c>
      <c r="D11" s="43">
        <v>227000</v>
      </c>
      <c r="E11" s="44"/>
      <c r="F11" s="45">
        <v>1692687.85</v>
      </c>
      <c r="G11" s="45">
        <v>227000</v>
      </c>
      <c r="I11" s="42">
        <v>1692687.78</v>
      </c>
      <c r="J11" s="43">
        <v>207166.38</v>
      </c>
      <c r="K11" s="44"/>
    </row>
    <row r="12" spans="1:11" x14ac:dyDescent="0.3">
      <c r="B12" t="s">
        <v>139</v>
      </c>
      <c r="C12" s="42">
        <v>2691841.48</v>
      </c>
      <c r="D12" s="43">
        <v>393000</v>
      </c>
      <c r="E12" s="44">
        <v>0</v>
      </c>
      <c r="F12" s="45">
        <v>2826841.48</v>
      </c>
      <c r="G12" s="45">
        <v>393000</v>
      </c>
      <c r="I12" s="42">
        <v>2787603.3</v>
      </c>
      <c r="J12" s="43">
        <v>322471.5</v>
      </c>
      <c r="K12" s="44"/>
    </row>
    <row r="13" spans="1:11" x14ac:dyDescent="0.3">
      <c r="B13" t="s">
        <v>140</v>
      </c>
      <c r="C13" s="42">
        <v>1871842.75</v>
      </c>
      <c r="D13" s="43">
        <v>251000</v>
      </c>
      <c r="E13" s="44"/>
      <c r="F13" s="45">
        <v>1901842.75</v>
      </c>
      <c r="G13" s="45">
        <v>251000</v>
      </c>
      <c r="I13" s="42">
        <v>1654792.84</v>
      </c>
      <c r="J13" s="43">
        <v>223792.95</v>
      </c>
      <c r="K13" s="44"/>
    </row>
    <row r="14" spans="1:11" x14ac:dyDescent="0.3">
      <c r="B14" t="s">
        <v>141</v>
      </c>
      <c r="C14" s="42">
        <v>1860136.26</v>
      </c>
      <c r="D14" s="43">
        <v>368000</v>
      </c>
      <c r="E14" s="44">
        <v>50000</v>
      </c>
      <c r="F14" s="45">
        <v>1920136.26</v>
      </c>
      <c r="G14" s="45">
        <v>368000</v>
      </c>
      <c r="H14" s="45">
        <v>50000</v>
      </c>
      <c r="I14" s="42">
        <v>1802176.55</v>
      </c>
      <c r="J14" s="43">
        <v>351384.98</v>
      </c>
      <c r="K14" s="44">
        <v>42750</v>
      </c>
    </row>
    <row r="15" spans="1:11" x14ac:dyDescent="0.3">
      <c r="B15" t="s">
        <v>142</v>
      </c>
      <c r="C15" s="42">
        <v>3921109.82</v>
      </c>
      <c r="D15" s="43">
        <v>628918</v>
      </c>
      <c r="E15" s="44">
        <v>50000</v>
      </c>
      <c r="F15" s="45">
        <v>4031109.82</v>
      </c>
      <c r="G15" s="45">
        <v>628918</v>
      </c>
      <c r="H15" s="45">
        <v>50000</v>
      </c>
      <c r="I15" s="42">
        <v>3598529.23</v>
      </c>
      <c r="J15" s="43">
        <v>443009.25</v>
      </c>
      <c r="K15" s="44">
        <v>3200</v>
      </c>
    </row>
    <row r="16" spans="1:11" x14ac:dyDescent="0.3">
      <c r="B16" t="s">
        <v>143</v>
      </c>
      <c r="C16" s="42">
        <v>1786184.23</v>
      </c>
      <c r="D16" s="43">
        <v>216000</v>
      </c>
      <c r="E16" s="44">
        <v>50000</v>
      </c>
      <c r="F16" s="45">
        <v>1831184.23</v>
      </c>
      <c r="G16" s="45">
        <v>216000</v>
      </c>
      <c r="H16" s="45">
        <v>50000</v>
      </c>
      <c r="I16" s="42">
        <v>1686394.9</v>
      </c>
      <c r="J16" s="43">
        <v>195401.38</v>
      </c>
      <c r="K16" s="44"/>
    </row>
    <row r="17" spans="3:11" x14ac:dyDescent="0.3">
      <c r="C17" s="42">
        <f t="shared" ref="C17:H17" si="0">SUM(C4:C16)</f>
        <v>40079555.460000001</v>
      </c>
      <c r="D17" s="42">
        <f t="shared" si="0"/>
        <v>23322157.399999999</v>
      </c>
      <c r="E17" s="42">
        <f t="shared" si="0"/>
        <v>620000</v>
      </c>
      <c r="F17" s="42">
        <f t="shared" si="0"/>
        <v>39793225.460000001</v>
      </c>
      <c r="G17" s="42">
        <f t="shared" si="0"/>
        <v>23322157.399999999</v>
      </c>
      <c r="H17" s="42">
        <f t="shared" si="0"/>
        <v>620000</v>
      </c>
      <c r="I17" s="42">
        <f>SUM(I4:I16)</f>
        <v>37943427.630000003</v>
      </c>
      <c r="J17" s="42">
        <f>SUM(J4:J16)</f>
        <v>20148219.449999999</v>
      </c>
      <c r="K17" s="42">
        <f>SUM(K4:K16)</f>
        <v>345240</v>
      </c>
    </row>
    <row r="18" spans="3:11" x14ac:dyDescent="0.3">
      <c r="C18" s="42">
        <f>D17</f>
        <v>23322157.399999999</v>
      </c>
      <c r="D18" s="43"/>
      <c r="E18" s="44"/>
      <c r="F18" s="45">
        <f>G17</f>
        <v>23322157.399999999</v>
      </c>
      <c r="I18" s="42">
        <f>J17</f>
        <v>20148219.449999999</v>
      </c>
      <c r="J18" s="43"/>
      <c r="K18" s="44"/>
    </row>
    <row r="19" spans="3:11" x14ac:dyDescent="0.3">
      <c r="C19" s="42">
        <f>E17</f>
        <v>620000</v>
      </c>
      <c r="D19" s="43"/>
      <c r="E19" s="44"/>
      <c r="F19" s="45">
        <f>H17</f>
        <v>620000</v>
      </c>
      <c r="I19" s="42">
        <f>K17</f>
        <v>345240</v>
      </c>
      <c r="J19" s="43"/>
      <c r="K19" s="44"/>
    </row>
    <row r="20" spans="3:11" x14ac:dyDescent="0.3">
      <c r="C20" s="42"/>
      <c r="D20" s="43"/>
      <c r="E20" s="44"/>
      <c r="I20" s="42"/>
      <c r="J20" s="43"/>
      <c r="K20" s="44"/>
    </row>
    <row r="21" spans="3:11" x14ac:dyDescent="0.3">
      <c r="C21" s="42"/>
      <c r="D21" s="43"/>
      <c r="E21" s="44"/>
      <c r="I21" s="42"/>
      <c r="J21" s="43"/>
      <c r="K21" s="44"/>
    </row>
    <row r="22" spans="3:11" x14ac:dyDescent="0.3">
      <c r="C22" s="42"/>
      <c r="D22" s="43"/>
      <c r="E22" s="44"/>
      <c r="I22" s="42"/>
      <c r="J22" s="43"/>
      <c r="K22" s="44"/>
    </row>
    <row r="23" spans="3:11" x14ac:dyDescent="0.3">
      <c r="C23" s="42"/>
      <c r="D23" s="43"/>
      <c r="E23" s="44"/>
      <c r="I23" s="42"/>
      <c r="J23" s="43"/>
      <c r="K23" s="44"/>
    </row>
    <row r="24" spans="3:11" x14ac:dyDescent="0.3">
      <c r="C24" s="42"/>
      <c r="D24" s="43"/>
      <c r="E24" s="44"/>
      <c r="I24" s="42"/>
      <c r="J24" s="43"/>
      <c r="K24" s="44"/>
    </row>
    <row r="25" spans="3:11" x14ac:dyDescent="0.3">
      <c r="C25" s="46"/>
      <c r="D25" s="47"/>
      <c r="E25" s="48"/>
      <c r="I25" s="46"/>
      <c r="J25" s="47"/>
      <c r="K25" s="48"/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Position</vt:lpstr>
      <vt:lpstr>Performance</vt:lpstr>
      <vt:lpstr>Changes</vt:lpstr>
      <vt:lpstr>Cash Flows</vt:lpstr>
      <vt:lpstr>SCBAA</vt:lpstr>
      <vt:lpstr>Sheet1</vt:lpstr>
      <vt:lpstr>'Cash Flows'!Print_Area</vt:lpstr>
      <vt:lpstr>Changes!Print_Area</vt:lpstr>
      <vt:lpstr>Position!Print_Area</vt:lpstr>
      <vt:lpstr>SCBAA!Print_Titles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Municipality of Abulug, Cagayan</dc:creator>
  <cp:lastModifiedBy>Jayson L. Gabat</cp:lastModifiedBy>
  <cp:lastPrinted>2025-07-29T07:12:31Z</cp:lastPrinted>
  <dcterms:created xsi:type="dcterms:W3CDTF">2016-03-02T03:15:49Z</dcterms:created>
  <dcterms:modified xsi:type="dcterms:W3CDTF">2025-12-04T06:09:53Z</dcterms:modified>
</cp:coreProperties>
</file>