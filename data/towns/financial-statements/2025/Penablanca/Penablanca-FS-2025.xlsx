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5\10-15-2026\Region 2\Final\Peñablanca_Cagayan_aar2025\AAR\"/>
    </mc:Choice>
  </mc:AlternateContent>
  <xr:revisionPtr revIDLastSave="0" documentId="13_ncr:1_{B285288C-4A4A-4338-96D4-4D4E3C41BF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FPosition" sheetId="1" r:id="rId1"/>
    <sheet name="SFPerformance" sheetId="2" r:id="rId2"/>
    <sheet name="SCNAE" sheetId="3" r:id="rId3"/>
    <sheet name="SCFlows" sheetId="4" r:id="rId4"/>
    <sheet name="SCBAA" sheetId="5" r:id="rId5"/>
  </sheets>
  <calcPr calcId="0"/>
</workbook>
</file>

<file path=xl/sharedStrings.xml><?xml version="1.0" encoding="utf-8"?>
<sst xmlns="http://schemas.openxmlformats.org/spreadsheetml/2006/main" count="215" uniqueCount="147">
  <si>
    <t>Republic of the Philippines</t>
  </si>
  <si>
    <t>Province of Cagayan</t>
  </si>
  <si>
    <t>MUNICIPALITY OF PEÑABLANCA</t>
  </si>
  <si>
    <t>CONSOLIDATED STATEMENT OF FINANCIAL POSITION</t>
  </si>
  <si>
    <t>As at December 31, 2025</t>
  </si>
  <si>
    <t>(With Comparative Figures for CY 2024)</t>
  </si>
  <si>
    <t>ASSETS</t>
  </si>
  <si>
    <t>Note</t>
  </si>
  <si>
    <t xml:space="preserve">  Current Asset</t>
  </si>
  <si>
    <t>Cash and Cash Equivalents</t>
  </si>
  <si>
    <t>₱</t>
  </si>
  <si>
    <t>Investments</t>
  </si>
  <si>
    <t>Receivables</t>
  </si>
  <si>
    <t>Inventories</t>
  </si>
  <si>
    <t>Total Current Assets</t>
  </si>
  <si>
    <t xml:space="preserve">   Non-Current Asset</t>
  </si>
  <si>
    <t>Property, Plant and Equipment - Net</t>
  </si>
  <si>
    <t>Total Non Current Assets</t>
  </si>
  <si>
    <t>TOTAL  ASSETS</t>
  </si>
  <si>
    <t>LIABILITIES</t>
  </si>
  <si>
    <t xml:space="preserve">  Current Liabilities</t>
  </si>
  <si>
    <t>Financial Liabilities</t>
  </si>
  <si>
    <t>Inter-Agency Liabilities</t>
  </si>
  <si>
    <t>Intra-Agency Liabilities</t>
  </si>
  <si>
    <t>Trust Liabilities</t>
  </si>
  <si>
    <t>Deferred Credits/Unearned Income</t>
  </si>
  <si>
    <t>Total Current Liabilities</t>
  </si>
  <si>
    <t xml:space="preserve">  Non-Current Liabilities</t>
  </si>
  <si>
    <t>Other Payables</t>
  </si>
  <si>
    <t>Total Non-Current Liabilities</t>
  </si>
  <si>
    <t>TOTAL LIABILITIES</t>
  </si>
  <si>
    <t>NET ASSETS/EQUITY</t>
  </si>
  <si>
    <t xml:space="preserve">     Government Equity  </t>
  </si>
  <si>
    <t>TOTAL LIABILITIES AND NET ASSETS/ EQUITY</t>
  </si>
  <si>
    <t>(See accompanying Notes to Financial Statements)</t>
  </si>
  <si>
    <t>CONSOLIDATED STATEMENT OF FINANCIAL PERFORMANCE</t>
  </si>
  <si>
    <t>For the Year Ended December 31, 2025</t>
  </si>
  <si>
    <t>REVENUE</t>
  </si>
  <si>
    <t>Tax Revenue</t>
  </si>
  <si>
    <t>Share from Internal Revenue Collections (IRA)</t>
  </si>
  <si>
    <t>Other Share from National Taxes</t>
  </si>
  <si>
    <t xml:space="preserve">Service and Business Income </t>
  </si>
  <si>
    <t>Other Income</t>
  </si>
  <si>
    <t>Total Revenue</t>
  </si>
  <si>
    <t>Less Current Operating Expenses</t>
  </si>
  <si>
    <t>Personnel Services</t>
  </si>
  <si>
    <t>Maintenance and Other Operating Expenses</t>
  </si>
  <si>
    <t>Non-Cash Expenses</t>
  </si>
  <si>
    <t>Total Current Operating Expenses</t>
  </si>
  <si>
    <t>Surplus (Deficit) from Current Operation</t>
  </si>
  <si>
    <t xml:space="preserve">Add (Deduct) </t>
  </si>
  <si>
    <t>Transfer, Assistance and Subsidy From</t>
  </si>
  <si>
    <t>Transfer, Assistance and Subsidy To</t>
  </si>
  <si>
    <t>Surplus (Deficit) for the Period</t>
  </si>
  <si>
    <t>CONSOLIDATED STATEMENT OF CHANGES IN NET ASSETS/EQUITY</t>
  </si>
  <si>
    <t>Accumulated Surplus (Deficit)</t>
  </si>
  <si>
    <t>Balance, January 1</t>
  </si>
  <si>
    <t xml:space="preserve">Add/(Deduct):  </t>
  </si>
  <si>
    <t>Changes in Accounting Policy</t>
  </si>
  <si>
    <t>Prior Period Errors</t>
  </si>
  <si>
    <t>Restated Balance</t>
  </si>
  <si>
    <t>Add/(Deduct)  Changes in Net Assets/Equity during the Year:</t>
  </si>
  <si>
    <t>Adjustment of net Revenue Recognized Directly in net Assets/Equity</t>
  </si>
  <si>
    <t>Surplus/(Deficit) During the Year</t>
  </si>
  <si>
    <t>Total Recognized Revenue and Expenses for the Period</t>
  </si>
  <si>
    <t>Balance, December 31</t>
  </si>
  <si>
    <t>CONSOLIDATED STATEMENT OF CASH FLOWS</t>
  </si>
  <si>
    <t>Cash Flows from Operating Activities:</t>
  </si>
  <si>
    <t>Cash Inflows:</t>
  </si>
  <si>
    <t>Collection from taxpayers</t>
  </si>
  <si>
    <t>Share from Internal Revenue Allotment</t>
  </si>
  <si>
    <t>Receipts from business/service income</t>
  </si>
  <si>
    <t xml:space="preserve">Interest Income </t>
  </si>
  <si>
    <t>Other Receipts</t>
  </si>
  <si>
    <t>Total Cash Inflows</t>
  </si>
  <si>
    <t>Cash Outflows:</t>
  </si>
  <si>
    <t>Payments of expenses</t>
  </si>
  <si>
    <t xml:space="preserve">Payment to suppliers and creditors </t>
  </si>
  <si>
    <t>Payment to employees</t>
  </si>
  <si>
    <t>Interest Expense</t>
  </si>
  <si>
    <t>Other Expenses</t>
  </si>
  <si>
    <t>Total Cash Outflows</t>
  </si>
  <si>
    <t>Net Cash Flows from Operating Activities</t>
  </si>
  <si>
    <t>Cash Flows From Investing Activities:</t>
  </si>
  <si>
    <t>Purchase/Construction of Property, Plant and Equipment</t>
  </si>
  <si>
    <t>Net Cash Flows From Investing Activities</t>
  </si>
  <si>
    <t>Cash Flows From Financing Activities:</t>
  </si>
  <si>
    <t>Net Cash Flows From Financing Activities</t>
  </si>
  <si>
    <t xml:space="preserve">Total Cash Provided by Operating, Investing and Financing Activities </t>
  </si>
  <si>
    <t>Add : Cash at the Beginning of the year</t>
  </si>
  <si>
    <t>Cash Balance, Ending</t>
  </si>
  <si>
    <t>Municipality of Peñablanca</t>
  </si>
  <si>
    <t>Statement of Comparison of Budget and Actual Amounts</t>
  </si>
  <si>
    <t xml:space="preserve">Budgeted </t>
  </si>
  <si>
    <t xml:space="preserve">Difference Original and Final Budget </t>
  </si>
  <si>
    <t xml:space="preserve">Difference </t>
  </si>
  <si>
    <t>Amounts</t>
  </si>
  <si>
    <t>Actual</t>
  </si>
  <si>
    <t>Final Budget</t>
  </si>
  <si>
    <t>Original</t>
  </si>
  <si>
    <t>Final</t>
  </si>
  <si>
    <t>and Actual</t>
  </si>
  <si>
    <t>General Fund</t>
  </si>
  <si>
    <t>Revenue</t>
  </si>
  <si>
    <t xml:space="preserve">A.  Local Sources </t>
  </si>
  <si>
    <t>1.  Tax Revenue</t>
  </si>
  <si>
    <t xml:space="preserve"> </t>
  </si>
  <si>
    <t>a.  Tax Revenue - Property</t>
  </si>
  <si>
    <t>b. Tax Revenue - Goods and Services</t>
  </si>
  <si>
    <t>c.  Other Local Taxes</t>
  </si>
  <si>
    <t>Total Tax Revenue</t>
  </si>
  <si>
    <t>2.  Non-Tax Revenue</t>
  </si>
  <si>
    <t>a.  Service Income</t>
  </si>
  <si>
    <t>b.  Business Income</t>
  </si>
  <si>
    <t>c.  Other Income and Receipts</t>
  </si>
  <si>
    <t>Total Non-Tax Revenue</t>
  </si>
  <si>
    <t>B.  External Sources</t>
  </si>
  <si>
    <t>1.  Share from the National Internal Revenue Taxes (IRA)</t>
  </si>
  <si>
    <t>2.  Share from GOCCs</t>
  </si>
  <si>
    <t>3.  Other Shares from National Tax Collections</t>
  </si>
  <si>
    <t>a.  Share from Ecozone</t>
  </si>
  <si>
    <t>b.  Share from EVAT</t>
  </si>
  <si>
    <t>c.  Share from National Wealth</t>
  </si>
  <si>
    <t>d. Share from Tobacco Excise Tax</t>
  </si>
  <si>
    <t>4.  Other Receipts</t>
  </si>
  <si>
    <t>C. Receipts from Borrowings</t>
  </si>
  <si>
    <t>D. Unappropriated Balances</t>
  </si>
  <si>
    <t>E. Savings From Prior Years</t>
  </si>
  <si>
    <t>F. Continuing Appropriations</t>
  </si>
  <si>
    <t>Total Revenue and Receipts</t>
  </si>
  <si>
    <t xml:space="preserve">Expenditures </t>
  </si>
  <si>
    <t>Current Aprropriations</t>
  </si>
  <si>
    <t>General Public Services</t>
  </si>
  <si>
    <t>Capital Outlay</t>
  </si>
  <si>
    <t>Education</t>
  </si>
  <si>
    <t>Health, Nutrition and Population Control</t>
  </si>
  <si>
    <t>Social Services and Social Welfare</t>
  </si>
  <si>
    <t>Economic Services</t>
  </si>
  <si>
    <t>Other Purposes:</t>
  </si>
  <si>
    <t>LDRRMF</t>
  </si>
  <si>
    <t>20% Development Fund</t>
  </si>
  <si>
    <t>Others</t>
  </si>
  <si>
    <t>Total Current Approrpiations</t>
  </si>
  <si>
    <t>Continuing Aprropriations</t>
  </si>
  <si>
    <t>Total Continuing Approrpiations</t>
  </si>
  <si>
    <t xml:space="preserve"> Total</t>
  </si>
  <si>
    <t>Surplus (Deficit) for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</si>
</sst>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  <font>
      <sz val="12"/>
      <color theme="3" tint="-0.249977111117893"/>
      <name val="Times New Roman"/>
      <family val="1"/>
    </font>
    <font>
      <sz val="12"/>
      <color theme="3" tint="-0.249977111117893"/>
      <name val="Calibri"/>
      <family val="2"/>
      <scheme val="minor"/>
    </font>
    <font>
      <sz val="12"/>
      <color theme="3" tint="-0.249977111117893"/>
      <name val="Arial"/>
      <family val="2"/>
    </font>
    <font>
      <sz val="10"/>
      <name val="Times New Roman"/>
      <family val="1"/>
    </font>
    <font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3" tint="-0.249977111117893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1">
    <xf numFmtId="0" fontId="0" fillId="0" borderId="0"/>
    <xf numFmtId="43" fontId="12" fillId="0" borderId="0"/>
    <xf numFmtId="0" fontId="4" fillId="0" borderId="0">
      <alignment vertical="top"/>
      <protection locked="0"/>
    </xf>
    <xf numFmtId="43" fontId="5" fillId="0" borderId="0"/>
    <xf numFmtId="0" fontId="5" fillId="0" borderId="0"/>
    <xf numFmtId="0" fontId="5" fillId="0" borderId="0"/>
    <xf numFmtId="43" fontId="12" fillId="0" borderId="0"/>
    <xf numFmtId="43" fontId="12" fillId="0" borderId="0"/>
    <xf numFmtId="0" fontId="12" fillId="0" borderId="0"/>
    <xf numFmtId="43" fontId="12" fillId="0" borderId="0"/>
    <xf numFmtId="0" fontId="12" fillId="0" borderId="0"/>
  </cellStyleXfs>
  <cellXfs count="1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43" fontId="1" fillId="0" borderId="0" xfId="1" applyFont="1"/>
    <xf numFmtId="0" fontId="2" fillId="0" borderId="0" xfId="0" applyFont="1"/>
    <xf numFmtId="0" fontId="3" fillId="0" borderId="0" xfId="0" applyFont="1"/>
    <xf numFmtId="0" fontId="1" fillId="0" borderId="0" xfId="0" quotePrefix="1" applyFont="1"/>
    <xf numFmtId="0" fontId="2" fillId="0" borderId="0" xfId="0" quotePrefix="1" applyFont="1"/>
    <xf numFmtId="0" fontId="2" fillId="0" borderId="0" xfId="0" applyFont="1" applyAlignment="1">
      <alignment horizontal="center"/>
    </xf>
    <xf numFmtId="0" fontId="6" fillId="0" borderId="0" xfId="0" applyFont="1"/>
    <xf numFmtId="43" fontId="2" fillId="0" borderId="2" xfId="0" applyNumberFormat="1" applyFont="1" applyBorder="1"/>
    <xf numFmtId="43" fontId="2" fillId="0" borderId="1" xfId="0" applyNumberFormat="1" applyFont="1" applyBorder="1"/>
    <xf numFmtId="43" fontId="1" fillId="0" borderId="0" xfId="0" applyNumberFormat="1" applyFont="1"/>
    <xf numFmtId="43" fontId="1" fillId="0" borderId="3" xfId="1" applyFont="1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43" fontId="6" fillId="0" borderId="0" xfId="0" applyNumberFormat="1" applyFont="1"/>
    <xf numFmtId="0" fontId="7" fillId="0" borderId="0" xfId="0" applyFont="1"/>
    <xf numFmtId="0" fontId="8" fillId="0" borderId="0" xfId="0" applyFont="1"/>
    <xf numFmtId="43" fontId="2" fillId="0" borderId="0" xfId="0" applyNumberFormat="1" applyFont="1"/>
    <xf numFmtId="0" fontId="3" fillId="0" borderId="0" xfId="0" quotePrefix="1" applyFont="1"/>
    <xf numFmtId="43" fontId="2" fillId="0" borderId="4" xfId="1" applyFont="1" applyBorder="1"/>
    <xf numFmtId="0" fontId="2" fillId="0" borderId="0" xfId="0" applyFont="1" applyAlignment="1">
      <alignment horizontal="right"/>
    </xf>
    <xf numFmtId="43" fontId="2" fillId="0" borderId="1" xfId="1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/>
    </xf>
    <xf numFmtId="0" fontId="11" fillId="0" borderId="0" xfId="0" quotePrefix="1" applyFont="1" applyAlignment="1">
      <alignment horizontal="center"/>
    </xf>
    <xf numFmtId="43" fontId="1" fillId="0" borderId="0" xfId="0" applyNumberFormat="1" applyFont="1" applyAlignment="1">
      <alignment horizontal="right"/>
    </xf>
    <xf numFmtId="0" fontId="13" fillId="0" borderId="0" xfId="0" applyFont="1"/>
    <xf numFmtId="43" fontId="1" fillId="0" borderId="5" xfId="0" applyNumberFormat="1" applyFont="1" applyBorder="1"/>
    <xf numFmtId="43" fontId="1" fillId="0" borderId="3" xfId="0" applyNumberFormat="1" applyFont="1" applyBorder="1"/>
    <xf numFmtId="43" fontId="2" fillId="0" borderId="5" xfId="0" applyNumberFormat="1" applyFont="1" applyBorder="1"/>
    <xf numFmtId="43" fontId="2" fillId="0" borderId="17" xfId="1" applyFont="1" applyBorder="1"/>
    <xf numFmtId="43" fontId="2" fillId="0" borderId="3" xfId="0" applyNumberFormat="1" applyFont="1" applyBorder="1"/>
    <xf numFmtId="43" fontId="15" fillId="0" borderId="0" xfId="9" applyFont="1" applyAlignment="1">
      <alignment horizontal="center"/>
    </xf>
    <xf numFmtId="43" fontId="15" fillId="0" borderId="0" xfId="9" applyFont="1"/>
    <xf numFmtId="0" fontId="15" fillId="0" borderId="0" xfId="10" applyFont="1"/>
    <xf numFmtId="43" fontId="16" fillId="0" borderId="7" xfId="7" applyFont="1" applyBorder="1" applyAlignment="1">
      <alignment horizontal="center"/>
    </xf>
    <xf numFmtId="0" fontId="17" fillId="0" borderId="0" xfId="4" applyFont="1"/>
    <xf numFmtId="43" fontId="16" fillId="0" borderId="13" xfId="7" applyFont="1" applyBorder="1" applyAlignment="1">
      <alignment horizontal="center"/>
    </xf>
    <xf numFmtId="43" fontId="16" fillId="0" borderId="11" xfId="7" applyFont="1" applyBorder="1" applyAlignment="1">
      <alignment horizontal="center"/>
    </xf>
    <xf numFmtId="43" fontId="16" fillId="0" borderId="3" xfId="7" applyFont="1" applyBorder="1" applyAlignment="1">
      <alignment horizontal="center"/>
    </xf>
    <xf numFmtId="43" fontId="16" fillId="0" borderId="14" xfId="7" applyFont="1" applyBorder="1" applyAlignment="1">
      <alignment horizontal="center"/>
    </xf>
    <xf numFmtId="43" fontId="16" fillId="0" borderId="9" xfId="7" applyFont="1" applyBorder="1"/>
    <xf numFmtId="43" fontId="17" fillId="0" borderId="0" xfId="7" applyFont="1"/>
    <xf numFmtId="43" fontId="17" fillId="0" borderId="10" xfId="7" applyFont="1" applyBorder="1"/>
    <xf numFmtId="43" fontId="17" fillId="0" borderId="11" xfId="7" applyFont="1" applyBorder="1"/>
    <xf numFmtId="43" fontId="17" fillId="0" borderId="9" xfId="7" applyFont="1" applyBorder="1"/>
    <xf numFmtId="43" fontId="17" fillId="0" borderId="0" xfId="7" applyFont="1" applyAlignment="1">
      <alignment horizontal="justify" vertical="center" wrapText="1"/>
    </xf>
    <xf numFmtId="43" fontId="17" fillId="0" borderId="10" xfId="7" applyFont="1" applyBorder="1" applyAlignment="1">
      <alignment horizontal="justify" vertical="center" wrapText="1"/>
    </xf>
    <xf numFmtId="43" fontId="18" fillId="0" borderId="0" xfId="7" applyFont="1"/>
    <xf numFmtId="43" fontId="18" fillId="0" borderId="10" xfId="7" applyFont="1" applyBorder="1"/>
    <xf numFmtId="43" fontId="16" fillId="0" borderId="0" xfId="7" applyFont="1"/>
    <xf numFmtId="43" fontId="16" fillId="0" borderId="10" xfId="7" applyFont="1" applyBorder="1"/>
    <xf numFmtId="43" fontId="16" fillId="0" borderId="8" xfId="7" applyFont="1" applyBorder="1"/>
    <xf numFmtId="43" fontId="16" fillId="0" borderId="15" xfId="7" applyFont="1" applyBorder="1"/>
    <xf numFmtId="43" fontId="18" fillId="0" borderId="9" xfId="7" applyFont="1" applyBorder="1"/>
    <xf numFmtId="43" fontId="18" fillId="0" borderId="11" xfId="7" applyFont="1" applyBorder="1"/>
    <xf numFmtId="43" fontId="17" fillId="0" borderId="3" xfId="7" applyFont="1" applyBorder="1"/>
    <xf numFmtId="43" fontId="17" fillId="0" borderId="13" xfId="7" applyFont="1" applyBorder="1"/>
    <xf numFmtId="43" fontId="17" fillId="0" borderId="7" xfId="7" applyFont="1" applyBorder="1"/>
    <xf numFmtId="43" fontId="9" fillId="0" borderId="10" xfId="7" applyFont="1" applyBorder="1"/>
    <xf numFmtId="43" fontId="9" fillId="0" borderId="11" xfId="7" applyFont="1" applyBorder="1"/>
    <xf numFmtId="43" fontId="16" fillId="0" borderId="0" xfId="7" applyFont="1" applyAlignment="1">
      <alignment wrapText="1"/>
    </xf>
    <xf numFmtId="43" fontId="17" fillId="0" borderId="0" xfId="7" applyFont="1" applyAlignment="1">
      <alignment wrapText="1"/>
    </xf>
    <xf numFmtId="43" fontId="17" fillId="0" borderId="10" xfId="7" applyFont="1" applyBorder="1" applyAlignment="1">
      <alignment wrapText="1"/>
    </xf>
    <xf numFmtId="43" fontId="9" fillId="0" borderId="0" xfId="7" applyFont="1"/>
    <xf numFmtId="43" fontId="16" fillId="0" borderId="3" xfId="7" applyFont="1" applyBorder="1"/>
    <xf numFmtId="43" fontId="19" fillId="0" borderId="12" xfId="7" applyFont="1" applyBorder="1"/>
    <xf numFmtId="43" fontId="18" fillId="0" borderId="7" xfId="7" applyFont="1" applyBorder="1"/>
    <xf numFmtId="0" fontId="10" fillId="0" borderId="0" xfId="0" applyFont="1"/>
    <xf numFmtId="43" fontId="16" fillId="0" borderId="15" xfId="0" applyNumberFormat="1" applyFont="1" applyBorder="1"/>
    <xf numFmtId="43" fontId="16" fillId="0" borderId="16" xfId="7" applyFont="1" applyBorder="1"/>
    <xf numFmtId="43" fontId="17" fillId="0" borderId="9" xfId="7" applyFont="1" applyBorder="1" applyAlignment="1">
      <alignment horizontal="center"/>
    </xf>
    <xf numFmtId="43" fontId="16" fillId="0" borderId="14" xfId="7" applyFont="1" applyBorder="1"/>
    <xf numFmtId="43" fontId="17" fillId="0" borderId="10" xfId="1" applyFont="1" applyBorder="1"/>
    <xf numFmtId="43" fontId="10" fillId="0" borderId="0" xfId="0" applyNumberFormat="1" applyFont="1"/>
    <xf numFmtId="43" fontId="2" fillId="0" borderId="2" xfId="1" applyFont="1" applyBorder="1"/>
    <xf numFmtId="43" fontId="20" fillId="0" borderId="0" xfId="0" applyNumberFormat="1" applyFont="1"/>
    <xf numFmtId="43" fontId="15" fillId="0" borderId="0" xfId="10" applyNumberFormat="1" applyFont="1"/>
    <xf numFmtId="43" fontId="10" fillId="0" borderId="3" xfId="0" applyNumberFormat="1" applyFont="1" applyBorder="1"/>
    <xf numFmtId="0" fontId="21" fillId="0" borderId="0" xfId="0" applyFont="1"/>
    <xf numFmtId="43" fontId="1" fillId="0" borderId="18" xfId="1" applyFont="1" applyBorder="1"/>
    <xf numFmtId="43" fontId="2" fillId="0" borderId="19" xfId="1" applyFont="1" applyBorder="1"/>
    <xf numFmtId="43" fontId="24" fillId="2" borderId="0" xfId="0" applyNumberFormat="1" applyFont="1" applyFill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2" applyFont="1" applyAlignment="1" applyProtection="1">
      <alignment horizontal="center"/>
    </xf>
    <xf numFmtId="0" fontId="6" fillId="0" borderId="0" xfId="0" applyFont="1"/>
    <xf numFmtId="0" fontId="1" fillId="0" borderId="0" xfId="0" applyFont="1" applyAlignment="1">
      <alignment horizontal="left" wrapText="1"/>
    </xf>
    <xf numFmtId="0" fontId="7" fillId="0" borderId="0" xfId="0" applyFont="1"/>
    <xf numFmtId="0" fontId="8" fillId="0" borderId="0" xfId="0" applyFont="1"/>
    <xf numFmtId="0" fontId="23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2" fillId="2" borderId="0" xfId="0" applyFont="1" applyFill="1" applyAlignment="1">
      <alignment horizontal="center"/>
    </xf>
    <xf numFmtId="43" fontId="14" fillId="0" borderId="0" xfId="9" applyFont="1" applyAlignment="1">
      <alignment horizontal="center"/>
    </xf>
    <xf numFmtId="0" fontId="15" fillId="0" borderId="0" xfId="10" applyFont="1"/>
    <xf numFmtId="43" fontId="16" fillId="0" borderId="15" xfId="7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17" fillId="0" borderId="0" xfId="4" applyFont="1"/>
    <xf numFmtId="0" fontId="0" fillId="0" borderId="10" xfId="0" applyBorder="1"/>
    <xf numFmtId="0" fontId="0" fillId="0" borderId="12" xfId="0" applyBorder="1"/>
    <xf numFmtId="0" fontId="0" fillId="0" borderId="3" xfId="0" applyBorder="1"/>
    <xf numFmtId="0" fontId="0" fillId="0" borderId="13" xfId="0" applyBorder="1"/>
    <xf numFmtId="43" fontId="16" fillId="0" borderId="7" xfId="7" applyFont="1" applyBorder="1" applyAlignment="1">
      <alignment horizontal="center"/>
    </xf>
    <xf numFmtId="43" fontId="15" fillId="0" borderId="0" xfId="9" applyFont="1" applyAlignment="1">
      <alignment horizontal="center"/>
    </xf>
    <xf numFmtId="43" fontId="16" fillId="0" borderId="14" xfId="7" applyFont="1" applyBorder="1" applyAlignment="1">
      <alignment horizontal="center"/>
    </xf>
    <xf numFmtId="43" fontId="16" fillId="0" borderId="15" xfId="7" applyFont="1" applyBorder="1" applyAlignment="1">
      <alignment horizontal="center" wrapText="1"/>
    </xf>
    <xf numFmtId="0" fontId="0" fillId="0" borderId="11" xfId="0" applyBorder="1"/>
    <xf numFmtId="0" fontId="0" fillId="0" borderId="14" xfId="0" applyBorder="1"/>
  </cellXfs>
  <cellStyles count="11">
    <cellStyle name="Comma" xfId="1" builtinId="3"/>
    <cellStyle name="Comma 2" xfId="3" xr:uid="{00000000-0005-0000-0000-000003000000}"/>
    <cellStyle name="Comma 3" xfId="7" xr:uid="{00000000-0005-0000-0000-000007000000}"/>
    <cellStyle name="Comma 4" xfId="9" xr:uid="{00000000-0005-0000-0000-000009000000}"/>
    <cellStyle name="Comma 6" xfId="6" xr:uid="{00000000-0005-0000-0000-000006000000}"/>
    <cellStyle name="Hyperlink" xfId="2" builtinId="8"/>
    <cellStyle name="Normal" xfId="0" builtinId="0"/>
    <cellStyle name="Normal 2" xfId="4" xr:uid="{00000000-0005-0000-0000-000004000000}"/>
    <cellStyle name="Normal 2 2" xfId="5" xr:uid="{00000000-0005-0000-0000-000005000000}"/>
    <cellStyle name="Normal 3" xfId="10" xr:uid="{00000000-0005-0000-0000-00000A000000}"/>
    <cellStyle name="Normal 5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3"/>
  <sheetViews>
    <sheetView tabSelected="1" zoomScaleNormal="100" zoomScaleSheetLayoutView="100" workbookViewId="0">
      <selection sqref="A1:H1"/>
    </sheetView>
  </sheetViews>
  <sheetFormatPr defaultColWidth="9.33203125" defaultRowHeight="15.6" x14ac:dyDescent="0.3"/>
  <cols>
    <col min="1" max="1" width="3.33203125" style="1" customWidth="1"/>
    <col min="2" max="2" width="37.33203125" style="1" customWidth="1"/>
    <col min="3" max="3" width="13.33203125" style="1" customWidth="1"/>
    <col min="4" max="4" width="1.6640625" style="1" customWidth="1"/>
    <col min="5" max="5" width="17.6640625" style="1" bestFit="1" customWidth="1"/>
    <col min="6" max="6" width="0.44140625" style="1" customWidth="1"/>
    <col min="7" max="7" width="1.6640625" style="1" customWidth="1"/>
    <col min="8" max="8" width="17.6640625" style="1" bestFit="1" customWidth="1"/>
    <col min="9" max="9" width="9.33203125" style="1" customWidth="1"/>
    <col min="10" max="16384" width="9.33203125" style="1"/>
  </cols>
  <sheetData>
    <row r="1" spans="1:8" x14ac:dyDescent="0.3">
      <c r="A1" s="89" t="s">
        <v>0</v>
      </c>
      <c r="B1" s="88"/>
      <c r="C1" s="88"/>
      <c r="D1" s="88"/>
      <c r="E1" s="88"/>
      <c r="F1" s="88"/>
      <c r="G1" s="88"/>
      <c r="H1" s="88"/>
    </row>
    <row r="2" spans="1:8" x14ac:dyDescent="0.3">
      <c r="A2" s="89" t="s">
        <v>1</v>
      </c>
      <c r="B2" s="88"/>
      <c r="C2" s="88"/>
      <c r="D2" s="88"/>
      <c r="E2" s="88"/>
      <c r="F2" s="88"/>
      <c r="G2" s="88"/>
      <c r="H2" s="88"/>
    </row>
    <row r="3" spans="1:8" x14ac:dyDescent="0.3">
      <c r="A3" s="89" t="s">
        <v>2</v>
      </c>
      <c r="B3" s="88"/>
      <c r="C3" s="88"/>
      <c r="D3" s="88"/>
      <c r="E3" s="88"/>
      <c r="F3" s="88"/>
      <c r="G3" s="88"/>
      <c r="H3" s="88"/>
    </row>
    <row r="4" spans="1:8" x14ac:dyDescent="0.3">
      <c r="A4" s="87" t="s">
        <v>3</v>
      </c>
      <c r="B4" s="88"/>
      <c r="C4" s="88"/>
      <c r="D4" s="88"/>
      <c r="E4" s="88"/>
      <c r="F4" s="88"/>
      <c r="G4" s="88"/>
      <c r="H4" s="88"/>
    </row>
    <row r="5" spans="1:8" x14ac:dyDescent="0.3">
      <c r="A5" s="91" t="s">
        <v>4</v>
      </c>
      <c r="B5" s="88"/>
      <c r="C5" s="88"/>
      <c r="D5" s="88"/>
      <c r="E5" s="88"/>
      <c r="F5" s="88"/>
      <c r="G5" s="88"/>
      <c r="H5" s="88"/>
    </row>
    <row r="6" spans="1:8" ht="15.75" customHeight="1" x14ac:dyDescent="0.3">
      <c r="A6" s="89" t="s">
        <v>5</v>
      </c>
      <c r="B6" s="88"/>
      <c r="C6" s="88"/>
      <c r="D6" s="88"/>
      <c r="E6" s="88"/>
      <c r="F6" s="88"/>
      <c r="G6" s="88"/>
      <c r="H6" s="88"/>
    </row>
    <row r="7" spans="1:8" x14ac:dyDescent="0.3">
      <c r="E7" s="3"/>
      <c r="F7" s="2"/>
    </row>
    <row r="8" spans="1:8" x14ac:dyDescent="0.3">
      <c r="A8" s="4" t="s">
        <v>6</v>
      </c>
      <c r="C8" s="8" t="s">
        <v>7</v>
      </c>
      <c r="D8" s="8"/>
      <c r="E8" s="8">
        <v>2025</v>
      </c>
      <c r="F8" s="8"/>
      <c r="G8" s="8"/>
      <c r="H8" s="8">
        <v>2024</v>
      </c>
    </row>
    <row r="9" spans="1:8" ht="16.2" x14ac:dyDescent="0.35">
      <c r="A9" s="5" t="s">
        <v>8</v>
      </c>
      <c r="E9" s="3"/>
      <c r="F9" s="2"/>
      <c r="H9" s="3"/>
    </row>
    <row r="10" spans="1:8" x14ac:dyDescent="0.3">
      <c r="A10" s="6"/>
      <c r="B10" s="1" t="s">
        <v>9</v>
      </c>
      <c r="C10" s="27">
        <v>4</v>
      </c>
      <c r="D10" s="83" t="s">
        <v>10</v>
      </c>
      <c r="E10" s="78">
        <v>183908427.06999999</v>
      </c>
      <c r="F10" s="29"/>
      <c r="G10" s="83" t="s">
        <v>10</v>
      </c>
      <c r="H10" s="3">
        <v>135311668.25</v>
      </c>
    </row>
    <row r="11" spans="1:8" x14ac:dyDescent="0.3">
      <c r="B11" s="1" t="s">
        <v>11</v>
      </c>
      <c r="C11" s="27">
        <v>5</v>
      </c>
      <c r="D11" s="27"/>
      <c r="E11" s="3">
        <v>363260.52</v>
      </c>
      <c r="F11" s="2"/>
      <c r="G11" s="27"/>
      <c r="H11" s="78">
        <v>363260.52</v>
      </c>
    </row>
    <row r="12" spans="1:8" x14ac:dyDescent="0.3">
      <c r="B12" s="1" t="s">
        <v>12</v>
      </c>
      <c r="C12" s="27">
        <v>6</v>
      </c>
      <c r="D12" s="27"/>
      <c r="E12" s="78">
        <v>9660616.6099999994</v>
      </c>
      <c r="F12" s="2"/>
      <c r="G12" s="27"/>
      <c r="H12" s="3">
        <v>6882544.9000000004</v>
      </c>
    </row>
    <row r="13" spans="1:8" x14ac:dyDescent="0.3">
      <c r="A13" s="6"/>
      <c r="B13" s="1" t="s">
        <v>13</v>
      </c>
      <c r="C13" s="27">
        <v>7</v>
      </c>
      <c r="D13" s="27"/>
      <c r="E13" s="82">
        <v>299515</v>
      </c>
      <c r="F13" s="2"/>
      <c r="G13" s="27"/>
      <c r="H13" s="13">
        <v>299515</v>
      </c>
    </row>
    <row r="14" spans="1:8" x14ac:dyDescent="0.3">
      <c r="B14" s="7" t="s">
        <v>14</v>
      </c>
      <c r="C14" s="28"/>
      <c r="D14" s="28"/>
      <c r="E14" s="24">
        <v>194231819.19999999</v>
      </c>
      <c r="F14" s="2"/>
      <c r="G14" s="28"/>
      <c r="H14" s="34">
        <v>142856988.66999999</v>
      </c>
    </row>
    <row r="15" spans="1:8" ht="16.2" x14ac:dyDescent="0.35">
      <c r="A15" s="21" t="s">
        <v>15</v>
      </c>
      <c r="C15" s="27"/>
      <c r="D15" s="27"/>
      <c r="E15" s="3"/>
      <c r="F15" s="2"/>
      <c r="G15" s="27"/>
      <c r="H15" s="3"/>
    </row>
    <row r="16" spans="1:8" x14ac:dyDescent="0.3">
      <c r="A16" s="6"/>
      <c r="B16" s="1" t="s">
        <v>16</v>
      </c>
      <c r="C16" s="27">
        <v>8</v>
      </c>
      <c r="D16" s="27"/>
      <c r="E16" s="78">
        <v>776923306.92999995</v>
      </c>
      <c r="F16" s="2"/>
      <c r="G16" s="27"/>
      <c r="H16" s="78">
        <v>693640297.85000002</v>
      </c>
    </row>
    <row r="17" spans="1:8" x14ac:dyDescent="0.3">
      <c r="A17" s="6"/>
      <c r="B17" s="7" t="s">
        <v>17</v>
      </c>
      <c r="C17" s="28"/>
      <c r="D17" s="28"/>
      <c r="E17" s="24">
        <v>776923306.92999995</v>
      </c>
      <c r="F17" s="23"/>
      <c r="G17" s="28"/>
      <c r="H17" s="24">
        <v>693640297.85000002</v>
      </c>
    </row>
    <row r="18" spans="1:8" x14ac:dyDescent="0.3">
      <c r="A18" s="6"/>
      <c r="B18" s="7"/>
      <c r="C18" s="28"/>
      <c r="D18" s="28"/>
      <c r="E18" s="3"/>
      <c r="F18" s="2"/>
      <c r="G18" s="28"/>
      <c r="H18" s="3"/>
    </row>
    <row r="19" spans="1:8" ht="16.5" customHeight="1" thickBot="1" x14ac:dyDescent="0.35">
      <c r="A19" s="4" t="s">
        <v>18</v>
      </c>
      <c r="B19" s="4"/>
      <c r="C19" s="27"/>
      <c r="D19" s="27"/>
      <c r="E19" s="85">
        <v>971155126.12999988</v>
      </c>
      <c r="F19" s="2"/>
      <c r="G19" s="27"/>
      <c r="H19" s="85">
        <v>836497286.51999998</v>
      </c>
    </row>
    <row r="20" spans="1:8" ht="16.5" customHeight="1" thickTop="1" x14ac:dyDescent="0.3">
      <c r="A20" s="4"/>
      <c r="C20" s="27"/>
      <c r="D20" s="27"/>
      <c r="E20" s="84"/>
      <c r="F20" s="2"/>
      <c r="G20" s="27"/>
      <c r="H20" s="3"/>
    </row>
    <row r="21" spans="1:8" x14ac:dyDescent="0.3">
      <c r="A21" s="4" t="s">
        <v>19</v>
      </c>
      <c r="C21" s="27"/>
      <c r="D21" s="27"/>
      <c r="E21" s="3"/>
      <c r="F21" s="2"/>
      <c r="G21" s="27"/>
      <c r="H21" s="3"/>
    </row>
    <row r="22" spans="1:8" ht="16.2" x14ac:dyDescent="0.35">
      <c r="A22" s="5" t="s">
        <v>20</v>
      </c>
      <c r="C22" s="27"/>
      <c r="D22" s="27"/>
      <c r="E22" s="3"/>
      <c r="F22" s="2"/>
      <c r="G22" s="27"/>
      <c r="H22" s="3"/>
    </row>
    <row r="23" spans="1:8" x14ac:dyDescent="0.3">
      <c r="B23" s="1" t="s">
        <v>21</v>
      </c>
      <c r="C23" s="27">
        <v>9</v>
      </c>
      <c r="D23" s="27"/>
      <c r="E23" s="78">
        <v>2587870.94</v>
      </c>
      <c r="F23" s="2"/>
      <c r="G23" s="27"/>
      <c r="H23" s="78">
        <v>724559.91</v>
      </c>
    </row>
    <row r="24" spans="1:8" x14ac:dyDescent="0.3">
      <c r="B24" s="1" t="s">
        <v>22</v>
      </c>
      <c r="C24" s="27">
        <v>10</v>
      </c>
      <c r="D24" s="27"/>
      <c r="E24" s="78">
        <v>32130748.710000001</v>
      </c>
      <c r="F24" s="2"/>
      <c r="G24" s="27"/>
      <c r="H24" s="78">
        <v>29774309.41</v>
      </c>
    </row>
    <row r="25" spans="1:8" x14ac:dyDescent="0.3">
      <c r="B25" s="1" t="s">
        <v>23</v>
      </c>
      <c r="C25" s="27">
        <v>11</v>
      </c>
      <c r="D25" s="27"/>
      <c r="E25" s="78">
        <v>589971.68000000005</v>
      </c>
      <c r="F25" s="2"/>
      <c r="G25" s="27"/>
      <c r="H25" s="78">
        <v>355516.32</v>
      </c>
    </row>
    <row r="26" spans="1:8" x14ac:dyDescent="0.3">
      <c r="B26" s="1" t="s">
        <v>24</v>
      </c>
      <c r="C26" s="27"/>
      <c r="D26" s="27"/>
      <c r="E26" s="78">
        <v>0</v>
      </c>
      <c r="F26" s="2"/>
      <c r="G26" s="27"/>
      <c r="H26" s="78">
        <v>0</v>
      </c>
    </row>
    <row r="27" spans="1:8" x14ac:dyDescent="0.3">
      <c r="B27" s="1" t="s">
        <v>25</v>
      </c>
      <c r="C27" s="27">
        <v>12</v>
      </c>
      <c r="D27" s="27"/>
      <c r="E27" s="78">
        <v>8050460.7599999998</v>
      </c>
      <c r="F27" s="2"/>
      <c r="G27" s="27"/>
      <c r="H27" s="78">
        <v>2268028.94</v>
      </c>
    </row>
    <row r="28" spans="1:8" x14ac:dyDescent="0.3">
      <c r="B28" s="4" t="s">
        <v>26</v>
      </c>
      <c r="C28" s="27"/>
      <c r="D28" s="27"/>
      <c r="E28" s="24">
        <v>43359052.090000004</v>
      </c>
      <c r="F28" s="23"/>
      <c r="G28" s="27"/>
      <c r="H28" s="24">
        <v>33122414.579999998</v>
      </c>
    </row>
    <row r="29" spans="1:8" ht="16.2" x14ac:dyDescent="0.35">
      <c r="A29" s="5" t="s">
        <v>27</v>
      </c>
      <c r="C29" s="27"/>
      <c r="D29" s="27"/>
      <c r="E29" s="3"/>
      <c r="F29" s="2"/>
      <c r="G29" s="27"/>
      <c r="H29" s="3"/>
    </row>
    <row r="30" spans="1:8" x14ac:dyDescent="0.3">
      <c r="B30" s="1" t="s">
        <v>28</v>
      </c>
      <c r="C30" s="27">
        <v>13</v>
      </c>
      <c r="D30" s="27"/>
      <c r="E30" s="78">
        <v>1531580.03</v>
      </c>
      <c r="F30" s="2"/>
      <c r="G30" s="27"/>
      <c r="H30" s="78">
        <v>933188.7</v>
      </c>
    </row>
    <row r="31" spans="1:8" x14ac:dyDescent="0.3">
      <c r="B31" s="4" t="s">
        <v>29</v>
      </c>
      <c r="C31" s="27"/>
      <c r="D31" s="27"/>
      <c r="E31" s="24">
        <v>1531580.03</v>
      </c>
      <c r="F31" s="23"/>
      <c r="G31" s="27"/>
      <c r="H31" s="24">
        <v>933188.7</v>
      </c>
    </row>
    <row r="32" spans="1:8" x14ac:dyDescent="0.3">
      <c r="C32" s="27"/>
      <c r="D32" s="27"/>
      <c r="E32" s="3"/>
      <c r="F32" s="2"/>
      <c r="G32" s="27"/>
      <c r="H32" s="3"/>
    </row>
    <row r="33" spans="1:8" ht="16.5" customHeight="1" thickBot="1" x14ac:dyDescent="0.35">
      <c r="A33" s="4" t="s">
        <v>30</v>
      </c>
      <c r="B33" s="4"/>
      <c r="C33" s="27"/>
      <c r="D33" s="27"/>
      <c r="E33" s="22">
        <v>44890632.119999997</v>
      </c>
      <c r="F33" s="2"/>
      <c r="G33" s="27"/>
      <c r="H33" s="22">
        <v>34055603.280000001</v>
      </c>
    </row>
    <row r="34" spans="1:8" x14ac:dyDescent="0.3">
      <c r="C34" s="27"/>
      <c r="D34" s="27"/>
      <c r="E34" s="3"/>
      <c r="F34" s="2"/>
      <c r="G34" s="27"/>
      <c r="H34" s="3"/>
    </row>
    <row r="35" spans="1:8" x14ac:dyDescent="0.3">
      <c r="A35" s="4" t="s">
        <v>31</v>
      </c>
      <c r="C35" s="27"/>
      <c r="D35" s="27"/>
      <c r="E35" s="3"/>
      <c r="F35" s="2"/>
      <c r="G35" s="27"/>
      <c r="H35" s="3"/>
    </row>
    <row r="36" spans="1:8" x14ac:dyDescent="0.3">
      <c r="A36" s="1" t="s">
        <v>32</v>
      </c>
      <c r="C36" s="27">
        <v>14</v>
      </c>
      <c r="D36" s="27"/>
      <c r="E36" s="78">
        <v>926264494.00999999</v>
      </c>
      <c r="F36" s="2"/>
      <c r="G36" s="27"/>
      <c r="H36" s="78">
        <v>802441683.24000001</v>
      </c>
    </row>
    <row r="37" spans="1:8" ht="16.5" customHeight="1" thickBot="1" x14ac:dyDescent="0.35">
      <c r="A37" s="4" t="s">
        <v>33</v>
      </c>
      <c r="D37" s="83" t="s">
        <v>10</v>
      </c>
      <c r="E37" s="79">
        <v>971155126.13</v>
      </c>
      <c r="F37" s="2"/>
      <c r="G37" s="83" t="s">
        <v>10</v>
      </c>
      <c r="H37" s="79">
        <v>836497286.51999998</v>
      </c>
    </row>
    <row r="38" spans="1:8" ht="16.5" customHeight="1" thickTop="1" x14ac:dyDescent="0.3"/>
    <row r="53" spans="1:8" x14ac:dyDescent="0.3">
      <c r="A53" s="90" t="s">
        <v>34</v>
      </c>
      <c r="B53" s="88"/>
      <c r="C53" s="88"/>
      <c r="D53" s="88"/>
      <c r="E53" s="88"/>
      <c r="F53" s="88"/>
      <c r="G53" s="88"/>
      <c r="H53" s="88"/>
    </row>
  </sheetData>
  <sheetProtection algorithmName="SHA-512" hashValue="l1AQN+kzLYhTmk4aBvs/KJvFWqY++ZFRLZFWsBshcGfVWPG+QXH5Qr3rAw5IM4CB9ofT54W7nO+nkKCfdM4ppA==" saltValue="l1F/uhOcRXD0uNqD2iP6vA==" spinCount="100000" sheet="1" objects="1" scenarios="1" selectLockedCells="1" selectUnlockedCells="1"/>
  <mergeCells count="7">
    <mergeCell ref="A1:H1"/>
    <mergeCell ref="A6:H6"/>
    <mergeCell ref="A4:H4"/>
    <mergeCell ref="A3:H3"/>
    <mergeCell ref="A53:H53"/>
    <mergeCell ref="A5:H5"/>
    <mergeCell ref="A2:H2"/>
  </mergeCells>
  <dataValidations count="1">
    <dataValidation type="decimal" allowBlank="1" showInputMessage="1" showErrorMessage="1" sqref="A10:A13 F10" xr:uid="{00000000-0002-0000-0000-000000000000}">
      <formula1>2</formula1>
      <formula2>2</formula2>
    </dataValidation>
  </dataValidations>
  <printOptions horizontalCentered="1"/>
  <pageMargins left="1.496062992125984" right="0.98425196850393704" top="0.98425196850393704" bottom="0.39370078740157483" header="0.31496062992125978" footer="0.39370078740157483"/>
  <pageSetup scale="83" fitToHeight="0" orientation="portrait" horizontalDpi="360" verticalDpi="360" r:id="rId1"/>
  <headerFooter scaleWithDoc="0">
    <oddFooter>&amp;C&amp;"Arial,Regular"&amp;10 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1"/>
  <sheetViews>
    <sheetView zoomScaleNormal="100" zoomScaleSheetLayoutView="100" workbookViewId="0">
      <selection sqref="A1:J1"/>
    </sheetView>
  </sheetViews>
  <sheetFormatPr defaultColWidth="9.33203125" defaultRowHeight="15.6" x14ac:dyDescent="0.3"/>
  <cols>
    <col min="1" max="2" width="1.6640625" style="1" customWidth="1"/>
    <col min="3" max="3" width="2.5546875" style="1" customWidth="1"/>
    <col min="4" max="4" width="38.33203125" style="1" customWidth="1"/>
    <col min="5" max="5" width="5.6640625" style="1" bestFit="1" customWidth="1"/>
    <col min="6" max="6" width="2" style="1" customWidth="1"/>
    <col min="7" max="7" width="18.109375" style="1" bestFit="1" customWidth="1"/>
    <col min="8" max="8" width="0.44140625" style="1" customWidth="1"/>
    <col min="9" max="9" width="2" style="1" customWidth="1"/>
    <col min="10" max="10" width="18.109375" style="1" bestFit="1" customWidth="1"/>
    <col min="11" max="11" width="9.33203125" style="1" customWidth="1"/>
    <col min="12" max="16384" width="9.33203125" style="1"/>
  </cols>
  <sheetData>
    <row r="1" spans="1:10" x14ac:dyDescent="0.3">
      <c r="A1" s="89" t="s">
        <v>0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x14ac:dyDescent="0.3">
      <c r="A2" s="89" t="s">
        <v>1</v>
      </c>
      <c r="B2" s="88"/>
      <c r="C2" s="88"/>
      <c r="D2" s="88"/>
      <c r="E2" s="88"/>
      <c r="F2" s="88"/>
      <c r="G2" s="88"/>
      <c r="H2" s="88"/>
      <c r="I2" s="88"/>
      <c r="J2" s="88"/>
    </row>
    <row r="3" spans="1:10" x14ac:dyDescent="0.3">
      <c r="A3" s="89" t="s">
        <v>2</v>
      </c>
      <c r="B3" s="88"/>
      <c r="C3" s="88"/>
      <c r="D3" s="88"/>
      <c r="E3" s="88"/>
      <c r="F3" s="88"/>
      <c r="G3" s="88"/>
      <c r="H3" s="88"/>
      <c r="I3" s="88"/>
      <c r="J3" s="88"/>
    </row>
    <row r="4" spans="1:10" x14ac:dyDescent="0.3">
      <c r="A4" s="87" t="s">
        <v>35</v>
      </c>
      <c r="B4" s="88"/>
      <c r="C4" s="88"/>
      <c r="D4" s="88"/>
      <c r="E4" s="88"/>
      <c r="F4" s="88"/>
      <c r="G4" s="88"/>
      <c r="H4" s="88"/>
      <c r="I4" s="88"/>
      <c r="J4" s="88"/>
    </row>
    <row r="5" spans="1:10" x14ac:dyDescent="0.3">
      <c r="A5" s="89" t="s">
        <v>36</v>
      </c>
      <c r="B5" s="88"/>
      <c r="C5" s="88"/>
      <c r="D5" s="88"/>
      <c r="E5" s="88"/>
      <c r="F5" s="88"/>
      <c r="G5" s="88"/>
      <c r="H5" s="88"/>
      <c r="I5" s="88"/>
      <c r="J5" s="88"/>
    </row>
    <row r="6" spans="1:10" x14ac:dyDescent="0.3">
      <c r="A6" s="89" t="s">
        <v>5</v>
      </c>
      <c r="B6" s="88"/>
      <c r="C6" s="88"/>
      <c r="D6" s="88"/>
      <c r="E6" s="88"/>
      <c r="F6" s="88"/>
      <c r="G6" s="88"/>
      <c r="H6" s="88"/>
      <c r="I6" s="88"/>
      <c r="J6" s="88"/>
    </row>
    <row r="7" spans="1:10" x14ac:dyDescent="0.3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3">
      <c r="E8" s="8" t="s">
        <v>7</v>
      </c>
      <c r="G8" s="8">
        <v>2025</v>
      </c>
      <c r="H8" s="8"/>
      <c r="J8" s="8">
        <v>2024</v>
      </c>
    </row>
    <row r="9" spans="1:10" x14ac:dyDescent="0.3">
      <c r="A9" s="4" t="s">
        <v>37</v>
      </c>
      <c r="B9" s="4"/>
      <c r="E9" s="15"/>
    </row>
    <row r="10" spans="1:10" x14ac:dyDescent="0.3">
      <c r="B10" s="1" t="s">
        <v>38</v>
      </c>
      <c r="E10" s="27">
        <v>15</v>
      </c>
      <c r="F10" s="83" t="s">
        <v>10</v>
      </c>
      <c r="G10" s="78">
        <v>8839513.3300000001</v>
      </c>
      <c r="H10" s="12"/>
      <c r="I10" s="83" t="s">
        <v>10</v>
      </c>
      <c r="J10" s="78">
        <v>8707096.3900000006</v>
      </c>
    </row>
    <row r="11" spans="1:10" x14ac:dyDescent="0.3">
      <c r="B11" s="1" t="s">
        <v>39</v>
      </c>
      <c r="E11" s="27">
        <v>16</v>
      </c>
      <c r="G11" s="78">
        <v>546594435</v>
      </c>
      <c r="H11" s="12"/>
      <c r="J11" s="78">
        <v>460290907</v>
      </c>
    </row>
    <row r="12" spans="1:10" x14ac:dyDescent="0.3">
      <c r="B12" s="72" t="s">
        <v>40</v>
      </c>
      <c r="E12" s="27">
        <v>17</v>
      </c>
      <c r="G12" s="78">
        <v>574572.81000000006</v>
      </c>
      <c r="H12" s="12"/>
      <c r="J12" s="78">
        <v>6099759.2300000004</v>
      </c>
    </row>
    <row r="13" spans="1:10" x14ac:dyDescent="0.3">
      <c r="B13" s="1" t="s">
        <v>41</v>
      </c>
      <c r="E13" s="27">
        <v>18</v>
      </c>
      <c r="G13" s="78">
        <v>8439307.040000001</v>
      </c>
      <c r="H13" s="12"/>
      <c r="J13" s="78">
        <v>8359484.5099999998</v>
      </c>
    </row>
    <row r="14" spans="1:10" x14ac:dyDescent="0.3">
      <c r="B14" s="1" t="s">
        <v>42</v>
      </c>
      <c r="D14" s="6"/>
      <c r="E14" s="27">
        <v>19</v>
      </c>
      <c r="F14" s="12"/>
      <c r="G14" s="78">
        <v>150676.5</v>
      </c>
      <c r="H14" s="12"/>
      <c r="I14" s="12"/>
      <c r="J14" s="78">
        <v>216815.8</v>
      </c>
    </row>
    <row r="15" spans="1:10" x14ac:dyDescent="0.3">
      <c r="A15" s="4" t="s">
        <v>43</v>
      </c>
      <c r="E15" s="27"/>
      <c r="F15" s="12"/>
      <c r="G15" s="11">
        <v>564598504.67999995</v>
      </c>
      <c r="H15" s="20"/>
      <c r="I15" s="12"/>
      <c r="J15" s="11">
        <v>483674062.93000001</v>
      </c>
    </row>
    <row r="16" spans="1:10" x14ac:dyDescent="0.3">
      <c r="A16" s="4"/>
      <c r="E16" s="27"/>
      <c r="F16" s="12"/>
      <c r="G16" s="20"/>
      <c r="H16" s="20"/>
      <c r="I16" s="12"/>
      <c r="J16" s="20"/>
    </row>
    <row r="17" spans="1:10" x14ac:dyDescent="0.3">
      <c r="A17" s="4" t="s">
        <v>44</v>
      </c>
      <c r="E17" s="27"/>
    </row>
    <row r="18" spans="1:10" x14ac:dyDescent="0.3">
      <c r="B18" s="1" t="s">
        <v>45</v>
      </c>
      <c r="E18" s="27">
        <v>20</v>
      </c>
      <c r="G18" s="78">
        <v>138796635.12</v>
      </c>
      <c r="H18" s="12"/>
      <c r="J18" s="78">
        <v>123060809.98</v>
      </c>
    </row>
    <row r="19" spans="1:10" x14ac:dyDescent="0.3">
      <c r="B19" s="1" t="s">
        <v>46</v>
      </c>
      <c r="E19" s="27">
        <v>21</v>
      </c>
      <c r="F19" s="12"/>
      <c r="G19" s="78">
        <v>295819704.07999998</v>
      </c>
      <c r="H19" s="12"/>
      <c r="I19" s="12"/>
      <c r="J19" s="78">
        <v>276807749.23000002</v>
      </c>
    </row>
    <row r="20" spans="1:10" x14ac:dyDescent="0.3">
      <c r="B20" s="1" t="s">
        <v>47</v>
      </c>
      <c r="C20" s="4"/>
      <c r="E20" s="27">
        <v>22</v>
      </c>
      <c r="F20" s="12"/>
      <c r="G20" s="78">
        <v>6078484.2300000004</v>
      </c>
      <c r="H20" s="12"/>
      <c r="I20" s="12"/>
      <c r="J20" s="82">
        <v>22863496.25</v>
      </c>
    </row>
    <row r="21" spans="1:10" x14ac:dyDescent="0.3">
      <c r="A21" s="4" t="s">
        <v>48</v>
      </c>
      <c r="C21" s="4"/>
      <c r="E21" s="27"/>
      <c r="F21" s="12"/>
      <c r="G21" s="11">
        <v>440694823.43000013</v>
      </c>
      <c r="H21" s="20"/>
      <c r="I21" s="12"/>
      <c r="J21" s="35">
        <v>422732055.45999998</v>
      </c>
    </row>
    <row r="22" spans="1:10" x14ac:dyDescent="0.3">
      <c r="A22" s="4"/>
      <c r="C22" s="4"/>
      <c r="E22" s="27"/>
      <c r="F22" s="12"/>
      <c r="G22" s="20"/>
      <c r="H22" s="20"/>
      <c r="I22" s="12"/>
      <c r="J22" s="20"/>
    </row>
    <row r="23" spans="1:10" x14ac:dyDescent="0.3">
      <c r="A23" s="4" t="s">
        <v>49</v>
      </c>
      <c r="B23" s="4"/>
      <c r="C23" s="4"/>
      <c r="D23" s="4"/>
      <c r="E23" s="27"/>
      <c r="F23" s="20"/>
      <c r="G23" s="20">
        <v>123903681.2499999</v>
      </c>
      <c r="H23" s="20"/>
      <c r="I23" s="20"/>
      <c r="J23" s="20">
        <v>60942007.469999969</v>
      </c>
    </row>
    <row r="24" spans="1:10" x14ac:dyDescent="0.3">
      <c r="B24" s="1" t="s">
        <v>50</v>
      </c>
      <c r="E24" s="27"/>
      <c r="G24" s="12"/>
      <c r="H24" s="12"/>
      <c r="J24" s="12"/>
    </row>
    <row r="25" spans="1:10" x14ac:dyDescent="0.3">
      <c r="B25" s="1" t="s">
        <v>51</v>
      </c>
      <c r="E25" s="27"/>
      <c r="F25" s="12"/>
      <c r="G25" s="12">
        <v>0</v>
      </c>
      <c r="H25" s="12"/>
      <c r="I25" s="12"/>
      <c r="J25" s="12">
        <v>0</v>
      </c>
    </row>
    <row r="26" spans="1:10" x14ac:dyDescent="0.3">
      <c r="B26" s="1" t="s">
        <v>52</v>
      </c>
      <c r="E26" s="27">
        <v>23</v>
      </c>
      <c r="F26" s="12"/>
      <c r="G26" s="32">
        <v>-230400</v>
      </c>
      <c r="H26" s="12"/>
      <c r="I26" s="12"/>
      <c r="J26" s="32">
        <v>-230400</v>
      </c>
    </row>
    <row r="27" spans="1:10" s="4" customFormat="1" ht="16.5" customHeight="1" thickBot="1" x14ac:dyDescent="0.4">
      <c r="A27" s="4" t="s">
        <v>53</v>
      </c>
      <c r="E27" s="25"/>
      <c r="F27" s="83" t="s">
        <v>10</v>
      </c>
      <c r="G27" s="10">
        <v>123673281.2499999</v>
      </c>
      <c r="H27" s="20"/>
      <c r="I27" s="83" t="s">
        <v>10</v>
      </c>
      <c r="J27" s="10">
        <v>60711607.469999969</v>
      </c>
    </row>
    <row r="28" spans="1:10" ht="16.5" customHeight="1" thickTop="1" x14ac:dyDescent="0.3"/>
    <row r="51" spans="1:10" x14ac:dyDescent="0.3">
      <c r="A51" s="90" t="s">
        <v>34</v>
      </c>
      <c r="B51" s="88"/>
      <c r="C51" s="88"/>
      <c r="D51" s="88"/>
      <c r="E51" s="88"/>
      <c r="F51" s="88"/>
      <c r="G51" s="88"/>
      <c r="H51" s="88"/>
      <c r="I51" s="88"/>
      <c r="J51" s="88"/>
    </row>
  </sheetData>
  <sheetProtection algorithmName="SHA-512" hashValue="0rdcDxoy17AtJHAcqAgMQHdE/fMCb0TCqTWYoLHSoi9YNHQR5vtPEo1pNhALLK3gXvnMv09mpWGlaJI0TKdAcA==" saltValue="rrIfsjCx5VchwrrGuHVo2g==" spinCount="100000" sheet="1" objects="1" scenarios="1" selectLockedCells="1" selectUnlockedCells="1"/>
  <mergeCells count="7">
    <mergeCell ref="A51:J51"/>
    <mergeCell ref="A1:J1"/>
    <mergeCell ref="A5:J5"/>
    <mergeCell ref="A6:J6"/>
    <mergeCell ref="A3:J3"/>
    <mergeCell ref="A4:J4"/>
    <mergeCell ref="A2:J2"/>
  </mergeCells>
  <dataValidations count="2">
    <dataValidation type="decimal" allowBlank="1" showInputMessage="1" showErrorMessage="1" sqref="A10:A14 A18 B8:D9 B11 B15:D16 C10:D11 C13:D14 C17:E17 C18:D18 E9" xr:uid="{00000000-0002-0000-0100-000000000000}">
      <formula1>2</formula1>
      <formula2>2</formula2>
    </dataValidation>
    <dataValidation type="decimal" allowBlank="1" showInputMessage="1" sqref="E8" xr:uid="{00000000-0002-0000-0100-000001000000}">
      <formula1>2</formula1>
      <formula2>2</formula2>
    </dataValidation>
  </dataValidations>
  <printOptions horizontalCentered="1"/>
  <pageMargins left="1.496062992125984" right="0.98425196850393704" top="0.98425196850393704" bottom="0.59055118110236227" header="0.31496062992125978" footer="0.51181102362204722"/>
  <pageSetup scale="84" orientation="portrait" horizontalDpi="360" verticalDpi="360" r:id="rId1"/>
  <headerFooter scaleWithDoc="0">
    <oddFooter>&amp;C&amp;"Times New Roman,Regular"&amp;12 &amp;"Arial,Regular"7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zoomScaleNormal="100" zoomScaleSheetLayoutView="100" workbookViewId="0">
      <selection sqref="A1:H1"/>
    </sheetView>
  </sheetViews>
  <sheetFormatPr defaultColWidth="9.33203125" defaultRowHeight="15.6" x14ac:dyDescent="0.3"/>
  <cols>
    <col min="1" max="1" width="2.33203125" style="9" customWidth="1"/>
    <col min="2" max="2" width="9.33203125" style="9" customWidth="1"/>
    <col min="3" max="3" width="51" style="9" customWidth="1"/>
    <col min="4" max="4" width="2.33203125" style="9" customWidth="1"/>
    <col min="5" max="5" width="17.109375" style="9" customWidth="1"/>
    <col min="6" max="6" width="0.6640625" style="9" customWidth="1"/>
    <col min="7" max="7" width="1.6640625" style="9" customWidth="1"/>
    <col min="8" max="8" width="18.5546875" style="9" bestFit="1" customWidth="1"/>
    <col min="9" max="9" width="9.33203125" style="9" customWidth="1"/>
    <col min="10" max="16384" width="9.33203125" style="9"/>
  </cols>
  <sheetData>
    <row r="1" spans="1:8" x14ac:dyDescent="0.3">
      <c r="A1" s="89" t="s">
        <v>0</v>
      </c>
      <c r="B1" s="92"/>
      <c r="C1" s="92"/>
      <c r="D1" s="92"/>
      <c r="E1" s="92"/>
      <c r="F1" s="92"/>
      <c r="G1" s="92"/>
      <c r="H1" s="92"/>
    </row>
    <row r="2" spans="1:8" x14ac:dyDescent="0.3">
      <c r="A2" s="89" t="s">
        <v>1</v>
      </c>
      <c r="B2" s="92"/>
      <c r="C2" s="92"/>
      <c r="D2" s="92"/>
      <c r="E2" s="92"/>
      <c r="F2" s="92"/>
      <c r="G2" s="92"/>
      <c r="H2" s="92"/>
    </row>
    <row r="3" spans="1:8" x14ac:dyDescent="0.3">
      <c r="A3" s="89" t="s">
        <v>2</v>
      </c>
      <c r="B3" s="92"/>
      <c r="C3" s="92"/>
      <c r="D3" s="92"/>
      <c r="E3" s="92"/>
      <c r="F3" s="92"/>
      <c r="G3" s="92"/>
      <c r="H3" s="92"/>
    </row>
    <row r="4" spans="1:8" x14ac:dyDescent="0.3">
      <c r="A4" s="87" t="s">
        <v>54</v>
      </c>
      <c r="B4" s="92"/>
      <c r="C4" s="92"/>
      <c r="D4" s="92"/>
      <c r="E4" s="92"/>
      <c r="F4" s="92"/>
      <c r="G4" s="92"/>
      <c r="H4" s="92"/>
    </row>
    <row r="5" spans="1:8" x14ac:dyDescent="0.3">
      <c r="A5" s="91" t="s">
        <v>36</v>
      </c>
      <c r="B5" s="92"/>
      <c r="C5" s="92"/>
      <c r="D5" s="92"/>
      <c r="E5" s="92"/>
      <c r="F5" s="92"/>
      <c r="G5" s="92"/>
      <c r="H5" s="92"/>
    </row>
    <row r="6" spans="1:8" x14ac:dyDescent="0.3">
      <c r="A6" s="91" t="s">
        <v>5</v>
      </c>
      <c r="B6" s="92"/>
      <c r="C6" s="92"/>
      <c r="D6" s="92"/>
      <c r="E6" s="92"/>
      <c r="F6" s="92"/>
      <c r="G6" s="92"/>
      <c r="H6" s="92"/>
    </row>
    <row r="7" spans="1:8" x14ac:dyDescent="0.3">
      <c r="A7" s="89"/>
      <c r="B7" s="92"/>
      <c r="C7" s="92"/>
      <c r="D7" s="1"/>
      <c r="E7" s="89"/>
      <c r="F7" s="92"/>
      <c r="G7" s="92"/>
      <c r="H7" s="92"/>
    </row>
    <row r="8" spans="1:8" x14ac:dyDescent="0.3">
      <c r="A8" s="92"/>
      <c r="B8" s="92"/>
      <c r="C8" s="92"/>
      <c r="D8" s="1"/>
      <c r="E8" s="89" t="s">
        <v>55</v>
      </c>
      <c r="F8" s="92"/>
      <c r="G8" s="92"/>
      <c r="H8" s="92"/>
    </row>
    <row r="9" spans="1:8" x14ac:dyDescent="0.3">
      <c r="A9" s="92"/>
      <c r="B9" s="92"/>
      <c r="C9" s="92"/>
      <c r="D9" s="1"/>
      <c r="E9" s="14">
        <v>2025</v>
      </c>
      <c r="F9" s="15"/>
      <c r="G9" s="1"/>
      <c r="H9" s="15">
        <v>2024</v>
      </c>
    </row>
    <row r="10" spans="1:8" x14ac:dyDescent="0.3">
      <c r="A10" s="4" t="s">
        <v>56</v>
      </c>
      <c r="B10" s="1"/>
      <c r="C10" s="1"/>
      <c r="D10" s="83" t="s">
        <v>10</v>
      </c>
      <c r="E10" s="80">
        <v>802441683.23999977</v>
      </c>
      <c r="F10" s="20"/>
      <c r="G10" s="83" t="s">
        <v>10</v>
      </c>
      <c r="H10" s="33">
        <v>715551278.80999982</v>
      </c>
    </row>
    <row r="11" spans="1:8" x14ac:dyDescent="0.3">
      <c r="A11" s="1" t="s">
        <v>57</v>
      </c>
      <c r="B11" s="1"/>
      <c r="C11" s="1"/>
      <c r="D11" s="1"/>
      <c r="E11" s="12"/>
      <c r="F11" s="12"/>
      <c r="G11" s="1"/>
      <c r="H11" s="12"/>
    </row>
    <row r="12" spans="1:8" x14ac:dyDescent="0.3">
      <c r="A12" s="1"/>
      <c r="B12" s="1" t="s">
        <v>58</v>
      </c>
      <c r="C12" s="1"/>
      <c r="D12" s="1"/>
      <c r="E12" s="12">
        <v>0</v>
      </c>
      <c r="F12" s="12"/>
      <c r="G12" s="1"/>
      <c r="H12" s="12">
        <v>0</v>
      </c>
    </row>
    <row r="13" spans="1:8" x14ac:dyDescent="0.3">
      <c r="A13" s="1"/>
      <c r="B13" s="1" t="s">
        <v>59</v>
      </c>
      <c r="C13" s="1"/>
      <c r="D13" s="1"/>
      <c r="E13" s="32">
        <v>149529.51999999999</v>
      </c>
      <c r="F13" s="12"/>
      <c r="G13" s="1"/>
      <c r="H13" s="32">
        <v>324495.99</v>
      </c>
    </row>
    <row r="14" spans="1:8" x14ac:dyDescent="0.3">
      <c r="A14" s="1" t="s">
        <v>60</v>
      </c>
      <c r="B14" s="1"/>
      <c r="C14" s="1"/>
      <c r="D14" s="1"/>
      <c r="E14" s="20">
        <v>802591212.75999975</v>
      </c>
      <c r="F14" s="20"/>
      <c r="G14" s="1"/>
      <c r="H14" s="20">
        <v>715875774.79999983</v>
      </c>
    </row>
    <row r="15" spans="1:8" x14ac:dyDescent="0.3">
      <c r="A15" s="1" t="s">
        <v>61</v>
      </c>
      <c r="B15" s="1"/>
      <c r="C15" s="1"/>
      <c r="D15" s="1"/>
      <c r="E15" s="31"/>
      <c r="F15" s="12"/>
      <c r="G15" s="1"/>
      <c r="H15" s="31"/>
    </row>
    <row r="16" spans="1:8" ht="28.95" customHeight="1" x14ac:dyDescent="0.3">
      <c r="A16" s="1"/>
      <c r="B16" s="93" t="s">
        <v>62</v>
      </c>
      <c r="C16" s="92"/>
      <c r="D16" s="1"/>
      <c r="E16" s="12">
        <v>0</v>
      </c>
      <c r="F16" s="12"/>
      <c r="G16" s="1"/>
      <c r="H16" s="12">
        <v>25854300.969999999</v>
      </c>
    </row>
    <row r="17" spans="1:8" x14ac:dyDescent="0.3">
      <c r="A17" s="1"/>
      <c r="B17" s="1" t="s">
        <v>63</v>
      </c>
      <c r="C17" s="1"/>
      <c r="D17" s="1"/>
      <c r="E17" s="78">
        <v>123673281.2499999</v>
      </c>
      <c r="F17" s="12"/>
      <c r="G17" s="1"/>
      <c r="H17" s="78">
        <v>60711607.469999969</v>
      </c>
    </row>
    <row r="18" spans="1:8" x14ac:dyDescent="0.3">
      <c r="A18" s="4" t="s">
        <v>64</v>
      </c>
      <c r="B18" s="1"/>
      <c r="C18" s="1"/>
      <c r="D18" s="1"/>
      <c r="E18" s="11">
        <v>123673281.2499999</v>
      </c>
      <c r="F18" s="20"/>
      <c r="G18" s="1"/>
      <c r="H18" s="11">
        <v>86565908.439999968</v>
      </c>
    </row>
    <row r="19" spans="1:8" ht="16.5" customHeight="1" thickBot="1" x14ac:dyDescent="0.35">
      <c r="A19" s="4" t="s">
        <v>65</v>
      </c>
      <c r="B19" s="1"/>
      <c r="C19" s="1"/>
      <c r="D19" s="83" t="s">
        <v>10</v>
      </c>
      <c r="E19" s="10">
        <v>926264494.00999963</v>
      </c>
      <c r="F19" s="20"/>
      <c r="G19" s="83" t="s">
        <v>10</v>
      </c>
      <c r="H19" s="10">
        <v>802441683.23999977</v>
      </c>
    </row>
    <row r="20" spans="1:8" ht="16.5" customHeight="1" thickTop="1" x14ac:dyDescent="0.3"/>
  </sheetData>
  <sheetProtection algorithmName="SHA-512" hashValue="Fd78jrW9LzGZXWrQczjgx9T9o3gHheyfKZQB5sOAPlbnCAY7NCmiwZza22qhJZ85v09QGhdqMMNPNaWbcMe82A==" saltValue="PyFKNLqmUP0n6pLbWYOEgw==" spinCount="100000" sheet="1" objects="1" scenarios="1" selectLockedCells="1" selectUnlockedCells="1"/>
  <mergeCells count="10">
    <mergeCell ref="A2:H2"/>
    <mergeCell ref="A7:C9"/>
    <mergeCell ref="E7:H7"/>
    <mergeCell ref="A1:H1"/>
    <mergeCell ref="A6:H6"/>
    <mergeCell ref="A4:H4"/>
    <mergeCell ref="A3:H3"/>
    <mergeCell ref="B16:C16"/>
    <mergeCell ref="A5:H5"/>
    <mergeCell ref="E8:H8"/>
  </mergeCells>
  <printOptions horizontalCentered="1"/>
  <pageMargins left="1.496062992125984" right="0.98425196850393704" top="0.98425196850393704" bottom="0.98425196850393704" header="0.31496062992125978" footer="0.51181102362204722"/>
  <pageSetup scale="74" orientation="portrait" horizontalDpi="360" verticalDpi="360" r:id="rId1"/>
  <headerFooter scaleWithDoc="0">
    <oddFooter>&amp;C&amp;"Times New Roman,Regular"&amp;12 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7"/>
  <sheetViews>
    <sheetView zoomScaleNormal="100" zoomScaleSheetLayoutView="100" workbookViewId="0">
      <selection sqref="A1:I1"/>
    </sheetView>
  </sheetViews>
  <sheetFormatPr defaultColWidth="9.33203125" defaultRowHeight="15.6" x14ac:dyDescent="0.3"/>
  <cols>
    <col min="1" max="1" width="2.5546875" style="18" customWidth="1"/>
    <col min="2" max="2" width="2.6640625" style="18" customWidth="1"/>
    <col min="3" max="3" width="4.33203125" style="18" customWidth="1"/>
    <col min="4" max="4" width="46.33203125" style="18" customWidth="1"/>
    <col min="5" max="5" width="2" style="18" customWidth="1"/>
    <col min="6" max="6" width="17.33203125" style="19" customWidth="1"/>
    <col min="7" max="7" width="0.5546875" style="19" customWidth="1"/>
    <col min="8" max="8" width="2" style="18" customWidth="1"/>
    <col min="9" max="9" width="17.33203125" style="19" bestFit="1" customWidth="1"/>
    <col min="10" max="10" width="9.33203125" style="18" customWidth="1"/>
    <col min="11" max="16384" width="9.33203125" style="18"/>
  </cols>
  <sheetData>
    <row r="1" spans="1:9" x14ac:dyDescent="0.3">
      <c r="A1" s="89" t="s">
        <v>0</v>
      </c>
      <c r="B1" s="94"/>
      <c r="C1" s="94"/>
      <c r="D1" s="94"/>
      <c r="E1" s="94"/>
      <c r="F1" s="95"/>
      <c r="G1" s="95"/>
      <c r="H1" s="94"/>
      <c r="I1" s="95"/>
    </row>
    <row r="2" spans="1:9" x14ac:dyDescent="0.3">
      <c r="A2" s="89" t="s">
        <v>1</v>
      </c>
      <c r="B2" s="94"/>
      <c r="C2" s="94"/>
      <c r="D2" s="94"/>
      <c r="E2" s="94"/>
      <c r="F2" s="95"/>
      <c r="G2" s="95"/>
      <c r="H2" s="94"/>
      <c r="I2" s="95"/>
    </row>
    <row r="3" spans="1:9" x14ac:dyDescent="0.3">
      <c r="A3" s="89" t="s">
        <v>2</v>
      </c>
      <c r="B3" s="94"/>
      <c r="C3" s="94"/>
      <c r="D3" s="94"/>
      <c r="E3" s="94"/>
      <c r="F3" s="95"/>
      <c r="G3" s="95"/>
      <c r="H3" s="94"/>
      <c r="I3" s="95"/>
    </row>
    <row r="4" spans="1:9" x14ac:dyDescent="0.3">
      <c r="A4" s="98" t="s">
        <v>66</v>
      </c>
      <c r="B4" s="94"/>
      <c r="C4" s="94"/>
      <c r="D4" s="94"/>
      <c r="E4" s="94"/>
      <c r="F4" s="95"/>
      <c r="G4" s="95"/>
      <c r="H4" s="94"/>
      <c r="I4" s="95"/>
    </row>
    <row r="5" spans="1:9" x14ac:dyDescent="0.3">
      <c r="A5" s="96" t="s">
        <v>36</v>
      </c>
      <c r="B5" s="94"/>
      <c r="C5" s="94"/>
      <c r="D5" s="94"/>
      <c r="E5" s="94"/>
      <c r="F5" s="95"/>
      <c r="G5" s="95"/>
      <c r="H5" s="94"/>
      <c r="I5" s="95"/>
    </row>
    <row r="6" spans="1:9" x14ac:dyDescent="0.3">
      <c r="A6" s="89" t="s">
        <v>5</v>
      </c>
      <c r="B6" s="94"/>
      <c r="C6" s="94"/>
      <c r="D6" s="94"/>
      <c r="E6" s="94"/>
      <c r="F6" s="95"/>
      <c r="G6" s="95"/>
      <c r="H6" s="94"/>
      <c r="I6" s="95"/>
    </row>
    <row r="7" spans="1:9" x14ac:dyDescent="0.3">
      <c r="A7" s="8"/>
      <c r="B7" s="8"/>
      <c r="C7" s="8"/>
      <c r="D7" s="8"/>
      <c r="E7" s="8"/>
      <c r="F7" s="8"/>
      <c r="G7" s="8"/>
      <c r="H7" s="8"/>
      <c r="I7" s="8"/>
    </row>
    <row r="8" spans="1:9" x14ac:dyDescent="0.3">
      <c r="A8" s="4" t="s">
        <v>67</v>
      </c>
      <c r="B8" s="1"/>
      <c r="C8" s="1"/>
      <c r="D8" s="1"/>
      <c r="E8" s="1"/>
      <c r="F8" s="8">
        <v>2025</v>
      </c>
      <c r="G8" s="4"/>
      <c r="H8" s="1"/>
      <c r="I8" s="8">
        <v>2024</v>
      </c>
    </row>
    <row r="9" spans="1:9" ht="16.2" x14ac:dyDescent="0.35">
      <c r="A9" s="1"/>
      <c r="B9" s="5" t="s">
        <v>68</v>
      </c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 t="s">
        <v>69</v>
      </c>
      <c r="D10" s="1"/>
      <c r="E10" s="83" t="s">
        <v>10</v>
      </c>
      <c r="F10" s="78">
        <v>8839513.3300000001</v>
      </c>
      <c r="G10" s="1"/>
      <c r="H10" s="83" t="s">
        <v>10</v>
      </c>
      <c r="I10" s="78">
        <v>8707096.3900000006</v>
      </c>
    </row>
    <row r="11" spans="1:9" x14ac:dyDescent="0.3">
      <c r="A11" s="1"/>
      <c r="B11" s="1"/>
      <c r="C11" s="1" t="s">
        <v>70</v>
      </c>
      <c r="D11" s="1"/>
      <c r="E11" s="1"/>
      <c r="F11" s="78">
        <v>546594435</v>
      </c>
      <c r="G11" s="1"/>
      <c r="H11" s="1"/>
      <c r="I11" s="78">
        <v>460290907</v>
      </c>
    </row>
    <row r="12" spans="1:9" x14ac:dyDescent="0.3">
      <c r="A12" s="1"/>
      <c r="B12" s="1"/>
      <c r="C12" s="1" t="s">
        <v>71</v>
      </c>
      <c r="D12" s="1"/>
      <c r="E12" s="1"/>
      <c r="F12" s="78">
        <v>8372770.3300000001</v>
      </c>
      <c r="G12" s="1"/>
      <c r="H12" s="1"/>
      <c r="I12" s="78">
        <v>8261699.3200000003</v>
      </c>
    </row>
    <row r="13" spans="1:9" ht="15.75" customHeight="1" x14ac:dyDescent="0.3">
      <c r="A13" s="1"/>
      <c r="B13" s="1"/>
      <c r="C13" s="1" t="s">
        <v>72</v>
      </c>
      <c r="D13" s="1"/>
      <c r="E13" s="1"/>
      <c r="F13" s="78">
        <v>66536.710000000006</v>
      </c>
      <c r="G13" s="1"/>
      <c r="H13" s="1"/>
      <c r="I13" s="78">
        <v>53269.36</v>
      </c>
    </row>
    <row r="14" spans="1:9" ht="15.75" customHeight="1" x14ac:dyDescent="0.3">
      <c r="A14" s="1"/>
      <c r="B14" s="1"/>
      <c r="C14" s="1" t="s">
        <v>73</v>
      </c>
      <c r="D14" s="1"/>
      <c r="E14" s="1"/>
      <c r="F14" s="78">
        <v>7470806.8300000001</v>
      </c>
      <c r="G14" s="3"/>
      <c r="H14" s="1"/>
      <c r="I14" s="78">
        <v>35362952.170000002</v>
      </c>
    </row>
    <row r="15" spans="1:9" ht="15.75" customHeight="1" x14ac:dyDescent="0.3">
      <c r="A15" s="1"/>
      <c r="B15" s="1"/>
      <c r="C15" s="4" t="s">
        <v>74</v>
      </c>
      <c r="F15" s="11">
        <v>571344062.20000017</v>
      </c>
      <c r="G15" s="20"/>
      <c r="I15" s="11">
        <v>512675924.24000001</v>
      </c>
    </row>
    <row r="16" spans="1:9" ht="15.75" customHeight="1" x14ac:dyDescent="0.35">
      <c r="A16" s="1"/>
      <c r="B16" s="5" t="s">
        <v>75</v>
      </c>
      <c r="C16" s="1"/>
      <c r="D16" s="1"/>
      <c r="E16" s="1"/>
      <c r="F16" s="12"/>
      <c r="G16" s="1"/>
      <c r="H16" s="1"/>
      <c r="I16" s="12"/>
    </row>
    <row r="17" spans="1:9" ht="15.75" customHeight="1" x14ac:dyDescent="0.3">
      <c r="A17" s="1"/>
      <c r="B17" s="1"/>
      <c r="C17" s="1" t="s">
        <v>76</v>
      </c>
      <c r="D17" s="1"/>
      <c r="E17" s="1"/>
      <c r="F17" s="12">
        <v>0</v>
      </c>
      <c r="G17" s="1"/>
      <c r="H17" s="1"/>
      <c r="I17" s="12">
        <v>0</v>
      </c>
    </row>
    <row r="18" spans="1:9" ht="15.75" customHeight="1" x14ac:dyDescent="0.3">
      <c r="A18" s="1"/>
      <c r="B18" s="1"/>
      <c r="C18" s="1" t="s">
        <v>77</v>
      </c>
      <c r="D18" s="1"/>
      <c r="E18" s="1"/>
      <c r="F18" s="78">
        <v>137448941.09999999</v>
      </c>
      <c r="G18" s="12"/>
      <c r="H18" s="1"/>
      <c r="I18" s="78">
        <v>130446513.31999999</v>
      </c>
    </row>
    <row r="19" spans="1:9" ht="15.75" customHeight="1" x14ac:dyDescent="0.3">
      <c r="A19" s="1"/>
      <c r="B19" s="1"/>
      <c r="C19" s="1" t="s">
        <v>78</v>
      </c>
      <c r="D19" s="1"/>
      <c r="E19" s="1"/>
      <c r="F19" s="78">
        <v>125219114.90000001</v>
      </c>
      <c r="G19" s="12"/>
      <c r="H19" s="1"/>
      <c r="I19" s="78">
        <v>107597979.02</v>
      </c>
    </row>
    <row r="20" spans="1:9" ht="15.75" customHeight="1" x14ac:dyDescent="0.3">
      <c r="A20" s="1"/>
      <c r="B20" s="1"/>
      <c r="C20" s="1" t="s">
        <v>79</v>
      </c>
      <c r="D20" s="1"/>
      <c r="E20" s="1"/>
      <c r="F20" s="78">
        <v>231259.17</v>
      </c>
      <c r="G20" s="12"/>
      <c r="H20" s="1"/>
      <c r="I20" s="78">
        <v>0</v>
      </c>
    </row>
    <row r="21" spans="1:9" ht="15.75" customHeight="1" x14ac:dyDescent="0.3">
      <c r="A21" s="1"/>
      <c r="B21" s="1"/>
      <c r="C21" s="1" t="s">
        <v>80</v>
      </c>
      <c r="D21" s="1"/>
      <c r="E21" s="1"/>
      <c r="F21" s="78">
        <v>163668404.19</v>
      </c>
      <c r="G21" s="12"/>
      <c r="H21" s="1"/>
      <c r="I21" s="78">
        <v>172501912.27000001</v>
      </c>
    </row>
    <row r="22" spans="1:9" ht="15.75" customHeight="1" x14ac:dyDescent="0.3">
      <c r="A22" s="1"/>
      <c r="B22" s="1"/>
      <c r="C22" s="4" t="s">
        <v>81</v>
      </c>
      <c r="F22" s="11">
        <v>426567719.36000001</v>
      </c>
      <c r="G22" s="20"/>
      <c r="H22" s="30"/>
      <c r="I22" s="11">
        <v>410546404.61000001</v>
      </c>
    </row>
    <row r="23" spans="1:9" ht="15.75" customHeight="1" x14ac:dyDescent="0.3">
      <c r="A23" s="1"/>
      <c r="B23" s="1"/>
      <c r="C23" s="4" t="s">
        <v>82</v>
      </c>
      <c r="D23" s="4"/>
      <c r="E23" s="4"/>
      <c r="F23" s="11">
        <v>144776342.84000021</v>
      </c>
      <c r="G23" s="20"/>
      <c r="H23" s="4"/>
      <c r="I23" s="11">
        <v>102129519.63</v>
      </c>
    </row>
    <row r="24" spans="1:9" ht="15.75" customHeight="1" x14ac:dyDescent="0.3">
      <c r="A24" s="4" t="s">
        <v>83</v>
      </c>
      <c r="B24" s="1"/>
      <c r="C24" s="1"/>
      <c r="D24" s="1"/>
      <c r="E24" s="1"/>
      <c r="F24" s="12"/>
      <c r="G24" s="1"/>
      <c r="H24" s="1"/>
      <c r="I24" s="12"/>
    </row>
    <row r="25" spans="1:9" ht="15.75" customHeight="1" x14ac:dyDescent="0.35">
      <c r="A25" s="1"/>
      <c r="B25" s="5" t="s">
        <v>68</v>
      </c>
      <c r="C25" s="1"/>
      <c r="D25" s="1"/>
      <c r="E25" s="1"/>
      <c r="F25" s="12"/>
      <c r="G25" s="1"/>
      <c r="H25" s="1"/>
      <c r="I25" s="12"/>
    </row>
    <row r="26" spans="1:9" x14ac:dyDescent="0.3">
      <c r="A26" s="1"/>
      <c r="B26" s="1"/>
      <c r="C26" s="4" t="s">
        <v>74</v>
      </c>
      <c r="F26" s="31">
        <v>0</v>
      </c>
      <c r="G26" s="3"/>
      <c r="H26" s="30"/>
      <c r="I26" s="31">
        <v>0</v>
      </c>
    </row>
    <row r="27" spans="1:9" ht="16.2" x14ac:dyDescent="0.35">
      <c r="A27" s="1"/>
      <c r="B27" s="5" t="s">
        <v>75</v>
      </c>
      <c r="C27" s="1"/>
      <c r="D27" s="1"/>
      <c r="E27" s="1"/>
      <c r="F27" s="31">
        <v>0</v>
      </c>
      <c r="G27" s="1"/>
      <c r="H27" s="1"/>
      <c r="I27" s="31">
        <v>0</v>
      </c>
    </row>
    <row r="28" spans="1:9" x14ac:dyDescent="0.3">
      <c r="A28" s="1"/>
      <c r="B28" s="1"/>
      <c r="C28" s="97" t="s">
        <v>84</v>
      </c>
      <c r="D28" s="94"/>
      <c r="E28" s="26"/>
      <c r="F28" s="82">
        <v>96179584.019999996</v>
      </c>
      <c r="G28" s="1"/>
      <c r="H28" s="26"/>
      <c r="I28" s="82">
        <v>88650254.620000005</v>
      </c>
    </row>
    <row r="29" spans="1:9" ht="15.75" customHeight="1" x14ac:dyDescent="0.3">
      <c r="A29" s="1"/>
      <c r="B29" s="1"/>
      <c r="C29" s="4" t="s">
        <v>81</v>
      </c>
      <c r="F29" s="20">
        <v>96179584.019999996</v>
      </c>
      <c r="G29" s="20"/>
      <c r="H29" s="30"/>
      <c r="I29" s="20">
        <v>88650254.620000005</v>
      </c>
    </row>
    <row r="30" spans="1:9" ht="15.75" customHeight="1" x14ac:dyDescent="0.3">
      <c r="A30" s="1"/>
      <c r="B30" s="1"/>
      <c r="C30" s="4" t="s">
        <v>85</v>
      </c>
      <c r="D30" s="4"/>
      <c r="E30" s="4"/>
      <c r="F30" s="11">
        <v>-96179584.019999996</v>
      </c>
      <c r="G30" s="20"/>
      <c r="H30" s="4"/>
      <c r="I30" s="11">
        <v>-88650254.620000005</v>
      </c>
    </row>
    <row r="31" spans="1:9" ht="15.75" customHeight="1" x14ac:dyDescent="0.3">
      <c r="A31" s="4" t="s">
        <v>86</v>
      </c>
      <c r="B31" s="1"/>
      <c r="C31" s="1"/>
      <c r="D31" s="1"/>
      <c r="E31" s="1"/>
      <c r="F31" s="31"/>
      <c r="G31" s="1"/>
      <c r="H31" s="1"/>
      <c r="I31" s="12"/>
    </row>
    <row r="32" spans="1:9" ht="15.75" customHeight="1" x14ac:dyDescent="0.35">
      <c r="A32" s="1"/>
      <c r="B32" s="5" t="s">
        <v>68</v>
      </c>
      <c r="C32" s="1"/>
      <c r="D32" s="1"/>
      <c r="E32" s="1"/>
      <c r="F32" s="12"/>
      <c r="G32" s="1"/>
      <c r="H32" s="1"/>
      <c r="I32" s="12"/>
    </row>
    <row r="33" spans="1:9" ht="15.75" customHeight="1" x14ac:dyDescent="0.3">
      <c r="A33" s="1"/>
      <c r="B33" s="1"/>
      <c r="C33" s="4" t="s">
        <v>74</v>
      </c>
      <c r="F33" s="16">
        <v>0</v>
      </c>
      <c r="G33" s="3"/>
      <c r="I33" s="16">
        <v>0</v>
      </c>
    </row>
    <row r="34" spans="1:9" ht="15.75" customHeight="1" x14ac:dyDescent="0.35">
      <c r="A34" s="1"/>
      <c r="B34" s="5" t="s">
        <v>75</v>
      </c>
      <c r="C34" s="1"/>
      <c r="D34" s="1"/>
      <c r="E34" s="1"/>
      <c r="F34" s="12"/>
      <c r="G34" s="1"/>
      <c r="H34" s="1"/>
      <c r="I34" s="31"/>
    </row>
    <row r="35" spans="1:9" ht="15.75" customHeight="1" x14ac:dyDescent="0.3">
      <c r="A35" s="1"/>
      <c r="B35" s="1"/>
      <c r="C35" s="4" t="s">
        <v>81</v>
      </c>
      <c r="F35" s="31">
        <v>0</v>
      </c>
      <c r="G35" s="3"/>
      <c r="I35" s="16">
        <v>0</v>
      </c>
    </row>
    <row r="36" spans="1:9" x14ac:dyDescent="0.3">
      <c r="A36" s="1"/>
      <c r="B36" s="1"/>
      <c r="C36" s="4" t="s">
        <v>87</v>
      </c>
      <c r="D36" s="4"/>
      <c r="E36" s="4"/>
      <c r="F36" s="16">
        <v>0</v>
      </c>
      <c r="G36" s="3"/>
      <c r="H36" s="4"/>
      <c r="I36" s="16">
        <v>0</v>
      </c>
    </row>
    <row r="37" spans="1:9" ht="15.75" customHeight="1" x14ac:dyDescent="0.3">
      <c r="A37" s="4" t="s">
        <v>88</v>
      </c>
      <c r="C37" s="1"/>
      <c r="D37" s="1"/>
      <c r="E37" s="1"/>
      <c r="F37" s="33">
        <v>48596758.820000157</v>
      </c>
      <c r="G37" s="20"/>
      <c r="H37" s="1"/>
      <c r="I37" s="33">
        <v>13479265.00999999</v>
      </c>
    </row>
    <row r="38" spans="1:9" ht="15.75" customHeight="1" x14ac:dyDescent="0.3">
      <c r="A38" s="1" t="s">
        <v>89</v>
      </c>
      <c r="C38" s="1"/>
      <c r="D38" s="1"/>
      <c r="E38" s="1"/>
      <c r="F38" s="32">
        <v>135311668.25</v>
      </c>
      <c r="G38" s="12"/>
      <c r="H38" s="1"/>
      <c r="I38" s="32">
        <v>121832403.23999999</v>
      </c>
    </row>
    <row r="39" spans="1:9" ht="15.75" customHeight="1" thickBot="1" x14ac:dyDescent="0.35">
      <c r="A39" s="4" t="s">
        <v>90</v>
      </c>
      <c r="C39" s="1"/>
      <c r="D39" s="1"/>
      <c r="E39" s="83" t="s">
        <v>10</v>
      </c>
      <c r="F39" s="10">
        <v>183908427.0700002</v>
      </c>
      <c r="G39" s="20"/>
      <c r="H39" s="83" t="s">
        <v>10</v>
      </c>
      <c r="I39" s="10">
        <v>135311668.25</v>
      </c>
    </row>
    <row r="40" spans="1:9" ht="12.75" customHeight="1" thickTop="1" x14ac:dyDescent="0.3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 x14ac:dyDescent="0.3">
      <c r="A41" s="9"/>
      <c r="B41" s="9"/>
      <c r="C41" s="9"/>
      <c r="D41" s="9"/>
      <c r="E41" s="9"/>
      <c r="F41" s="17"/>
      <c r="G41" s="9"/>
      <c r="H41" s="9"/>
      <c r="I41" s="17"/>
    </row>
    <row r="42" spans="1:9" ht="12.75" customHeight="1" x14ac:dyDescent="0.3">
      <c r="A42" s="9"/>
      <c r="B42" s="9"/>
      <c r="C42" s="9"/>
      <c r="D42" s="9"/>
      <c r="E42" s="9"/>
      <c r="F42" s="17"/>
      <c r="G42" s="9"/>
      <c r="H42" s="9"/>
      <c r="I42" s="17"/>
    </row>
    <row r="43" spans="1:9" ht="12.75" customHeight="1" x14ac:dyDescent="0.3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 x14ac:dyDescent="0.3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 x14ac:dyDescent="0.3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 x14ac:dyDescent="0.3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 x14ac:dyDescent="0.3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 x14ac:dyDescent="0.3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 x14ac:dyDescent="0.3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 x14ac:dyDescent="0.3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 x14ac:dyDescent="0.3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 x14ac:dyDescent="0.3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 x14ac:dyDescent="0.3">
      <c r="A53" s="9"/>
      <c r="B53" s="9"/>
      <c r="C53" s="9"/>
      <c r="D53" s="9"/>
      <c r="E53" s="9"/>
      <c r="F53" s="9"/>
      <c r="G53" s="9"/>
      <c r="H53" s="9"/>
      <c r="I53" s="9"/>
    </row>
    <row r="54" spans="1:9" ht="12.75" customHeight="1" x14ac:dyDescent="0.3">
      <c r="A54" s="9"/>
      <c r="B54" s="9"/>
      <c r="C54" s="9"/>
      <c r="D54" s="9"/>
      <c r="E54" s="9"/>
      <c r="F54" s="9"/>
      <c r="G54" s="9"/>
      <c r="H54" s="9"/>
      <c r="I54" s="9"/>
    </row>
    <row r="55" spans="1:9" ht="12.75" customHeight="1" x14ac:dyDescent="0.3">
      <c r="A55" s="9"/>
      <c r="B55" s="9"/>
      <c r="C55" s="9"/>
      <c r="D55" s="9"/>
      <c r="E55" s="9"/>
      <c r="F55" s="9"/>
      <c r="G55" s="9"/>
      <c r="H55" s="9"/>
      <c r="I55" s="9"/>
    </row>
    <row r="56" spans="1:9" ht="15.75" customHeight="1" x14ac:dyDescent="0.3">
      <c r="A56" s="90" t="s">
        <v>34</v>
      </c>
      <c r="B56" s="94"/>
      <c r="C56" s="94"/>
      <c r="D56" s="94"/>
      <c r="E56" s="94"/>
      <c r="F56" s="95"/>
      <c r="G56" s="95"/>
      <c r="H56" s="94"/>
      <c r="I56" s="95"/>
    </row>
    <row r="57" spans="1:9" x14ac:dyDescent="0.3">
      <c r="A57" s="9"/>
      <c r="B57" s="9"/>
      <c r="C57" s="9"/>
      <c r="D57" s="9"/>
      <c r="E57" s="9"/>
      <c r="F57" s="9"/>
      <c r="G57" s="9"/>
      <c r="H57" s="9"/>
      <c r="I57" s="9"/>
    </row>
  </sheetData>
  <sheetProtection algorithmName="SHA-512" hashValue="iLTZCoAB7S50/iiNXr0r7ht3v47NPM4EY3DriIDqjbZYpeDtnWGu+BZUzBBLa+wiLI7qQp3T6Vnu/axaYLRN6w==" saltValue="mIKlyO8p4jQswBom1hrjbQ==" spinCount="100000" sheet="1" objects="1" scenarios="1" selectLockedCells="1" selectUnlockedCells="1"/>
  <mergeCells count="8">
    <mergeCell ref="A2:I2"/>
    <mergeCell ref="A5:I5"/>
    <mergeCell ref="A1:I1"/>
    <mergeCell ref="C28:D28"/>
    <mergeCell ref="A56:I56"/>
    <mergeCell ref="A3:I3"/>
    <mergeCell ref="A6:I6"/>
    <mergeCell ref="A4:I4"/>
  </mergeCells>
  <printOptions horizontalCentered="1"/>
  <pageMargins left="1.496062992125984" right="0.98425196850393704" top="0.98425196850393704" bottom="0.59055118110236227" header="0.51181102362204722" footer="0.51181102362204722"/>
  <pageSetup scale="80" orientation="portrait" horizontalDpi="360" verticalDpi="360" r:id="rId1"/>
  <headerFooter scaleWithDoc="0">
    <oddFooter>&amp;C&amp;"Times New Roman,Regular"&amp;12 &amp;"Arial,Regular"9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0"/>
  <sheetViews>
    <sheetView zoomScaleNormal="100" zoomScaleSheetLayoutView="100" workbookViewId="0">
      <selection sqref="A1:J1"/>
    </sheetView>
  </sheetViews>
  <sheetFormatPr defaultColWidth="9" defaultRowHeight="13.8" x14ac:dyDescent="0.25"/>
  <cols>
    <col min="1" max="1" width="1.6640625" style="38" customWidth="1"/>
    <col min="2" max="2" width="2" style="38" customWidth="1"/>
    <col min="3" max="3" width="1.5546875" style="38" customWidth="1"/>
    <col min="4" max="4" width="9" style="38" customWidth="1"/>
    <col min="5" max="5" width="28" style="38" customWidth="1"/>
    <col min="6" max="6" width="16" style="38" bestFit="1" customWidth="1"/>
    <col min="7" max="7" width="16.6640625" style="38" customWidth="1"/>
    <col min="8" max="8" width="15.88671875" style="38" bestFit="1" customWidth="1"/>
    <col min="9" max="9" width="16" style="38" bestFit="1" customWidth="1"/>
    <col min="10" max="10" width="16.44140625" style="38" customWidth="1"/>
    <col min="11" max="11" width="9" style="38" customWidth="1"/>
    <col min="12" max="16384" width="9" style="38"/>
  </cols>
  <sheetData>
    <row r="1" spans="1:10" x14ac:dyDescent="0.25">
      <c r="A1" s="99" t="s">
        <v>91</v>
      </c>
      <c r="B1" s="100"/>
      <c r="C1" s="100"/>
      <c r="D1" s="100"/>
      <c r="E1" s="100"/>
      <c r="F1" s="100"/>
      <c r="G1" s="100"/>
      <c r="H1" s="100"/>
      <c r="I1" s="100"/>
      <c r="J1" s="100"/>
    </row>
    <row r="2" spans="1:10" ht="13.95" customHeight="1" x14ac:dyDescent="0.25">
      <c r="A2" s="99" t="s">
        <v>92</v>
      </c>
      <c r="B2" s="100"/>
      <c r="C2" s="100"/>
      <c r="D2" s="100"/>
      <c r="E2" s="100"/>
      <c r="F2" s="100"/>
      <c r="G2" s="100"/>
      <c r="H2" s="100"/>
      <c r="I2" s="100"/>
      <c r="J2" s="100"/>
    </row>
    <row r="3" spans="1:10" ht="13.95" customHeight="1" x14ac:dyDescent="0.25">
      <c r="A3" s="111" t="s">
        <v>36</v>
      </c>
      <c r="B3" s="100"/>
      <c r="C3" s="100"/>
      <c r="D3" s="100"/>
      <c r="E3" s="100"/>
      <c r="F3" s="100"/>
      <c r="G3" s="100"/>
      <c r="H3" s="100"/>
      <c r="I3" s="100"/>
      <c r="J3" s="100"/>
    </row>
    <row r="4" spans="1:10" ht="13.95" customHeigh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</row>
    <row r="5" spans="1:10" s="40" customFormat="1" ht="12.75" customHeight="1" x14ac:dyDescent="0.3">
      <c r="A5" s="101"/>
      <c r="B5" s="102"/>
      <c r="C5" s="102"/>
      <c r="D5" s="102"/>
      <c r="E5" s="103"/>
      <c r="F5" s="110" t="s">
        <v>93</v>
      </c>
      <c r="G5" s="103"/>
      <c r="H5" s="113" t="s">
        <v>94</v>
      </c>
      <c r="I5" s="39"/>
      <c r="J5" s="39" t="s">
        <v>95</v>
      </c>
    </row>
    <row r="6" spans="1:10" s="40" customFormat="1" ht="12.75" customHeight="1" x14ac:dyDescent="0.3">
      <c r="A6" s="104"/>
      <c r="B6" s="105"/>
      <c r="C6" s="105"/>
      <c r="D6" s="105"/>
      <c r="E6" s="106"/>
      <c r="F6" s="112" t="s">
        <v>96</v>
      </c>
      <c r="G6" s="109"/>
      <c r="H6" s="114"/>
      <c r="I6" s="42" t="s">
        <v>97</v>
      </c>
      <c r="J6" s="42" t="s">
        <v>98</v>
      </c>
    </row>
    <row r="7" spans="1:10" s="40" customFormat="1" ht="12.75" customHeight="1" x14ac:dyDescent="0.25">
      <c r="A7" s="107"/>
      <c r="B7" s="108"/>
      <c r="C7" s="108"/>
      <c r="D7" s="108"/>
      <c r="E7" s="109"/>
      <c r="F7" s="43" t="s">
        <v>99</v>
      </c>
      <c r="G7" s="41" t="s">
        <v>100</v>
      </c>
      <c r="H7" s="115"/>
      <c r="I7" s="44" t="s">
        <v>96</v>
      </c>
      <c r="J7" s="44" t="s">
        <v>101</v>
      </c>
    </row>
    <row r="8" spans="1:10" s="40" customFormat="1" ht="13.2" customHeight="1" x14ac:dyDescent="0.25">
      <c r="A8" s="45" t="s">
        <v>102</v>
      </c>
      <c r="B8" s="46"/>
      <c r="C8" s="46"/>
      <c r="D8" s="46"/>
      <c r="E8" s="47"/>
      <c r="F8" s="47"/>
      <c r="G8" s="48"/>
      <c r="H8" s="49"/>
      <c r="I8" s="48"/>
      <c r="J8" s="48"/>
    </row>
    <row r="9" spans="1:10" s="40" customFormat="1" ht="13.2" customHeight="1" x14ac:dyDescent="0.25">
      <c r="A9" s="45" t="s">
        <v>103</v>
      </c>
      <c r="B9" s="46"/>
      <c r="C9" s="46"/>
      <c r="D9" s="50"/>
      <c r="E9" s="51"/>
      <c r="F9" s="47"/>
      <c r="G9" s="48"/>
      <c r="H9" s="49"/>
      <c r="I9" s="48"/>
      <c r="J9" s="48"/>
    </row>
    <row r="10" spans="1:10" s="40" customFormat="1" ht="13.5" customHeight="1" x14ac:dyDescent="0.3">
      <c r="A10" s="49"/>
      <c r="B10" s="52" t="s">
        <v>104</v>
      </c>
      <c r="C10" s="52"/>
      <c r="D10" s="52"/>
      <c r="E10" s="53"/>
      <c r="F10" s="47"/>
      <c r="G10" s="48"/>
      <c r="H10" s="49"/>
      <c r="I10" s="48"/>
      <c r="J10" s="48"/>
    </row>
    <row r="11" spans="1:10" s="40" customFormat="1" ht="12.75" customHeight="1" x14ac:dyDescent="0.25">
      <c r="A11" s="49"/>
      <c r="B11" s="46"/>
      <c r="C11" s="46" t="s">
        <v>105</v>
      </c>
      <c r="D11" s="46"/>
      <c r="E11" s="47"/>
      <c r="F11" s="47" t="s">
        <v>106</v>
      </c>
      <c r="G11" s="48"/>
      <c r="H11" s="49"/>
      <c r="I11" s="48"/>
      <c r="J11" s="48"/>
    </row>
    <row r="12" spans="1:10" s="40" customFormat="1" ht="12.75" customHeight="1" x14ac:dyDescent="0.25">
      <c r="A12" s="45"/>
      <c r="B12" s="54"/>
      <c r="C12" s="54"/>
      <c r="D12" s="46" t="s">
        <v>107</v>
      </c>
      <c r="E12" s="47"/>
      <c r="F12" s="47">
        <v>1530650</v>
      </c>
      <c r="G12" s="47">
        <v>1530650</v>
      </c>
      <c r="H12" s="49">
        <v>0</v>
      </c>
      <c r="I12" s="48">
        <v>1361536.74</v>
      </c>
      <c r="J12" s="77">
        <v>169113.26</v>
      </c>
    </row>
    <row r="13" spans="1:10" s="40" customFormat="1" ht="12.75" customHeight="1" x14ac:dyDescent="0.25">
      <c r="A13" s="45"/>
      <c r="B13" s="54"/>
      <c r="C13" s="54"/>
      <c r="D13" s="46" t="s">
        <v>108</v>
      </c>
      <c r="E13" s="47"/>
      <c r="F13" s="47">
        <v>5551711</v>
      </c>
      <c r="G13" s="47">
        <v>5551711</v>
      </c>
      <c r="H13" s="49">
        <v>0</v>
      </c>
      <c r="I13" s="48">
        <v>5431358.2200000007</v>
      </c>
      <c r="J13" s="77">
        <v>120352.7799999993</v>
      </c>
    </row>
    <row r="14" spans="1:10" s="40" customFormat="1" ht="12.75" customHeight="1" x14ac:dyDescent="0.25">
      <c r="A14" s="45"/>
      <c r="B14" s="54"/>
      <c r="C14" s="54"/>
      <c r="D14" s="46" t="s">
        <v>109</v>
      </c>
      <c r="E14" s="47"/>
      <c r="F14" s="47">
        <v>484000</v>
      </c>
      <c r="G14" s="47">
        <v>484000</v>
      </c>
      <c r="H14" s="49">
        <v>0</v>
      </c>
      <c r="I14" s="48">
        <v>344696.91</v>
      </c>
      <c r="J14" s="77">
        <v>139303.09</v>
      </c>
    </row>
    <row r="15" spans="1:10" s="40" customFormat="1" ht="13.2" customHeight="1" x14ac:dyDescent="0.25">
      <c r="A15" s="45"/>
      <c r="B15" s="54"/>
      <c r="C15" s="54" t="s">
        <v>110</v>
      </c>
      <c r="D15" s="54"/>
      <c r="E15" s="55"/>
      <c r="F15" s="56">
        <v>7566361</v>
      </c>
      <c r="G15" s="57">
        <v>7566361</v>
      </c>
      <c r="H15" s="74">
        <v>0</v>
      </c>
      <c r="I15" s="57">
        <v>7137591.870000001</v>
      </c>
      <c r="J15" s="57">
        <v>428769.12999999942</v>
      </c>
    </row>
    <row r="16" spans="1:10" s="40" customFormat="1" ht="12.75" customHeight="1" x14ac:dyDescent="0.25">
      <c r="A16" s="45"/>
      <c r="B16" s="54"/>
      <c r="C16" s="46" t="s">
        <v>111</v>
      </c>
      <c r="D16" s="46"/>
      <c r="E16" s="47"/>
      <c r="F16" s="47"/>
      <c r="G16" s="48"/>
      <c r="H16" s="49"/>
      <c r="I16" s="48"/>
      <c r="J16" s="48"/>
    </row>
    <row r="17" spans="1:10" s="40" customFormat="1" ht="12.75" customHeight="1" x14ac:dyDescent="0.25">
      <c r="A17" s="45"/>
      <c r="B17" s="54"/>
      <c r="C17" s="54"/>
      <c r="D17" s="46" t="s">
        <v>112</v>
      </c>
      <c r="E17" s="47"/>
      <c r="F17" s="47">
        <v>3128625</v>
      </c>
      <c r="G17" s="47">
        <v>3128625</v>
      </c>
      <c r="H17" s="49">
        <v>0</v>
      </c>
      <c r="I17" s="49">
        <v>7909521.9100000001</v>
      </c>
      <c r="J17" s="48">
        <v>-4780896.91</v>
      </c>
    </row>
    <row r="18" spans="1:10" s="40" customFormat="1" ht="12.75" customHeight="1" x14ac:dyDescent="0.25">
      <c r="A18" s="45"/>
      <c r="B18" s="54"/>
      <c r="C18" s="54"/>
      <c r="D18" s="46" t="s">
        <v>113</v>
      </c>
      <c r="E18" s="47"/>
      <c r="F18" s="47">
        <v>721740</v>
      </c>
      <c r="G18" s="47">
        <v>721740</v>
      </c>
      <c r="H18" s="49">
        <v>0</v>
      </c>
      <c r="I18" s="49">
        <v>529241.64</v>
      </c>
      <c r="J18" s="48">
        <v>192498.36</v>
      </c>
    </row>
    <row r="19" spans="1:10" s="40" customFormat="1" ht="12.75" customHeight="1" x14ac:dyDescent="0.25">
      <c r="A19" s="49"/>
      <c r="B19" s="46"/>
      <c r="C19" s="46"/>
      <c r="D19" s="46" t="s">
        <v>114</v>
      </c>
      <c r="E19" s="47"/>
      <c r="F19" s="75">
        <v>12140377.380000001</v>
      </c>
      <c r="G19" s="75">
        <v>12140377.380000001</v>
      </c>
      <c r="H19" s="75">
        <v>0</v>
      </c>
      <c r="I19" s="75">
        <v>12440583.5</v>
      </c>
      <c r="J19" s="48">
        <v>-300206.11999999918</v>
      </c>
    </row>
    <row r="20" spans="1:10" s="40" customFormat="1" ht="13.2" customHeight="1" x14ac:dyDescent="0.25">
      <c r="A20" s="45"/>
      <c r="B20" s="54"/>
      <c r="C20" s="54" t="s">
        <v>115</v>
      </c>
      <c r="D20" s="54"/>
      <c r="E20" s="55"/>
      <c r="F20" s="56">
        <v>15990742.380000001</v>
      </c>
      <c r="G20" s="56">
        <v>15990742.380000001</v>
      </c>
      <c r="H20" s="56">
        <v>0</v>
      </c>
      <c r="I20" s="56">
        <v>20879347.050000001</v>
      </c>
      <c r="J20" s="56">
        <v>-4888604.669999999</v>
      </c>
    </row>
    <row r="21" spans="1:10" s="40" customFormat="1" ht="13.95" customHeight="1" x14ac:dyDescent="0.3">
      <c r="A21" s="58"/>
      <c r="B21" s="52" t="s">
        <v>116</v>
      </c>
      <c r="C21" s="52"/>
      <c r="D21" s="52"/>
      <c r="E21" s="53"/>
      <c r="F21" s="53"/>
      <c r="G21" s="59"/>
      <c r="H21" s="71"/>
      <c r="I21" s="53"/>
      <c r="J21" s="48"/>
    </row>
    <row r="22" spans="1:10" s="40" customFormat="1" ht="12.75" customHeight="1" x14ac:dyDescent="0.25">
      <c r="A22" s="45"/>
      <c r="B22" s="54"/>
      <c r="C22" s="46" t="s">
        <v>117</v>
      </c>
      <c r="D22" s="46"/>
      <c r="E22" s="47"/>
      <c r="F22" s="47">
        <v>546832008</v>
      </c>
      <c r="G22" s="47">
        <v>546832008</v>
      </c>
      <c r="H22" s="48">
        <v>0</v>
      </c>
      <c r="I22" s="48">
        <v>546594435</v>
      </c>
      <c r="J22" s="48">
        <v>237573</v>
      </c>
    </row>
    <row r="23" spans="1:10" s="40" customFormat="1" ht="12.75" customHeight="1" x14ac:dyDescent="0.25">
      <c r="A23" s="45"/>
      <c r="B23" s="54"/>
      <c r="C23" s="46" t="s">
        <v>118</v>
      </c>
      <c r="D23" s="46"/>
      <c r="E23" s="47"/>
      <c r="F23" s="47">
        <v>0</v>
      </c>
      <c r="G23" s="48">
        <v>0</v>
      </c>
      <c r="H23" s="48">
        <v>0</v>
      </c>
      <c r="I23" s="48">
        <v>0</v>
      </c>
      <c r="J23" s="48">
        <v>0</v>
      </c>
    </row>
    <row r="24" spans="1:10" s="40" customFormat="1" ht="12.75" customHeight="1" x14ac:dyDescent="0.25">
      <c r="A24" s="45"/>
      <c r="B24" s="54"/>
      <c r="C24" s="46" t="s">
        <v>119</v>
      </c>
      <c r="D24" s="46"/>
      <c r="E24" s="47"/>
      <c r="F24" s="47">
        <v>200000</v>
      </c>
      <c r="G24" s="47">
        <v>200000</v>
      </c>
      <c r="H24" s="48">
        <v>0</v>
      </c>
      <c r="I24" s="47">
        <v>574572.81000000006</v>
      </c>
      <c r="J24" s="48">
        <v>-374572.81000000011</v>
      </c>
    </row>
    <row r="25" spans="1:10" s="40" customFormat="1" ht="12.75" customHeight="1" x14ac:dyDescent="0.25">
      <c r="A25" s="49"/>
      <c r="B25" s="46"/>
      <c r="C25" s="46"/>
      <c r="D25" s="46" t="s">
        <v>120</v>
      </c>
      <c r="E25" s="47"/>
      <c r="F25" s="47">
        <v>0</v>
      </c>
      <c r="G25" s="48">
        <v>0</v>
      </c>
      <c r="H25" s="48">
        <v>0</v>
      </c>
      <c r="I25" s="48">
        <v>0</v>
      </c>
      <c r="J25" s="48">
        <v>0</v>
      </c>
    </row>
    <row r="26" spans="1:10" s="40" customFormat="1" ht="13.2" customHeight="1" x14ac:dyDescent="0.25">
      <c r="A26" s="49"/>
      <c r="B26" s="46"/>
      <c r="C26" s="46"/>
      <c r="D26" s="46" t="s">
        <v>121</v>
      </c>
      <c r="E26" s="47"/>
      <c r="F26" s="47">
        <v>0</v>
      </c>
      <c r="G26" s="48">
        <v>0</v>
      </c>
      <c r="H26" s="48">
        <v>0</v>
      </c>
      <c r="I26" s="48">
        <v>0</v>
      </c>
      <c r="J26" s="48">
        <v>0</v>
      </c>
    </row>
    <row r="27" spans="1:10" s="40" customFormat="1" ht="12.75" customHeight="1" x14ac:dyDescent="0.25">
      <c r="A27" s="49"/>
      <c r="B27" s="46"/>
      <c r="C27" s="46"/>
      <c r="D27" s="46" t="s">
        <v>122</v>
      </c>
      <c r="E27" s="47"/>
      <c r="F27" s="47">
        <v>200000</v>
      </c>
      <c r="G27" s="48">
        <v>200000</v>
      </c>
      <c r="H27" s="48">
        <v>0</v>
      </c>
      <c r="I27" s="48">
        <v>255515.49</v>
      </c>
      <c r="J27" s="48">
        <v>-55515.489999999991</v>
      </c>
    </row>
    <row r="28" spans="1:10" s="40" customFormat="1" ht="13.2" customHeight="1" x14ac:dyDescent="0.25">
      <c r="A28" s="49"/>
      <c r="B28" s="46"/>
      <c r="C28" s="46"/>
      <c r="D28" s="46" t="s">
        <v>123</v>
      </c>
      <c r="E28" s="47"/>
      <c r="F28" s="47">
        <v>0</v>
      </c>
      <c r="G28" s="48">
        <v>0</v>
      </c>
      <c r="H28" s="48">
        <v>0</v>
      </c>
      <c r="I28" s="48">
        <v>319057.32</v>
      </c>
      <c r="J28" s="48">
        <v>-319057.32</v>
      </c>
    </row>
    <row r="29" spans="1:10" s="40" customFormat="1" ht="12.75" customHeight="1" x14ac:dyDescent="0.25">
      <c r="A29" s="49"/>
      <c r="B29" s="46"/>
      <c r="C29" s="46" t="s">
        <v>124</v>
      </c>
      <c r="D29" s="46"/>
      <c r="E29" s="47"/>
      <c r="F29" s="47">
        <v>0</v>
      </c>
      <c r="G29" s="47">
        <v>0</v>
      </c>
      <c r="H29" s="48">
        <v>0</v>
      </c>
      <c r="I29" s="48">
        <v>0</v>
      </c>
      <c r="J29" s="48">
        <v>0</v>
      </c>
    </row>
    <row r="30" spans="1:10" s="40" customFormat="1" ht="13.95" customHeight="1" x14ac:dyDescent="0.3">
      <c r="A30" s="49"/>
      <c r="B30" s="52" t="s">
        <v>125</v>
      </c>
      <c r="C30" s="46"/>
      <c r="D30" s="46"/>
      <c r="E30" s="47"/>
      <c r="F30" s="48">
        <v>0</v>
      </c>
      <c r="G30" s="48">
        <v>0</v>
      </c>
      <c r="H30" s="48">
        <v>0</v>
      </c>
      <c r="I30" s="48">
        <v>0</v>
      </c>
      <c r="J30" s="48">
        <v>0</v>
      </c>
    </row>
    <row r="31" spans="1:10" s="40" customFormat="1" ht="13.95" customHeight="1" x14ac:dyDescent="0.3">
      <c r="A31" s="49"/>
      <c r="B31" s="52" t="s">
        <v>126</v>
      </c>
      <c r="C31" s="46"/>
      <c r="D31" s="46"/>
      <c r="E31" s="47"/>
      <c r="F31" s="48">
        <v>0</v>
      </c>
      <c r="G31" s="48">
        <v>0</v>
      </c>
      <c r="H31" s="48">
        <v>0</v>
      </c>
      <c r="I31" s="48">
        <v>0</v>
      </c>
      <c r="J31" s="48">
        <v>0</v>
      </c>
    </row>
    <row r="32" spans="1:10" s="40" customFormat="1" ht="13.95" customHeight="1" x14ac:dyDescent="0.3">
      <c r="A32" s="49"/>
      <c r="B32" s="52" t="s">
        <v>127</v>
      </c>
      <c r="C32" s="46"/>
      <c r="D32" s="46"/>
      <c r="E32" s="47"/>
      <c r="F32" s="48">
        <v>0</v>
      </c>
      <c r="G32" s="48">
        <v>0</v>
      </c>
      <c r="H32" s="48">
        <v>0</v>
      </c>
      <c r="I32" s="48">
        <v>0</v>
      </c>
      <c r="J32" s="48">
        <v>0</v>
      </c>
    </row>
    <row r="33" spans="1:10" s="40" customFormat="1" ht="13.95" customHeight="1" x14ac:dyDescent="0.3">
      <c r="A33" s="49"/>
      <c r="B33" s="52" t="s">
        <v>128</v>
      </c>
      <c r="C33" s="46"/>
      <c r="D33" s="46"/>
      <c r="E33" s="47"/>
      <c r="F33" s="48">
        <v>0</v>
      </c>
      <c r="G33" s="48">
        <v>0</v>
      </c>
      <c r="H33" s="48">
        <v>0</v>
      </c>
      <c r="I33" s="48">
        <v>0</v>
      </c>
      <c r="J33" s="48">
        <v>0</v>
      </c>
    </row>
    <row r="34" spans="1:10" s="40" customFormat="1" ht="12.75" customHeight="1" x14ac:dyDescent="0.25">
      <c r="A34" s="45" t="s">
        <v>129</v>
      </c>
      <c r="B34" s="54"/>
      <c r="C34" s="54"/>
      <c r="D34" s="54"/>
      <c r="E34" s="55"/>
      <c r="F34" s="57">
        <v>570589111.38</v>
      </c>
      <c r="G34" s="57">
        <v>570589111.38</v>
      </c>
      <c r="H34" s="57">
        <v>0</v>
      </c>
      <c r="I34" s="57">
        <v>575185946.7299999</v>
      </c>
      <c r="J34" s="57">
        <v>-4596835.3499999996</v>
      </c>
    </row>
    <row r="35" spans="1:10" s="40" customFormat="1" ht="12.75" customHeight="1" x14ac:dyDescent="0.25">
      <c r="A35" s="45" t="s">
        <v>130</v>
      </c>
      <c r="B35" s="46"/>
      <c r="C35" s="46"/>
      <c r="D35" s="46"/>
      <c r="E35" s="47"/>
      <c r="F35" s="47"/>
      <c r="G35" s="48"/>
      <c r="H35" s="49"/>
      <c r="I35" s="48"/>
      <c r="J35" s="62"/>
    </row>
    <row r="36" spans="1:10" s="40" customFormat="1" ht="12.75" customHeight="1" x14ac:dyDescent="0.25">
      <c r="A36" s="45" t="s">
        <v>131</v>
      </c>
      <c r="B36" s="46"/>
      <c r="C36" s="46"/>
      <c r="D36" s="46"/>
      <c r="E36" s="47"/>
      <c r="F36" s="47"/>
      <c r="G36" s="48"/>
      <c r="H36" s="49"/>
      <c r="I36" s="48"/>
      <c r="J36" s="48"/>
    </row>
    <row r="37" spans="1:10" s="40" customFormat="1" ht="12.75" customHeight="1" x14ac:dyDescent="0.25">
      <c r="A37" s="49"/>
      <c r="B37" s="54" t="s">
        <v>132</v>
      </c>
      <c r="C37" s="46"/>
      <c r="D37" s="46"/>
      <c r="E37" s="47"/>
      <c r="F37" s="47"/>
      <c r="G37" s="48"/>
      <c r="H37" s="49"/>
      <c r="I37" s="48"/>
      <c r="J37" s="48"/>
    </row>
    <row r="38" spans="1:10" s="40" customFormat="1" ht="12.75" customHeight="1" x14ac:dyDescent="0.25">
      <c r="A38" s="49"/>
      <c r="B38" s="54"/>
      <c r="C38" s="46" t="s">
        <v>45</v>
      </c>
      <c r="D38" s="46"/>
      <c r="E38" s="47"/>
      <c r="F38" s="47">
        <v>122877527.23999999</v>
      </c>
      <c r="G38" s="47">
        <v>122877527.23999999</v>
      </c>
      <c r="H38" s="49">
        <v>0</v>
      </c>
      <c r="I38" s="48">
        <v>105081332.17</v>
      </c>
      <c r="J38" s="48">
        <v>17796195.069999989</v>
      </c>
    </row>
    <row r="39" spans="1:10" s="40" customFormat="1" ht="12.75" customHeight="1" x14ac:dyDescent="0.25">
      <c r="A39" s="49"/>
      <c r="B39" s="54"/>
      <c r="C39" s="46" t="s">
        <v>46</v>
      </c>
      <c r="D39" s="46"/>
      <c r="E39" s="47"/>
      <c r="F39" s="47">
        <v>198019788.91</v>
      </c>
      <c r="G39" s="47">
        <v>198019788.91</v>
      </c>
      <c r="H39" s="49">
        <v>0</v>
      </c>
      <c r="I39" s="48">
        <v>191834160.81999999</v>
      </c>
      <c r="J39" s="48">
        <v>6185628.0900000036</v>
      </c>
    </row>
    <row r="40" spans="1:10" s="40" customFormat="1" ht="12.75" customHeight="1" x14ac:dyDescent="0.25">
      <c r="A40" s="49"/>
      <c r="B40" s="54"/>
      <c r="C40" s="46" t="s">
        <v>133</v>
      </c>
      <c r="D40" s="46"/>
      <c r="E40" s="47"/>
      <c r="F40" s="47">
        <v>7500000</v>
      </c>
      <c r="G40" s="47">
        <v>7500000</v>
      </c>
      <c r="H40" s="49">
        <v>0</v>
      </c>
      <c r="I40" s="48">
        <v>5193176.7</v>
      </c>
      <c r="J40" s="48">
        <v>2306823.2999999998</v>
      </c>
    </row>
    <row r="41" spans="1:10" s="40" customFormat="1" ht="12.75" customHeight="1" x14ac:dyDescent="0.25">
      <c r="A41" s="49"/>
      <c r="B41" s="54" t="s">
        <v>134</v>
      </c>
      <c r="C41" s="54"/>
      <c r="D41" s="46"/>
      <c r="E41" s="47"/>
      <c r="F41" s="47" t="s">
        <v>106</v>
      </c>
      <c r="G41" s="48"/>
      <c r="H41" s="49"/>
      <c r="I41" s="48"/>
      <c r="J41" s="48"/>
    </row>
    <row r="42" spans="1:10" s="40" customFormat="1" ht="12.75" customHeight="1" x14ac:dyDescent="0.25">
      <c r="A42" s="49"/>
      <c r="B42" s="46"/>
      <c r="C42" s="46" t="s">
        <v>45</v>
      </c>
      <c r="D42" s="46"/>
      <c r="E42" s="47"/>
      <c r="F42" s="47">
        <v>0</v>
      </c>
      <c r="G42" s="48">
        <v>0</v>
      </c>
      <c r="H42" s="49">
        <v>0</v>
      </c>
      <c r="I42" s="48">
        <v>0</v>
      </c>
      <c r="J42" s="48">
        <v>0</v>
      </c>
    </row>
    <row r="43" spans="1:10" s="40" customFormat="1" ht="12.75" customHeight="1" x14ac:dyDescent="0.25">
      <c r="A43" s="49"/>
      <c r="B43" s="46"/>
      <c r="C43" s="46" t="s">
        <v>46</v>
      </c>
      <c r="D43" s="46"/>
      <c r="E43" s="47"/>
      <c r="F43" s="47">
        <v>0</v>
      </c>
      <c r="G43" s="48">
        <v>0</v>
      </c>
      <c r="H43" s="49">
        <v>0</v>
      </c>
      <c r="I43" s="48">
        <v>0</v>
      </c>
      <c r="J43" s="48">
        <v>0</v>
      </c>
    </row>
    <row r="44" spans="1:10" s="40" customFormat="1" ht="12.75" customHeight="1" x14ac:dyDescent="0.25">
      <c r="A44" s="49"/>
      <c r="B44" s="46"/>
      <c r="C44" s="46" t="s">
        <v>133</v>
      </c>
      <c r="D44" s="46"/>
      <c r="E44" s="47"/>
      <c r="F44" s="47">
        <v>0</v>
      </c>
      <c r="G44" s="48">
        <v>0</v>
      </c>
      <c r="H44" s="49">
        <v>0</v>
      </c>
      <c r="I44" s="48">
        <v>0</v>
      </c>
      <c r="J44" s="48">
        <v>0</v>
      </c>
    </row>
    <row r="45" spans="1:10" s="40" customFormat="1" ht="12.75" customHeight="1" x14ac:dyDescent="0.25">
      <c r="A45" s="49"/>
      <c r="B45" s="54" t="s">
        <v>135</v>
      </c>
      <c r="C45" s="46"/>
      <c r="D45" s="46"/>
      <c r="E45" s="47"/>
      <c r="F45" s="47"/>
      <c r="G45" s="48"/>
      <c r="H45" s="49"/>
      <c r="I45" s="48"/>
      <c r="J45" s="48"/>
    </row>
    <row r="46" spans="1:10" s="40" customFormat="1" ht="12.75" customHeight="1" x14ac:dyDescent="0.25">
      <c r="A46" s="49"/>
      <c r="B46" s="46"/>
      <c r="C46" s="46" t="s">
        <v>45</v>
      </c>
      <c r="D46" s="46"/>
      <c r="E46" s="47"/>
      <c r="F46" s="63">
        <v>18235704.149999999</v>
      </c>
      <c r="G46" s="63">
        <v>18235704.149999999</v>
      </c>
      <c r="H46" s="49">
        <v>0</v>
      </c>
      <c r="I46" s="64">
        <v>12988765.550000001</v>
      </c>
      <c r="J46" s="48">
        <v>5246938.5999999978</v>
      </c>
    </row>
    <row r="47" spans="1:10" s="40" customFormat="1" ht="12.75" customHeight="1" x14ac:dyDescent="0.25">
      <c r="A47" s="49"/>
      <c r="B47" s="46"/>
      <c r="C47" s="46" t="s">
        <v>46</v>
      </c>
      <c r="D47" s="46"/>
      <c r="E47" s="47"/>
      <c r="F47" s="63">
        <v>18844000</v>
      </c>
      <c r="G47" s="63">
        <v>18844000</v>
      </c>
      <c r="H47" s="49">
        <v>0</v>
      </c>
      <c r="I47" s="64">
        <v>18511707.5</v>
      </c>
      <c r="J47" s="48">
        <v>332292.5</v>
      </c>
    </row>
    <row r="48" spans="1:10" s="40" customFormat="1" ht="12.75" customHeight="1" x14ac:dyDescent="0.25">
      <c r="A48" s="49"/>
      <c r="B48" s="46"/>
      <c r="C48" s="46" t="s">
        <v>133</v>
      </c>
      <c r="D48" s="46"/>
      <c r="E48" s="47"/>
      <c r="F48" s="63">
        <v>0</v>
      </c>
      <c r="G48" s="63">
        <v>0</v>
      </c>
      <c r="H48" s="49">
        <v>0</v>
      </c>
      <c r="I48" s="64">
        <v>0</v>
      </c>
      <c r="J48" s="48">
        <v>0</v>
      </c>
    </row>
    <row r="49" spans="1:10" s="40" customFormat="1" ht="12.75" customHeight="1" x14ac:dyDescent="0.25">
      <c r="A49" s="49"/>
      <c r="B49" s="54" t="s">
        <v>136</v>
      </c>
      <c r="C49" s="46"/>
      <c r="D49" s="46"/>
      <c r="E49" s="47"/>
      <c r="F49" s="47"/>
      <c r="G49" s="48"/>
      <c r="H49" s="49"/>
      <c r="I49" s="48"/>
      <c r="J49" s="48"/>
    </row>
    <row r="50" spans="1:10" s="40" customFormat="1" ht="12.75" customHeight="1" x14ac:dyDescent="0.25">
      <c r="A50" s="49"/>
      <c r="B50" s="46"/>
      <c r="C50" s="46" t="s">
        <v>45</v>
      </c>
      <c r="D50" s="46"/>
      <c r="E50" s="47"/>
      <c r="F50" s="63">
        <v>4515125.71</v>
      </c>
      <c r="G50" s="63">
        <v>4515125.71</v>
      </c>
      <c r="H50" s="49">
        <v>0</v>
      </c>
      <c r="I50" s="64">
        <v>3857611.34</v>
      </c>
      <c r="J50" s="48">
        <v>657514.37000000011</v>
      </c>
    </row>
    <row r="51" spans="1:10" s="40" customFormat="1" ht="12.75" customHeight="1" x14ac:dyDescent="0.25">
      <c r="A51" s="49"/>
      <c r="B51" s="46"/>
      <c r="C51" s="46" t="s">
        <v>46</v>
      </c>
      <c r="D51" s="46"/>
      <c r="E51" s="47"/>
      <c r="F51" s="63">
        <v>1272000</v>
      </c>
      <c r="G51" s="63">
        <v>1272000</v>
      </c>
      <c r="H51" s="49">
        <v>0</v>
      </c>
      <c r="I51" s="64">
        <v>595473.73</v>
      </c>
      <c r="J51" s="48">
        <v>676526.27</v>
      </c>
    </row>
    <row r="52" spans="1:10" s="40" customFormat="1" ht="12.75" customHeight="1" x14ac:dyDescent="0.25">
      <c r="A52" s="49"/>
      <c r="B52" s="46"/>
      <c r="C52" s="46" t="s">
        <v>133</v>
      </c>
      <c r="D52" s="46"/>
      <c r="E52" s="47"/>
      <c r="F52" s="47">
        <v>0</v>
      </c>
      <c r="G52" s="47">
        <v>0</v>
      </c>
      <c r="H52" s="49">
        <v>0</v>
      </c>
      <c r="I52" s="48">
        <v>0</v>
      </c>
      <c r="J52" s="48">
        <v>0</v>
      </c>
    </row>
    <row r="53" spans="1:10" s="40" customFormat="1" ht="12.75" customHeight="1" x14ac:dyDescent="0.25">
      <c r="A53" s="49"/>
      <c r="B53" s="54" t="s">
        <v>137</v>
      </c>
      <c r="C53" s="54"/>
      <c r="D53" s="46"/>
      <c r="E53" s="47"/>
      <c r="F53" s="47"/>
      <c r="G53" s="47"/>
      <c r="H53" s="49"/>
      <c r="I53" s="48"/>
      <c r="J53" s="48"/>
    </row>
    <row r="54" spans="1:10" s="40" customFormat="1" ht="12.75" customHeight="1" x14ac:dyDescent="0.25">
      <c r="A54" s="49"/>
      <c r="B54" s="46"/>
      <c r="C54" s="46" t="s">
        <v>45</v>
      </c>
      <c r="D54" s="46"/>
      <c r="E54" s="47"/>
      <c r="F54" s="63">
        <v>20903970.289999999</v>
      </c>
      <c r="G54" s="63">
        <v>20903970.289999999</v>
      </c>
      <c r="H54" s="49">
        <v>0</v>
      </c>
      <c r="I54" s="64">
        <v>16868926.059999999</v>
      </c>
      <c r="J54" s="48">
        <v>4035044.23</v>
      </c>
    </row>
    <row r="55" spans="1:10" s="40" customFormat="1" ht="12.75" customHeight="1" x14ac:dyDescent="0.25">
      <c r="A55" s="49"/>
      <c r="B55" s="46"/>
      <c r="C55" s="46" t="s">
        <v>46</v>
      </c>
      <c r="D55" s="46"/>
      <c r="E55" s="47"/>
      <c r="F55" s="63">
        <v>7511000</v>
      </c>
      <c r="G55" s="63">
        <v>7511000</v>
      </c>
      <c r="H55" s="49">
        <v>0</v>
      </c>
      <c r="I55" s="64">
        <v>5774609.9199999999</v>
      </c>
      <c r="J55" s="48">
        <v>1736390.08</v>
      </c>
    </row>
    <row r="56" spans="1:10" s="40" customFormat="1" ht="12.75" customHeight="1" x14ac:dyDescent="0.25">
      <c r="A56" s="49"/>
      <c r="B56" s="46"/>
      <c r="C56" s="46" t="s">
        <v>133</v>
      </c>
      <c r="D56" s="46"/>
      <c r="E56" s="47"/>
      <c r="F56" s="47"/>
      <c r="G56" s="47"/>
      <c r="H56" s="49">
        <v>0</v>
      </c>
      <c r="I56" s="48"/>
      <c r="J56" s="48">
        <v>0</v>
      </c>
    </row>
    <row r="57" spans="1:10" s="40" customFormat="1" ht="12.75" customHeight="1" x14ac:dyDescent="0.25">
      <c r="A57" s="49"/>
      <c r="B57" s="54" t="s">
        <v>138</v>
      </c>
      <c r="C57" s="65"/>
      <c r="D57" s="66"/>
      <c r="E57" s="67"/>
      <c r="F57" s="47"/>
      <c r="G57" s="48"/>
      <c r="H57" s="49"/>
      <c r="I57" s="48"/>
      <c r="J57" s="48"/>
    </row>
    <row r="58" spans="1:10" s="40" customFormat="1" ht="12.75" customHeight="1" x14ac:dyDescent="0.25">
      <c r="A58" s="49"/>
      <c r="B58" s="46"/>
      <c r="C58" s="54" t="s">
        <v>139</v>
      </c>
      <c r="D58" s="46"/>
      <c r="E58" s="47"/>
      <c r="F58" s="47"/>
      <c r="G58" s="48"/>
      <c r="H58" s="49"/>
      <c r="I58" s="48"/>
      <c r="J58" s="48"/>
    </row>
    <row r="59" spans="1:10" s="40" customFormat="1" ht="12.75" customHeight="1" x14ac:dyDescent="0.25">
      <c r="A59" s="49"/>
      <c r="B59" s="46"/>
      <c r="C59" s="46"/>
      <c r="D59" s="68" t="s">
        <v>45</v>
      </c>
      <c r="E59" s="47"/>
      <c r="F59" s="47">
        <v>0</v>
      </c>
      <c r="G59" s="48">
        <v>0</v>
      </c>
      <c r="H59" s="49">
        <v>0</v>
      </c>
      <c r="I59" s="48">
        <v>0</v>
      </c>
      <c r="J59" s="48">
        <v>0</v>
      </c>
    </row>
    <row r="60" spans="1:10" s="40" customFormat="1" ht="12.75" customHeight="1" x14ac:dyDescent="0.25">
      <c r="A60" s="49"/>
      <c r="B60" s="46"/>
      <c r="C60" s="46"/>
      <c r="D60" s="46" t="s">
        <v>46</v>
      </c>
      <c r="E60" s="47"/>
      <c r="F60" s="64">
        <v>27922436.699999999</v>
      </c>
      <c r="G60" s="64">
        <v>27922436.699999999</v>
      </c>
      <c r="H60" s="49">
        <v>0</v>
      </c>
      <c r="I60" s="64">
        <v>27911145.43</v>
      </c>
      <c r="J60" s="48">
        <v>11291.269999999549</v>
      </c>
    </row>
    <row r="61" spans="1:10" s="40" customFormat="1" ht="12.75" customHeight="1" x14ac:dyDescent="0.25">
      <c r="A61" s="49"/>
      <c r="B61" s="46"/>
      <c r="C61" s="46"/>
      <c r="D61" s="46" t="s">
        <v>133</v>
      </c>
      <c r="E61" s="47"/>
      <c r="F61" s="68">
        <v>0</v>
      </c>
      <c r="G61" s="64">
        <v>0</v>
      </c>
      <c r="H61" s="49">
        <v>0</v>
      </c>
      <c r="I61" s="64">
        <v>0</v>
      </c>
      <c r="J61" s="48">
        <v>0</v>
      </c>
    </row>
    <row r="62" spans="1:10" s="40" customFormat="1" ht="12.75" customHeight="1" x14ac:dyDescent="0.25">
      <c r="A62" s="49"/>
      <c r="B62" s="46"/>
      <c r="C62" s="54" t="s">
        <v>140</v>
      </c>
      <c r="D62" s="46"/>
      <c r="E62" s="47"/>
      <c r="F62" s="46"/>
      <c r="G62" s="48"/>
      <c r="H62" s="46"/>
      <c r="I62" s="48"/>
      <c r="J62" s="48"/>
    </row>
    <row r="63" spans="1:10" s="40" customFormat="1" ht="12.75" customHeight="1" x14ac:dyDescent="0.25">
      <c r="A63" s="49"/>
      <c r="B63" s="46"/>
      <c r="C63" s="46"/>
      <c r="D63" s="68" t="s">
        <v>45</v>
      </c>
      <c r="E63" s="63"/>
      <c r="F63" s="47">
        <v>0</v>
      </c>
      <c r="G63" s="48">
        <v>0</v>
      </c>
      <c r="H63" s="49">
        <v>0</v>
      </c>
      <c r="I63" s="48">
        <v>0</v>
      </c>
      <c r="J63" s="48">
        <v>0</v>
      </c>
    </row>
    <row r="64" spans="1:10" s="40" customFormat="1" ht="12.75" customHeight="1" x14ac:dyDescent="0.25">
      <c r="A64" s="49"/>
      <c r="B64" s="46"/>
      <c r="C64" s="46"/>
      <c r="D64" s="46" t="s">
        <v>46</v>
      </c>
      <c r="E64" s="47"/>
      <c r="F64" s="64">
        <v>17000000</v>
      </c>
      <c r="G64" s="64">
        <v>17000000</v>
      </c>
      <c r="H64" s="49">
        <v>0</v>
      </c>
      <c r="I64" s="48">
        <v>16827229.920000002</v>
      </c>
      <c r="J64" s="48">
        <v>172770.07999999821</v>
      </c>
    </row>
    <row r="65" spans="1:10" s="40" customFormat="1" ht="12.75" customHeight="1" x14ac:dyDescent="0.25">
      <c r="A65" s="49"/>
      <c r="B65" s="46"/>
      <c r="C65" s="46"/>
      <c r="D65" s="46" t="s">
        <v>133</v>
      </c>
      <c r="E65" s="47"/>
      <c r="F65" s="64">
        <v>92366401.599999994</v>
      </c>
      <c r="G65" s="64">
        <v>92366401.599999994</v>
      </c>
      <c r="H65" s="49">
        <v>0</v>
      </c>
      <c r="I65" s="48">
        <v>68059337.659999996</v>
      </c>
      <c r="J65" s="48">
        <v>24307063.940000001</v>
      </c>
    </row>
    <row r="66" spans="1:10" s="40" customFormat="1" ht="12.75" customHeight="1" x14ac:dyDescent="0.25">
      <c r="A66" s="49"/>
      <c r="B66" s="46"/>
      <c r="C66" s="46" t="s">
        <v>141</v>
      </c>
      <c r="D66" s="46"/>
      <c r="E66" s="47"/>
      <c r="F66" s="47"/>
      <c r="G66" s="48"/>
      <c r="H66" s="49"/>
      <c r="I66" s="48"/>
      <c r="J66" s="48"/>
    </row>
    <row r="67" spans="1:10" s="40" customFormat="1" ht="12.75" customHeight="1" x14ac:dyDescent="0.25">
      <c r="A67" s="49"/>
      <c r="B67" s="46"/>
      <c r="C67" s="46"/>
      <c r="D67" s="46" t="s">
        <v>45</v>
      </c>
      <c r="E67" s="47"/>
      <c r="F67" s="47">
        <v>0</v>
      </c>
      <c r="G67" s="47">
        <v>0</v>
      </c>
      <c r="H67" s="49">
        <v>0</v>
      </c>
      <c r="I67" s="48"/>
      <c r="J67" s="48">
        <v>0</v>
      </c>
    </row>
    <row r="68" spans="1:10" s="40" customFormat="1" ht="12.75" customHeight="1" x14ac:dyDescent="0.25">
      <c r="A68" s="49"/>
      <c r="B68" s="46"/>
      <c r="C68" s="46"/>
      <c r="D68" s="46" t="s">
        <v>46</v>
      </c>
      <c r="E68" s="47"/>
      <c r="F68" s="47">
        <v>33621156.780000001</v>
      </c>
      <c r="G68" s="47">
        <v>33621156.780000001</v>
      </c>
      <c r="H68" s="49">
        <v>0</v>
      </c>
      <c r="I68" s="48">
        <v>33219507.34</v>
      </c>
      <c r="J68" s="48">
        <v>401649.44000000128</v>
      </c>
    </row>
    <row r="69" spans="1:10" s="40" customFormat="1" ht="12.75" customHeight="1" x14ac:dyDescent="0.25">
      <c r="A69" s="49"/>
      <c r="B69" s="46"/>
      <c r="C69" s="46"/>
      <c r="D69" s="46" t="s">
        <v>133</v>
      </c>
      <c r="E69" s="47"/>
      <c r="F69" s="47">
        <v>0</v>
      </c>
      <c r="G69" s="48">
        <v>0</v>
      </c>
      <c r="H69" s="49">
        <v>0</v>
      </c>
      <c r="I69" s="48"/>
      <c r="J69" s="48">
        <v>0</v>
      </c>
    </row>
    <row r="70" spans="1:10" s="40" customFormat="1" ht="12.75" customHeight="1" x14ac:dyDescent="0.25">
      <c r="A70" s="49"/>
      <c r="B70" s="46"/>
      <c r="C70" s="54" t="s">
        <v>142</v>
      </c>
      <c r="D70" s="46"/>
      <c r="E70" s="47"/>
      <c r="F70" s="56">
        <v>570589111.37999988</v>
      </c>
      <c r="G70" s="56">
        <v>570589111.37999988</v>
      </c>
      <c r="H70" s="56">
        <v>0</v>
      </c>
      <c r="I70" s="56">
        <v>506722984.13999999</v>
      </c>
      <c r="J70" s="56">
        <v>63866127.23999998</v>
      </c>
    </row>
    <row r="71" spans="1:10" s="40" customFormat="1" ht="12.75" customHeight="1" x14ac:dyDescent="0.25">
      <c r="A71" s="45" t="s">
        <v>143</v>
      </c>
      <c r="B71" s="46"/>
      <c r="C71" s="46"/>
      <c r="D71" s="46"/>
      <c r="E71" s="47"/>
      <c r="F71" s="47"/>
      <c r="G71" s="48"/>
      <c r="H71" s="49"/>
      <c r="I71" s="48"/>
      <c r="J71" s="48"/>
    </row>
    <row r="72" spans="1:10" s="40" customFormat="1" ht="12.75" customHeight="1" x14ac:dyDescent="0.25">
      <c r="A72" s="49"/>
      <c r="B72" s="54" t="s">
        <v>132</v>
      </c>
      <c r="C72" s="46"/>
      <c r="D72" s="46"/>
      <c r="E72" s="47"/>
      <c r="F72" s="47"/>
      <c r="G72" s="48"/>
      <c r="H72" s="49"/>
      <c r="I72" s="48"/>
      <c r="J72" s="48"/>
    </row>
    <row r="73" spans="1:10" s="40" customFormat="1" ht="12.75" customHeight="1" x14ac:dyDescent="0.25">
      <c r="A73" s="49"/>
      <c r="B73" s="46"/>
      <c r="C73" s="46" t="s">
        <v>133</v>
      </c>
      <c r="D73" s="46"/>
      <c r="E73" s="47"/>
      <c r="F73" s="47">
        <v>50361687.049999997</v>
      </c>
      <c r="G73" s="64">
        <v>50361687.049999997</v>
      </c>
      <c r="H73" s="49">
        <v>0</v>
      </c>
      <c r="I73" s="64">
        <v>48954706.780000001</v>
      </c>
      <c r="J73" s="48">
        <v>1406980.2699999961</v>
      </c>
    </row>
    <row r="74" spans="1:10" s="40" customFormat="1" ht="12.75" customHeight="1" x14ac:dyDescent="0.25">
      <c r="A74" s="45"/>
      <c r="B74" s="54"/>
      <c r="C74" s="54" t="s">
        <v>144</v>
      </c>
      <c r="D74" s="54"/>
      <c r="E74" s="55"/>
      <c r="F74" s="56">
        <v>50361687.049999997</v>
      </c>
      <c r="G74" s="56">
        <v>50361687.049999997</v>
      </c>
      <c r="H74" s="57">
        <v>0</v>
      </c>
      <c r="I74" s="56">
        <v>48954706.780000001</v>
      </c>
      <c r="J74" s="56">
        <v>1406980.2699999961</v>
      </c>
    </row>
    <row r="75" spans="1:10" s="40" customFormat="1" ht="12.75" customHeight="1" x14ac:dyDescent="0.25">
      <c r="A75" s="49"/>
      <c r="B75" s="54" t="s">
        <v>145</v>
      </c>
      <c r="C75" s="54"/>
      <c r="D75" s="46"/>
      <c r="E75" s="47"/>
      <c r="F75" s="55">
        <v>620950798.42999983</v>
      </c>
      <c r="G75" s="55">
        <v>620950798.42999983</v>
      </c>
      <c r="H75" s="76">
        <v>0</v>
      </c>
      <c r="I75" s="55">
        <v>555677690.92000008</v>
      </c>
      <c r="J75" s="55">
        <v>65273107.509999983</v>
      </c>
    </row>
    <row r="76" spans="1:10" s="40" customFormat="1" ht="12.75" customHeight="1" x14ac:dyDescent="0.25">
      <c r="A76" s="70" t="s">
        <v>146</v>
      </c>
      <c r="B76" s="69"/>
      <c r="C76" s="60"/>
      <c r="D76" s="60"/>
      <c r="E76" s="61"/>
      <c r="F76" s="73">
        <v>0</v>
      </c>
      <c r="G76" s="73">
        <v>0</v>
      </c>
      <c r="H76" s="73">
        <v>0</v>
      </c>
      <c r="I76" s="73">
        <v>68462962.589999795</v>
      </c>
      <c r="J76" s="73">
        <v>-68462962.589999974</v>
      </c>
    </row>
    <row r="77" spans="1:10" x14ac:dyDescent="0.25">
      <c r="A77" s="86"/>
      <c r="B77" s="86"/>
      <c r="C77" s="86"/>
      <c r="D77" s="86"/>
      <c r="E77" s="86"/>
      <c r="F77" s="86"/>
      <c r="G77" s="86"/>
      <c r="H77" s="86"/>
      <c r="I77" s="37"/>
      <c r="J77" s="37"/>
    </row>
    <row r="78" spans="1:10" x14ac:dyDescent="0.25">
      <c r="F78" s="81"/>
      <c r="G78" s="81"/>
      <c r="I78" s="81"/>
      <c r="J78" s="81"/>
    </row>
    <row r="79" spans="1:10" x14ac:dyDescent="0.25">
      <c r="F79" s="81"/>
      <c r="G79" s="81"/>
      <c r="I79" s="81"/>
      <c r="J79" s="81"/>
    </row>
    <row r="80" spans="1:10" x14ac:dyDescent="0.25">
      <c r="F80" s="81"/>
      <c r="G80" s="81"/>
      <c r="I80" s="81"/>
      <c r="J80" s="81"/>
    </row>
  </sheetData>
  <sheetProtection algorithmName="SHA-512" hashValue="/tJrf/IqriChWLP3LxnDY3b5C5GrEHbVSB+irIdi1yphl6+Gn1qzfj2XSY/eGUdVu7agDntn6F49h+vq6ZjxcA==" saltValue="srCQlSv6H/cOlNPO2LuXyQ==" spinCount="100000" sheet="1" objects="1" scenarios="1" selectLockedCells="1" selectUnlockedCells="1"/>
  <mergeCells count="7">
    <mergeCell ref="A1:J1"/>
    <mergeCell ref="A5:E7"/>
    <mergeCell ref="F5:G5"/>
    <mergeCell ref="A3:J3"/>
    <mergeCell ref="F6:G6"/>
    <mergeCell ref="A2:J2"/>
    <mergeCell ref="H5:H7"/>
  </mergeCells>
  <printOptions horizontalCentered="1"/>
  <pageMargins left="1.2204724409448819" right="0.98425196850393704" top="0.98425196850393704" bottom="0.59055118110236227" header="0.51181102362204722" footer="0.51181102362204722"/>
  <pageSetup scale="63" firstPageNumber="9" orientation="portrait" r:id="rId1"/>
  <headerFooter scaleWithDoc="0">
    <oddFooter>&amp;C&amp;"Times New Roman,Regular"&amp;12 10</oddFooter>
    <firstFooter>&amp;C9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SFPosition</vt:lpstr>
      <vt:lpstr>SFPerformance</vt:lpstr>
      <vt:lpstr>SCNAE</vt:lpstr>
      <vt:lpstr>SCFlows</vt:lpstr>
      <vt:lpstr>SCBAA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Consolidated Financial Statements</dc:title>
  <dc:creator>COA - Municipality of Peñablanca, Cagayan</dc:creator>
  <cp:lastModifiedBy>Kevin C. Fesalbon</cp:lastModifiedBy>
  <cp:lastPrinted>2026-06-25T05:51:15Z</cp:lastPrinted>
  <dcterms:created xsi:type="dcterms:W3CDTF">2017-04-06T03:10:37Z</dcterms:created>
  <dcterms:modified xsi:type="dcterms:W3CDTF">2026-10-15T03:13:56Z</dcterms:modified>
</cp:coreProperties>
</file>