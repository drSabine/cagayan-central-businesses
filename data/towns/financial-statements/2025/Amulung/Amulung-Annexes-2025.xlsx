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Net-drive-1\ito\Files WADAS\AARS\20-Ben\AARs\2025\AAR\Region II\10-15-2026\Amulung_Cagayan_aar2025\Amulung_Cagayan_aar2025\AAR\"/>
    </mc:Choice>
  </mc:AlternateContent>
  <xr:revisionPtr revIDLastSave="0" documentId="13_ncr:1_{B760F24E-388A-43C8-8776-E0778E036A78}" xr6:coauthVersionLast="36" xr6:coauthVersionMax="36" xr10:uidLastSave="{00000000-0000-0000-0000-000000000000}"/>
  <bookViews>
    <workbookView xWindow="0" yWindow="0" windowWidth="23040" windowHeight="8940" tabRatio="714" xr2:uid="{00000000-000D-0000-FFFF-FFFF00000000}"/>
  </bookViews>
  <sheets>
    <sheet name="Flyleaf" sheetId="1" r:id="rId1"/>
    <sheet name="A-1.1" sheetId="2" r:id="rId2"/>
    <sheet name="A-1.2" sheetId="3" r:id="rId3"/>
    <sheet name="A-1.3" sheetId="4" r:id="rId4"/>
    <sheet name="A-2.1" sheetId="5" r:id="rId5"/>
    <sheet name="A-2.2" sheetId="6" r:id="rId6"/>
    <sheet name="A-3.1" sheetId="7" r:id="rId7"/>
    <sheet name="A-3.2" sheetId="8" r:id="rId8"/>
    <sheet name="A-4.1" sheetId="9" r:id="rId9"/>
    <sheet name="A-4.2" sheetId="10" r:id="rId10"/>
    <sheet name="A-4.3" sheetId="11" r:id="rId11"/>
    <sheet name="B" sheetId="12" r:id="rId12"/>
  </sheets>
  <definedNames>
    <definedName name="Excel_BuiltIn_Print_Area" localSheetId="1">'A-1.1'!$A$1:$G$166</definedName>
    <definedName name="Excel_BuiltIn_Print_Area" localSheetId="4">'A-2.1'!$A$1:$G$163</definedName>
    <definedName name="Excel_BuiltIn_Print_Titles" localSheetId="4">'A-2.1'!$10:$10</definedName>
    <definedName name="Excel_BuiltIn_Print_Titles" localSheetId="9">'A-4.2'!$10:$10</definedName>
    <definedName name="Excel_BuiltIn_Print_Titles" localSheetId="11">B!$7:$7</definedName>
    <definedName name="_xlnm.Print_Area" localSheetId="1">'A-1.1'!$A$1:$G$166</definedName>
    <definedName name="_xlnm.Print_Area" localSheetId="2">'A-1.2'!$A$1:$G$52</definedName>
    <definedName name="_xlnm.Print_Area" localSheetId="3">'A-1.3'!$A$1:$G$57</definedName>
    <definedName name="_xlnm.Print_Area" localSheetId="4">'A-2.1'!$A$1:$G$163</definedName>
    <definedName name="_xlnm.Print_Area" localSheetId="5">'A-2.2'!$A$1:$G$32</definedName>
    <definedName name="_xlnm.Print_Area" localSheetId="6">'A-3.1'!$A$1:$D$20</definedName>
    <definedName name="_xlnm.Print_Area" localSheetId="7">'A-3.2'!$A$1:$D$20</definedName>
    <definedName name="_xlnm.Print_Area" localSheetId="8">'A-4.1'!$A$1:$D$45</definedName>
    <definedName name="_xlnm.Print_Area" localSheetId="9">'A-4.2'!$A$1:$D$46</definedName>
    <definedName name="_xlnm.Print_Area" localSheetId="10">'A-4.3'!$A$1:$D$47</definedName>
    <definedName name="_xlnm.Print_Area" localSheetId="0">Flyleaf!$A$1:$H$51</definedName>
    <definedName name="_xlnm.Print_Titles" localSheetId="1">'A-1.1'!$9:$9</definedName>
    <definedName name="_xlnm.Print_Titles" localSheetId="2">'A-1.2'!$9:$9</definedName>
    <definedName name="_xlnm.Print_Titles" localSheetId="3">'A-1.3'!$9:$9</definedName>
    <definedName name="_xlnm.Print_Titles" localSheetId="4">'A-2.1'!$10:$10</definedName>
    <definedName name="_xlnm.Print_Titles" localSheetId="9">'A-4.2'!$10:$10</definedName>
    <definedName name="_xlnm.Print_Titles" localSheetId="11">B!$7:$7</definedName>
  </definedNames>
  <calcPr calcId="191029"/>
</workbook>
</file>

<file path=xl/calcChain.xml><?xml version="1.0" encoding="utf-8"?>
<calcChain xmlns="http://schemas.openxmlformats.org/spreadsheetml/2006/main">
  <c r="E53" i="5" l="1"/>
  <c r="G53" i="5"/>
  <c r="E150" i="5"/>
  <c r="E157" i="5"/>
  <c r="E144" i="5"/>
  <c r="E135" i="5"/>
  <c r="G135" i="5"/>
  <c r="E158" i="5" l="1"/>
  <c r="E85" i="5" l="1"/>
  <c r="E145" i="5" s="1"/>
  <c r="E57" i="5"/>
  <c r="E50" i="5"/>
  <c r="E30" i="5" l="1"/>
  <c r="E25" i="5"/>
  <c r="E58" i="5" l="1"/>
  <c r="E146" i="5" s="1"/>
  <c r="E163" i="5" s="1"/>
  <c r="G25" i="5" l="1"/>
  <c r="G30" i="5"/>
  <c r="G50" i="5"/>
  <c r="G57" i="5"/>
  <c r="G85" i="5"/>
  <c r="G144" i="5"/>
  <c r="G157" i="5"/>
  <c r="G158" i="5" s="1"/>
  <c r="G145" i="5" l="1"/>
  <c r="G58" i="5"/>
  <c r="G146" i="5" l="1"/>
  <c r="G163" i="5" s="1"/>
</calcChain>
</file>

<file path=xl/sharedStrings.xml><?xml version="1.0" encoding="utf-8"?>
<sst xmlns="http://schemas.openxmlformats.org/spreadsheetml/2006/main" count="790" uniqueCount="505">
  <si>
    <t>PART IV – ANNEXES</t>
  </si>
  <si>
    <t>Annex A 1.1</t>
  </si>
  <si>
    <t>Republic of the Philippines</t>
  </si>
  <si>
    <t>Province of Cagayan</t>
  </si>
  <si>
    <t>Municipality of Amulung</t>
  </si>
  <si>
    <t>Statement of Financial Position</t>
  </si>
  <si>
    <t>General Fund</t>
  </si>
  <si>
    <t>ASSETS</t>
  </si>
  <si>
    <t>CURRENT ASSETS</t>
  </si>
  <si>
    <t>CASH AND CASH EQUIVALENTS</t>
  </si>
  <si>
    <t>Cash on Hand</t>
  </si>
  <si>
    <t>Cash Local Treasury</t>
  </si>
  <si>
    <t>Cash in Bank-Local Currency</t>
  </si>
  <si>
    <t>Cash in Bank -Local Currency, Current Account</t>
  </si>
  <si>
    <t>Total Cash and Cash Equivalent</t>
  </si>
  <si>
    <t xml:space="preserve">RECEIVABLES </t>
  </si>
  <si>
    <t>Loans and Receivable Accounts</t>
  </si>
  <si>
    <t>Other Receivables – SEA</t>
  </si>
  <si>
    <t>Real Property Tax Receivable</t>
  </si>
  <si>
    <t xml:space="preserve">Allowance for Impairment - RPT Receivable </t>
  </si>
  <si>
    <t>Intra-Agency Receivables</t>
  </si>
  <si>
    <t>Due from Other Funds</t>
  </si>
  <si>
    <t>Advances</t>
  </si>
  <si>
    <t>Advances to Special Disbursing Officer</t>
  </si>
  <si>
    <t>Advances to Officers and Employees</t>
  </si>
  <si>
    <t>Other Receivables</t>
  </si>
  <si>
    <t xml:space="preserve">Receivables - Disallowances/Charges </t>
  </si>
  <si>
    <t>Allowance for Impairment - Other Receivables</t>
  </si>
  <si>
    <t>Advances to Contractors</t>
  </si>
  <si>
    <t>Total Receivables</t>
  </si>
  <si>
    <t>INVENTORIES</t>
  </si>
  <si>
    <t>Inventory Held for Consumption</t>
  </si>
  <si>
    <t>Office Supplies Inventory</t>
  </si>
  <si>
    <t>Accountable Forms, Plates and Stickers</t>
  </si>
  <si>
    <t>Drugs and Medicines Inventory</t>
  </si>
  <si>
    <t>Medical, Dental and Laboratory Supplies Inventory</t>
  </si>
  <si>
    <t>Other Supplies and Materials Inventory</t>
  </si>
  <si>
    <t>Total Inventories</t>
  </si>
  <si>
    <t>Total Current Assets</t>
  </si>
  <si>
    <t>NON- CURRENT ASSETS</t>
  </si>
  <si>
    <t>INVESTMENT PROPERTY</t>
  </si>
  <si>
    <t>Land and Buildings</t>
  </si>
  <si>
    <t>Investment Property, Land</t>
  </si>
  <si>
    <t>Accumulated Impairment Losses-Investment Property, Land</t>
  </si>
  <si>
    <t>Investment Property, Buildings</t>
  </si>
  <si>
    <t>Accumulated Depreciation - Investment Property, Buildings</t>
  </si>
  <si>
    <t>Total Investment Property</t>
  </si>
  <si>
    <t xml:space="preserve">PROPERTY, PLANT AND EQUIPMENT       </t>
  </si>
  <si>
    <t>Land</t>
  </si>
  <si>
    <t>Land Improvements</t>
  </si>
  <si>
    <t>Other Land Improvements</t>
  </si>
  <si>
    <t>Accumulated Depreciation-Other Land Improvements</t>
  </si>
  <si>
    <t>Infrastructure Assets</t>
  </si>
  <si>
    <t>Road Networks</t>
  </si>
  <si>
    <t>Accumulated Depreciation-Road Networks</t>
  </si>
  <si>
    <t>Water Supply Systems</t>
  </si>
  <si>
    <t>Accumulated Depreciation-Water Supply Systems</t>
  </si>
  <si>
    <t>Power Supply Systems</t>
  </si>
  <si>
    <t>Accumulated Depreciation-Power Supply Systems</t>
  </si>
  <si>
    <t>Other Infrastructure Assets</t>
  </si>
  <si>
    <t>Accumulated Depreciation-Other Infrastructure Assets</t>
  </si>
  <si>
    <t>Accumulated Impairment Losses-Other Infrastructure Assets</t>
  </si>
  <si>
    <t>Buildings and Other Structures</t>
  </si>
  <si>
    <t>Buildings</t>
  </si>
  <si>
    <t>Accumulated Depreciation-Buildings</t>
  </si>
  <si>
    <t>School Buildings</t>
  </si>
  <si>
    <t>Hospitals and Health Centers</t>
  </si>
  <si>
    <t>Accumulated Depreciation-Hospitals and Health Centers</t>
  </si>
  <si>
    <t>Markets</t>
  </si>
  <si>
    <t>Accumulated Depreciation-Markets</t>
  </si>
  <si>
    <t>Slaughterhouses</t>
  </si>
  <si>
    <t>Accumulated Depreciation-Slaughterhouses</t>
  </si>
  <si>
    <t>Other Structures</t>
  </si>
  <si>
    <t>Accumulated Depreciation-Other Structures</t>
  </si>
  <si>
    <t>Machinery and Equipment</t>
  </si>
  <si>
    <t>Office Equipment</t>
  </si>
  <si>
    <t>Accumulated Depreciation-Office Equipment</t>
  </si>
  <si>
    <t>Information and Communication Technology Equipment</t>
  </si>
  <si>
    <t>Accumulated Depreciation-Information and Communication Technology Equipment</t>
  </si>
  <si>
    <t>Agricultural and Forestry Equipment</t>
  </si>
  <si>
    <t>Accumulated Depreciation-Agricultural and Forestry Equipment</t>
  </si>
  <si>
    <t>Communication Equipment</t>
  </si>
  <si>
    <t>Accumulated Depreciation-Communication Equipment</t>
  </si>
  <si>
    <t>Construction and Heavy Equipment</t>
  </si>
  <si>
    <t>Accumulated Depreciation-Construction and Heavy Equipment</t>
  </si>
  <si>
    <t>Disaster Response and Rescue Equipment</t>
  </si>
  <si>
    <t>Accumulated Depreciation-Disaster Response and Rescue Equipment</t>
  </si>
  <si>
    <t>Medical Equipment</t>
  </si>
  <si>
    <t>Accumulated Depreciation-Medical Equipment</t>
  </si>
  <si>
    <t>Sports Equipment</t>
  </si>
  <si>
    <t>Accumulated Depreciation-Sports Equipment</t>
  </si>
  <si>
    <t>Other Machinery and Equipment</t>
  </si>
  <si>
    <t>Accumulated Depreciation-Other Machinery and Equipment</t>
  </si>
  <si>
    <t>Transportation Equipment</t>
  </si>
  <si>
    <t>Motor Vehicles</t>
  </si>
  <si>
    <t>Accumulated Depreciation-Motor Vehicles</t>
  </si>
  <si>
    <t>Watercrafts</t>
  </si>
  <si>
    <t>Accumulated Depreciation-Watercrafts</t>
  </si>
  <si>
    <t>Furniture, Fixtures and Books</t>
  </si>
  <si>
    <t>Furniture and Fixtures</t>
  </si>
  <si>
    <t>Accumulated Depreciation-Furniture and Fixtures</t>
  </si>
  <si>
    <t>Construction in Progress</t>
  </si>
  <si>
    <t>Construction in Progress - Infrastructures Assets</t>
  </si>
  <si>
    <t>Construction in Progress - Buildings and Other Structures</t>
  </si>
  <si>
    <t>Other Property, Plant and Equipment</t>
  </si>
  <si>
    <t>Work/Zoo Animals</t>
  </si>
  <si>
    <t>Accumulated Depreciation - Work/Zoo Animals</t>
  </si>
  <si>
    <t>Accumulated Depreciation - Other Property, Plant and Equipment</t>
  </si>
  <si>
    <t>Total Property, Plant and Equipment</t>
  </si>
  <si>
    <t>Biological Assets</t>
  </si>
  <si>
    <t>Bearer Biological Assets</t>
  </si>
  <si>
    <t>Breeding Stocks</t>
  </si>
  <si>
    <t>Total Bearer Biological Assets</t>
  </si>
  <si>
    <t>Total Non-Current Assets</t>
  </si>
  <si>
    <t>TOTAL ASSETS</t>
  </si>
  <si>
    <t>LIABILITIES</t>
  </si>
  <si>
    <t>CURRENT LIABILITIES</t>
  </si>
  <si>
    <t>Financial Liabilities</t>
  </si>
  <si>
    <t>Payables</t>
  </si>
  <si>
    <t>Accounts Payable</t>
  </si>
  <si>
    <t>Due to Officers and Employees</t>
  </si>
  <si>
    <t>Total Financial Liabilities</t>
  </si>
  <si>
    <t>Inter-Agency Payables</t>
  </si>
  <si>
    <t>Due to BIR</t>
  </si>
  <si>
    <t>Due to GSIS</t>
  </si>
  <si>
    <t>Due to PAG-IBIG</t>
  </si>
  <si>
    <t>Due to PHILHEALTH</t>
  </si>
  <si>
    <t>Due to NGAs</t>
  </si>
  <si>
    <t>Due to GOCCs</t>
  </si>
  <si>
    <t>Due to LGUs</t>
  </si>
  <si>
    <t>Total Inter-Agency Payables</t>
  </si>
  <si>
    <t>Intra-Agency Payables</t>
  </si>
  <si>
    <t>Due to Other Funds</t>
  </si>
  <si>
    <t>Total Intra-Agency Payables</t>
  </si>
  <si>
    <t>Trust Liabilities</t>
  </si>
  <si>
    <t>Trust Liabilities DRRMF_Capital Outlay</t>
  </si>
  <si>
    <t>Guaranty/Security Deposits Payable</t>
  </si>
  <si>
    <t>Total Trust Liabilities</t>
  </si>
  <si>
    <t>Deferred Credits/Unearned Income</t>
  </si>
  <si>
    <t xml:space="preserve">Deferred Real Property Tax </t>
  </si>
  <si>
    <t>Total Deferred Credits/Unearned Income</t>
  </si>
  <si>
    <t>Other Payables</t>
  </si>
  <si>
    <t>Total Current Liabilities</t>
  </si>
  <si>
    <t>Non-Current Liabilities</t>
  </si>
  <si>
    <t>Total Non-Current Liabilities</t>
  </si>
  <si>
    <t>TOTAL LIABILITIES</t>
  </si>
  <si>
    <t>NET ASSETS/EQUITY</t>
  </si>
  <si>
    <r>
      <rPr>
        <sz val="12"/>
        <rFont val="Times New Roman"/>
        <family val="1"/>
      </rPr>
      <t>Net Assets/Equity</t>
    </r>
    <r>
      <rPr>
        <i/>
        <sz val="12"/>
        <rFont val="Times New Roman"/>
        <family val="1"/>
      </rPr>
      <t xml:space="preserve"> (Annex D, per LGAM)</t>
    </r>
  </si>
  <si>
    <t>Equity in Joint Venture</t>
  </si>
  <si>
    <t>Total Net Assets/Equity</t>
  </si>
  <si>
    <t>TOTAL LIABILITIES AND NET ASSETS/EQUITY</t>
  </si>
  <si>
    <t>Annex A 1.2</t>
  </si>
  <si>
    <t>Special Education Fund</t>
  </si>
  <si>
    <t>Special Education  Tax Receivable</t>
  </si>
  <si>
    <t xml:space="preserve">Allowance for Impairment - SET Receivable </t>
  </si>
  <si>
    <t xml:space="preserve">Deferred Special Education Tax </t>
  </si>
  <si>
    <t>Annex A 1.3</t>
  </si>
  <si>
    <t>Trust Fund</t>
  </si>
  <si>
    <t xml:space="preserve">Trust Liabilities - Disaster Risk Reduction and Management Fund </t>
  </si>
  <si>
    <t>Annex A 2.1</t>
  </si>
  <si>
    <t>Statement of Financial Performance</t>
  </si>
  <si>
    <t>REVENUE</t>
  </si>
  <si>
    <t>TAX REVENUE</t>
  </si>
  <si>
    <t>Tax Revenue - Individual and Corporation</t>
  </si>
  <si>
    <t xml:space="preserve">Community Tax </t>
  </si>
  <si>
    <t>Tax Revenue - Property</t>
  </si>
  <si>
    <t>Real Property Tax- Basic</t>
  </si>
  <si>
    <t>Tax Revenue - Goods and Services</t>
  </si>
  <si>
    <t xml:space="preserve">Business Tax  </t>
  </si>
  <si>
    <t xml:space="preserve">Tax on Sand, Gravel and Other Quarry Products </t>
  </si>
  <si>
    <t xml:space="preserve">Franchise Tax  </t>
  </si>
  <si>
    <t>Printing and Publication Tax</t>
  </si>
  <si>
    <t>Tax Revenue - Others</t>
  </si>
  <si>
    <t>Other Taxes</t>
  </si>
  <si>
    <t>Tax Revenue – Fines and Penalties – Property Taxes</t>
  </si>
  <si>
    <t>Total Tax Revenue</t>
  </si>
  <si>
    <t>SHARE FROM NATIONAL TAXES</t>
  </si>
  <si>
    <t>Share from National Tax Allocation (NTA)</t>
  </si>
  <si>
    <t>OTHER SHARE FROM NATIONAL TAXES</t>
  </si>
  <si>
    <t>Share from Tobacco Excise Tax (RA 7171 and 8240)</t>
  </si>
  <si>
    <t>Total Other Share from National Taxes</t>
  </si>
  <si>
    <t>SERVICE AND BUSINESS INCOME</t>
  </si>
  <si>
    <t>Service Income</t>
  </si>
  <si>
    <t>Permit Fees</t>
  </si>
  <si>
    <t>Registration Fees</t>
  </si>
  <si>
    <t>Clearance and Certification Fees</t>
  </si>
  <si>
    <t>Fees for Sealing  and Licensing of Weights and Measures</t>
  </si>
  <si>
    <t>Fines and Penalties - Service Income</t>
  </si>
  <si>
    <t>Other Service Income</t>
  </si>
  <si>
    <t>Business Income</t>
  </si>
  <si>
    <t xml:space="preserve">Rent Income </t>
  </si>
  <si>
    <t>Receipt from Market Operations</t>
  </si>
  <si>
    <t xml:space="preserve">Receipt from Slaughterhouse Operation </t>
  </si>
  <si>
    <t>Receipt from Cemetery Operations</t>
  </si>
  <si>
    <t>Garbage Fees</t>
  </si>
  <si>
    <t xml:space="preserve">Health Certificate Fees </t>
  </si>
  <si>
    <t xml:space="preserve">Interest Income </t>
  </si>
  <si>
    <t xml:space="preserve">Fines and Penalties - Business Income </t>
  </si>
  <si>
    <t>Other Business Income</t>
  </si>
  <si>
    <t>Total Service and Business Income</t>
  </si>
  <si>
    <t>Other Income</t>
  </si>
  <si>
    <t>Gain on Sale of Property, Plant and Equipment</t>
  </si>
  <si>
    <t>Miscellaneous Income</t>
  </si>
  <si>
    <t>Total Other Income</t>
  </si>
  <si>
    <t>TOTAL REVENUE</t>
  </si>
  <si>
    <t>LESS:  CURRENT OPERATING EXPENSES</t>
  </si>
  <si>
    <t>PERSONNEL SERVICES</t>
  </si>
  <si>
    <t>Salaries and Wages</t>
  </si>
  <si>
    <t>Salaries and Wages - Regular</t>
  </si>
  <si>
    <t>Salaries and Wages - Casual/Contractual</t>
  </si>
  <si>
    <t>Other Compensation</t>
  </si>
  <si>
    <t>Personal Economic Relief Allowance (PERA)</t>
  </si>
  <si>
    <t>Representation Allowance (RA)</t>
  </si>
  <si>
    <t>Transportation Allowance (TA)</t>
  </si>
  <si>
    <t>Clothing/Uniform Allowance</t>
  </si>
  <si>
    <t>Subsistence Allowance</t>
  </si>
  <si>
    <t>Hazard Pay</t>
  </si>
  <si>
    <t>Overtime and Night Pay</t>
  </si>
  <si>
    <t>Productivity Incentive Allowance</t>
  </si>
  <si>
    <t>Year End Bonus</t>
  </si>
  <si>
    <t>Cash Gift</t>
  </si>
  <si>
    <t>Other Bonuses and Allowances_Regular</t>
  </si>
  <si>
    <t>Other Bonuses and Allowances_Casual</t>
  </si>
  <si>
    <t>Personnel Benefits Contributions</t>
  </si>
  <si>
    <t>Retirement and Life Insurance Premiums</t>
  </si>
  <si>
    <t>Pag-IBIG Contributions</t>
  </si>
  <si>
    <t>PhilHealth Contributions</t>
  </si>
  <si>
    <t>Employees Compensation Insurance Premiums</t>
  </si>
  <si>
    <t>Other Personnel Benefits</t>
  </si>
  <si>
    <t>Terminal Leave Benefits</t>
  </si>
  <si>
    <t>Total Personnel Services</t>
  </si>
  <si>
    <t>MAINTENANCE AND OTHER OPERATING EXPENSES</t>
  </si>
  <si>
    <t>Traveling Expenses</t>
  </si>
  <si>
    <t>Traveling Expenses - Local</t>
  </si>
  <si>
    <t>Training and Scholarship Expenses</t>
  </si>
  <si>
    <t>Training Expenses</t>
  </si>
  <si>
    <t>Supplies and Material Expenses</t>
  </si>
  <si>
    <t xml:space="preserve">Office Supplies Expenses </t>
  </si>
  <si>
    <t>Accountable Forms Expenses</t>
  </si>
  <si>
    <t>Animal/Zoological Supplies Expenses</t>
  </si>
  <si>
    <t>Food Supplies Expenses</t>
  </si>
  <si>
    <t>Drugs and Medicines Expenses</t>
  </si>
  <si>
    <t>Medical, Dental and Laboratory Supplies Expenses</t>
  </si>
  <si>
    <t>Fuel, Oil and Lubricants Expenses</t>
  </si>
  <si>
    <t>Agricultural and Marine Supplies Expenses</t>
  </si>
  <si>
    <t>Military, Police and Traffic Supplies Expenses</t>
  </si>
  <si>
    <t>Other Supplies and Materials Expenses</t>
  </si>
  <si>
    <t>Utility Expenses</t>
  </si>
  <si>
    <t>Water Expenses</t>
  </si>
  <si>
    <t>Electricity Expenses</t>
  </si>
  <si>
    <t>Communication Expenses</t>
  </si>
  <si>
    <t xml:space="preserve">Postage and Courier Services </t>
  </si>
  <si>
    <t>Telephone Expenses</t>
  </si>
  <si>
    <t>Internet Subscription Expenses</t>
  </si>
  <si>
    <t>Generation, Transmission and Distribution Expenses</t>
  </si>
  <si>
    <t>Professional Services</t>
  </si>
  <si>
    <t>Auditing Services</t>
  </si>
  <si>
    <t>General Services</t>
  </si>
  <si>
    <t>Other General Services</t>
  </si>
  <si>
    <t>Repairs and Maintenance</t>
  </si>
  <si>
    <t>Repairs and Maintenance - Investment Property</t>
  </si>
  <si>
    <t>Repairs and Maintenance - Infrastructure Assets</t>
  </si>
  <si>
    <t>Repairs and Maintenance - Buildings and Other Structures</t>
  </si>
  <si>
    <t xml:space="preserve">Repairs and Maintenance - Machinery and Equipment </t>
  </si>
  <si>
    <t xml:space="preserve">Repairs and Maintenance - Transportation Equipment  </t>
  </si>
  <si>
    <t>Repairs and Maintenance - Other Property, Plant and Equipment</t>
  </si>
  <si>
    <t>Taxes, Insurance Premiums and Other Fees</t>
  </si>
  <si>
    <t>Taxes, Duties and Licenses</t>
  </si>
  <si>
    <t xml:space="preserve">Fidelity Bond Premiums </t>
  </si>
  <si>
    <t>Insurance Expenses</t>
  </si>
  <si>
    <t>Other Maintenance and Operating Expenses</t>
  </si>
  <si>
    <t>Representation Expenses</t>
  </si>
  <si>
    <t>Membership Dues and Contributions to Organizations</t>
  </si>
  <si>
    <t>Donations</t>
  </si>
  <si>
    <t xml:space="preserve">Other Maintenance and Operating Expenses  </t>
  </si>
  <si>
    <t>Total Maintenance and Other Operating Expenses</t>
  </si>
  <si>
    <t>NON-CASH EXPENSES</t>
  </si>
  <si>
    <t xml:space="preserve">Depreciation </t>
  </si>
  <si>
    <t>Depreciation - Investment Property</t>
  </si>
  <si>
    <t>Depreciation - Land Improvements</t>
  </si>
  <si>
    <t>Depreciation - Infrastructure Assets</t>
  </si>
  <si>
    <t>Depreciation - Buildings and Other Structures</t>
  </si>
  <si>
    <t xml:space="preserve">Depreciation - Machinery  and Equipment </t>
  </si>
  <si>
    <t>Depreciation - Other Property, Plant and Equipment</t>
  </si>
  <si>
    <t>Total Non-Cash Expenses</t>
  </si>
  <si>
    <t>TOTAL CURRENT OPERATING EXPENSES</t>
  </si>
  <si>
    <t>SURPLUS (DEFICIT) FROM CURRENT OPERATIONS</t>
  </si>
  <si>
    <t>ADD (DEDUCT): TRANSFERS, ASSISTANCE AND SUBSIDY</t>
  </si>
  <si>
    <t>Assistance and Subsidy from</t>
  </si>
  <si>
    <t>Subsidy from National Government</t>
  </si>
  <si>
    <t>Total Transfers, Assistance and Subsidy from</t>
  </si>
  <si>
    <t>Financial Assistance/Subsidy to</t>
  </si>
  <si>
    <t xml:space="preserve">Subsidy to Other Local Government Units </t>
  </si>
  <si>
    <t>Subsidy to Other  Funds</t>
  </si>
  <si>
    <t>Transfers to</t>
  </si>
  <si>
    <t>Transfers of Unspent Current Year DRRM Funds to the Trust Funds</t>
  </si>
  <si>
    <t>Total Transfers, Assistance and Subsidy to</t>
  </si>
  <si>
    <t>NET FINANCIAL ASSISTANCE/SUBSIDY</t>
  </si>
  <si>
    <t>Other Non-Operating Income/(Losses)</t>
  </si>
  <si>
    <t>Net Other Non-Operating Income/(Losses)</t>
  </si>
  <si>
    <t>SURPLUS (DEFICIT) FOR THE PERIOD</t>
  </si>
  <si>
    <t>Annex A 2.2</t>
  </si>
  <si>
    <t>Special Education Tax</t>
  </si>
  <si>
    <t>Subsidy from Other Funds</t>
  </si>
  <si>
    <t>Annex A 3.1</t>
  </si>
  <si>
    <t>Statement of Changes in Net Assets/Equity</t>
  </si>
  <si>
    <t>Add (Deduct)</t>
  </si>
  <si>
    <t xml:space="preserve">       Change in Accounting Policy</t>
  </si>
  <si>
    <t xml:space="preserve">       Prior Period Errors</t>
  </si>
  <si>
    <t>Restated Balance</t>
  </si>
  <si>
    <t>Add (Deduct) Changes in net assets/equity during the year</t>
  </si>
  <si>
    <t>Adjustment of net revenue recognized directly in net assets/equity</t>
  </si>
  <si>
    <t>Surplus (Deficit) for the period</t>
  </si>
  <si>
    <t>Total recognized revenue and expenses for the period</t>
  </si>
  <si>
    <t>Annex A 3.2</t>
  </si>
  <si>
    <t>Annex A 4.1</t>
  </si>
  <si>
    <t>Statement of Cash Flows</t>
  </si>
  <si>
    <t>Cash Flows from Operating Activities</t>
  </si>
  <si>
    <t>Cash Inflows</t>
  </si>
  <si>
    <t xml:space="preserve">     Collection from taxpayers</t>
  </si>
  <si>
    <t xml:space="preserve">     Share from Internal Revenue Allotment</t>
  </si>
  <si>
    <t xml:space="preserve">     Receipts from business/service income</t>
  </si>
  <si>
    <t xml:space="preserve">     Interest Income</t>
  </si>
  <si>
    <t xml:space="preserve">     Other Receipts</t>
  </si>
  <si>
    <t xml:space="preserve">    Total Cash Inflows</t>
  </si>
  <si>
    <t>Cash Outflows</t>
  </si>
  <si>
    <r>
      <rPr>
        <b/>
        <sz val="12"/>
        <color indexed="8"/>
        <rFont val="Times New Roman"/>
        <family val="1"/>
      </rPr>
      <t xml:space="preserve">    </t>
    </r>
    <r>
      <rPr>
        <sz val="12"/>
        <color indexed="8"/>
        <rFont val="Times New Roman"/>
        <family val="1"/>
      </rPr>
      <t>Payment of expenses</t>
    </r>
  </si>
  <si>
    <r>
      <rPr>
        <b/>
        <sz val="12"/>
        <color indexed="8"/>
        <rFont val="Times New Roman"/>
        <family val="1"/>
      </rPr>
      <t xml:space="preserve">    </t>
    </r>
    <r>
      <rPr>
        <sz val="12"/>
        <color indexed="8"/>
        <rFont val="Times New Roman"/>
        <family val="1"/>
      </rPr>
      <t>Payments to suppliers and creditors</t>
    </r>
  </si>
  <si>
    <t xml:space="preserve">    Payments to employees</t>
  </si>
  <si>
    <t xml:space="preserve">    Other Expenses</t>
  </si>
  <si>
    <t xml:space="preserve">    Total Cash Outflows</t>
  </si>
  <si>
    <t>Net Cash Flows from Operating Activities</t>
  </si>
  <si>
    <t>Cash Flows from Investing Activities</t>
  </si>
  <si>
    <t xml:space="preserve">Cash Inflows </t>
  </si>
  <si>
    <t xml:space="preserve">     Collection of Principal on loans to other entities</t>
  </si>
  <si>
    <t xml:space="preserve">     Total Cash Inflows</t>
  </si>
  <si>
    <t xml:space="preserve">    Purchase/Construction of Investment Property</t>
  </si>
  <si>
    <r>
      <rPr>
        <b/>
        <sz val="12"/>
        <color indexed="8"/>
        <rFont val="Times New Roman"/>
        <family val="1"/>
      </rPr>
      <t xml:space="preserve">    </t>
    </r>
    <r>
      <rPr>
        <sz val="12"/>
        <color indexed="8"/>
        <rFont val="Times New Roman"/>
        <family val="1"/>
      </rPr>
      <t>Purchase/Construction of Property, Plant and Equipment</t>
    </r>
  </si>
  <si>
    <t>Net Cash Flows from  Investing Activities</t>
  </si>
  <si>
    <t>Cash Flows from Financing Activities</t>
  </si>
  <si>
    <t xml:space="preserve">     Proceeds from Loans</t>
  </si>
  <si>
    <r>
      <rPr>
        <i/>
        <sz val="12"/>
        <color indexed="8"/>
        <rFont val="Times New Roman"/>
        <family val="1"/>
      </rPr>
      <t xml:space="preserve">     </t>
    </r>
    <r>
      <rPr>
        <b/>
        <sz val="12"/>
        <color indexed="8"/>
        <rFont val="Times New Roman"/>
        <family val="1"/>
      </rPr>
      <t>Total Cash Inflows</t>
    </r>
  </si>
  <si>
    <r>
      <rPr>
        <b/>
        <sz val="12"/>
        <color indexed="8"/>
        <rFont val="Times New Roman"/>
        <family val="1"/>
      </rPr>
      <t xml:space="preserve">    </t>
    </r>
    <r>
      <rPr>
        <sz val="12"/>
        <color indexed="8"/>
        <rFont val="Times New Roman"/>
        <family val="1"/>
      </rPr>
      <t>Payment of loan amortization</t>
    </r>
  </si>
  <si>
    <t>Net Cash Flows from Financing Activities</t>
  </si>
  <si>
    <t xml:space="preserve">Total Cash Provided by Operating, Investing and  Financing Activities </t>
  </si>
  <si>
    <t>Add: Cash at the Beginning of the year</t>
  </si>
  <si>
    <t>Cash Balance at the End of the Year</t>
  </si>
  <si>
    <t>Annex A 4.2</t>
  </si>
  <si>
    <r>
      <rPr>
        <b/>
        <sz val="12"/>
        <color indexed="8"/>
        <rFont val="Times New Roman"/>
        <family val="1"/>
      </rPr>
      <t xml:space="preserve">     </t>
    </r>
    <r>
      <rPr>
        <sz val="12"/>
        <color indexed="8"/>
        <rFont val="Times New Roman"/>
        <family val="1"/>
      </rPr>
      <t>Proceeds from Issuance of Bonds</t>
    </r>
  </si>
  <si>
    <t>Total Cash Provided by Operating, Investing and  Financing Activities</t>
  </si>
  <si>
    <t>Annex A 4.3</t>
  </si>
  <si>
    <t xml:space="preserve">     Proceeds from Sale of Non-Current Investments</t>
  </si>
  <si>
    <t>Total Cash Provided by Operating, Investing and   Financing Activities</t>
  </si>
  <si>
    <t>Annex B</t>
  </si>
  <si>
    <t>STATUS OF APPROPRIATIONS, ALLOTMENTS AND OBLIGATION</t>
  </si>
  <si>
    <t>Function/ Program</t>
  </si>
  <si>
    <t>Account Code</t>
  </si>
  <si>
    <t>Appropriation</t>
  </si>
  <si>
    <t>Allotment</t>
  </si>
  <si>
    <t>Obligation</t>
  </si>
  <si>
    <t>Balance</t>
  </si>
  <si>
    <t>Project/ Activity</t>
  </si>
  <si>
    <t>1.0 PERSONAL SERVICES</t>
  </si>
  <si>
    <t>501-01</t>
  </si>
  <si>
    <t>501-01-010</t>
  </si>
  <si>
    <t>501-01-020</t>
  </si>
  <si>
    <t>501-02-010</t>
  </si>
  <si>
    <t>501-02-020</t>
  </si>
  <si>
    <t>501-02-030</t>
  </si>
  <si>
    <t>501-02-040</t>
  </si>
  <si>
    <t>501-02-050</t>
  </si>
  <si>
    <t>501-02-110</t>
  </si>
  <si>
    <t>501-02-140</t>
  </si>
  <si>
    <t>501-02-150</t>
  </si>
  <si>
    <t>501-02-990</t>
  </si>
  <si>
    <t>501-03-010</t>
  </si>
  <si>
    <t>Pag-ibig Contributions</t>
  </si>
  <si>
    <t>501-03-020</t>
  </si>
  <si>
    <t>PHILHeath Contributions</t>
  </si>
  <si>
    <t>501-03-030</t>
  </si>
  <si>
    <t>501-03-040</t>
  </si>
  <si>
    <t>Terminal Leave Benefit</t>
  </si>
  <si>
    <t>501-04-030</t>
  </si>
  <si>
    <t>5-01-04-990</t>
  </si>
  <si>
    <t>TOTAL PS</t>
  </si>
  <si>
    <t>Travelling Expenses- Local</t>
  </si>
  <si>
    <t>502-01-010</t>
  </si>
  <si>
    <t>502-02-010</t>
  </si>
  <si>
    <t>Office Supplies</t>
  </si>
  <si>
    <t>502-03-010</t>
  </si>
  <si>
    <t>Accountable Forms</t>
  </si>
  <si>
    <t>502-03-020</t>
  </si>
  <si>
    <t>Animal/ Zoological Supplies</t>
  </si>
  <si>
    <t>502-03-040</t>
  </si>
  <si>
    <t>502-03-070</t>
  </si>
  <si>
    <t>Medical, Dental &amp; Laboratory Supplies</t>
  </si>
  <si>
    <t>502-03-080</t>
  </si>
  <si>
    <t xml:space="preserve">Gasoline, oil and Lubricants </t>
  </si>
  <si>
    <t>502-03-090</t>
  </si>
  <si>
    <t>Agricultural Supplies</t>
  </si>
  <si>
    <t>502-03-100</t>
  </si>
  <si>
    <t>Military , Police and Trafficc Supplies Expenses</t>
  </si>
  <si>
    <t>502-03-120</t>
  </si>
  <si>
    <t>Other Supplies Expenses</t>
  </si>
  <si>
    <t>502-03-990</t>
  </si>
  <si>
    <t>502-04-010</t>
  </si>
  <si>
    <t>502-04-020</t>
  </si>
  <si>
    <t>Postage and Courier Services</t>
  </si>
  <si>
    <t>502-05-010</t>
  </si>
  <si>
    <t>Telephone Expenses- Mobile</t>
  </si>
  <si>
    <t>502-05-020</t>
  </si>
  <si>
    <t>502-05-030</t>
  </si>
  <si>
    <t>Cable, Satelite, Telegraph and Radio Expenses</t>
  </si>
  <si>
    <t>502-05-040</t>
  </si>
  <si>
    <t>Survey Expenses</t>
  </si>
  <si>
    <t>502-07-010</t>
  </si>
  <si>
    <t>Printing and Publication Expenses</t>
  </si>
  <si>
    <t>502-09-010</t>
  </si>
  <si>
    <t>Confidential Expenses</t>
  </si>
  <si>
    <t>502-10-010</t>
  </si>
  <si>
    <t>Extra Ordinary &amp; Miscellaneous Expense</t>
  </si>
  <si>
    <t>502-10-030</t>
  </si>
  <si>
    <t>502-11-020</t>
  </si>
  <si>
    <t>502-12-990</t>
  </si>
  <si>
    <t>RM-Infrastructure Asset</t>
  </si>
  <si>
    <t>502-13-030</t>
  </si>
  <si>
    <t>RM- Building &amp; Other Infrastructures</t>
  </si>
  <si>
    <t>502-13-040</t>
  </si>
  <si>
    <t>RM- Machinery &amp; Equipment</t>
  </si>
  <si>
    <t>502-13-050</t>
  </si>
  <si>
    <t xml:space="preserve">RM-Transportation Equipment/Motor Vehicles </t>
  </si>
  <si>
    <t>502-13-060</t>
  </si>
  <si>
    <t>RM-Furniture &amp; Fixtures</t>
  </si>
  <si>
    <t>5-02-13-070</t>
  </si>
  <si>
    <t>Subsidy to NGO's/PO's</t>
  </si>
  <si>
    <t>Subsidy to Other Fund</t>
  </si>
  <si>
    <t>502-14-060</t>
  </si>
  <si>
    <t>502-16-010</t>
  </si>
  <si>
    <t>Fidelity Bond Premiums</t>
  </si>
  <si>
    <t>502-16-020</t>
  </si>
  <si>
    <t>502-16-030</t>
  </si>
  <si>
    <t>502-99-030</t>
  </si>
  <si>
    <t>502-99-060</t>
  </si>
  <si>
    <t>502-99-080</t>
  </si>
  <si>
    <t>Other Maintenance &amp; Operating Expenses</t>
  </si>
  <si>
    <t>502-99-990</t>
  </si>
  <si>
    <t>TOTAL MOOE</t>
  </si>
  <si>
    <t>Financial Expenses</t>
  </si>
  <si>
    <t>502-11-010</t>
  </si>
  <si>
    <t>3.0 CAPITAL OUTLAY</t>
  </si>
  <si>
    <t>1-07-01-010</t>
  </si>
  <si>
    <t>1-07-07-010</t>
  </si>
  <si>
    <t>1-07-05-030</t>
  </si>
  <si>
    <t>TOTAL CAPITAL OUTLAY</t>
  </si>
  <si>
    <t>TOTAL NON- OFFICE</t>
  </si>
  <si>
    <t>TOTAL EXPENDITURES</t>
  </si>
  <si>
    <t>5-01-02-130</t>
  </si>
  <si>
    <t>2.0 MAINTENANCE AND 
OTHER OPERATING EXPENSES</t>
  </si>
  <si>
    <t>502-14-030</t>
  </si>
  <si>
    <t>Membership, Dues an Contributions to Org.</t>
  </si>
  <si>
    <t>1-07-04-020</t>
  </si>
  <si>
    <t xml:space="preserve">Non Office </t>
  </si>
  <si>
    <t>As of December 31,  2025</t>
  </si>
  <si>
    <t>(With Comparative Figures for CY 2024)</t>
  </si>
  <si>
    <t>Accumulated Depreciation-School Buildings</t>
  </si>
  <si>
    <t>NON-CURRENT ASSETS</t>
  </si>
  <si>
    <t>For the Year Ended December 31,  2025</t>
  </si>
  <si>
    <t>Occupancy Fees</t>
  </si>
  <si>
    <t>Balance at January 1, 2024</t>
  </si>
  <si>
    <t>Balance at December 31, 2025</t>
  </si>
  <si>
    <t>As of  December  31, 2025</t>
  </si>
  <si>
    <t>Semi-Expendable Machinery and Equipment Expenses</t>
  </si>
  <si>
    <t>502-03-210</t>
  </si>
  <si>
    <t>Semi-Expendable Furniture and Fixtures and Books</t>
  </si>
  <si>
    <t>502-03-220</t>
  </si>
  <si>
    <t>1-07-05-020</t>
  </si>
  <si>
    <t>20% Supplemental Budget</t>
  </si>
  <si>
    <t>Improvement of School Building at ANHS</t>
  </si>
  <si>
    <t>1-07-04-990</t>
  </si>
  <si>
    <t>Construction/Improvement of Public Market</t>
  </si>
  <si>
    <t>Salaries and Wages -Regular</t>
  </si>
  <si>
    <t>Salaries and Wages -Casual/Contructual</t>
  </si>
  <si>
    <t>Transportation  Allowance (TA)</t>
  </si>
  <si>
    <t>Clothing /Uniform Allowance</t>
  </si>
  <si>
    <t>Other Bonuses and Allowances</t>
  </si>
  <si>
    <t>Other Personal Benefits</t>
  </si>
  <si>
    <t>IT Equipment</t>
  </si>
  <si>
    <t>Furniture &amp; Fixtures</t>
  </si>
  <si>
    <t>Improvement of Water System at Sub-Office Annafatan</t>
  </si>
  <si>
    <t>1-07-03-040</t>
  </si>
  <si>
    <t>Purchase of Heavy Equipment (for ESWM)</t>
  </si>
  <si>
    <t>1-07-05-080</t>
  </si>
  <si>
    <t>Purchase of Lot for the Expansion of Sanitary Landfill</t>
  </si>
  <si>
    <t>Construction of Tourism Development Structures</t>
  </si>
  <si>
    <t>Electrification System at Sanitary Landfill</t>
  </si>
  <si>
    <t>1-07-03-050</t>
  </si>
  <si>
    <t>20% Development Fund</t>
  </si>
  <si>
    <t>5% MDRRM Fund</t>
  </si>
  <si>
    <t>Aid to Barangays</t>
  </si>
  <si>
    <t>Welfare Goods Expenses</t>
  </si>
  <si>
    <t>Semi- Expendable Expense</t>
  </si>
  <si>
    <t>Subsidies - Others</t>
  </si>
  <si>
    <t>Shares, Grants, and Donations</t>
  </si>
  <si>
    <t>Total Shares, Grants, and Donations</t>
  </si>
  <si>
    <t>Grants and Donations in 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</si>
</sst>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(\P* #,##0.00_);_(\P* \(#,##0.00\);_(\P* \-??_);_(@_)"/>
  </numFmts>
  <fonts count="21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b/>
      <sz val="20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11"/>
      <name val="Times New Roman"/>
      <family val="1"/>
    </font>
    <font>
      <b/>
      <sz val="12"/>
      <color indexed="8"/>
      <name val="Times New Roman"/>
      <family val="1"/>
    </font>
    <font>
      <sz val="12"/>
      <name val="Arial"/>
      <family val="2"/>
    </font>
    <font>
      <b/>
      <sz val="11"/>
      <color indexed="8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i/>
      <sz val="11"/>
      <name val="Times New Roman"/>
      <family val="1"/>
    </font>
    <font>
      <i/>
      <sz val="11"/>
      <color indexed="8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21">
    <xf numFmtId="0" fontId="0" fillId="0" borderId="0"/>
    <xf numFmtId="164" fontId="19" fillId="0" borderId="0" applyFill="0" applyBorder="0" applyAlignment="0" applyProtection="0"/>
    <xf numFmtId="164" fontId="19" fillId="0" borderId="0" applyFill="0" applyBorder="0" applyAlignment="0" applyProtection="0"/>
    <xf numFmtId="164" fontId="19" fillId="0" borderId="0" applyFill="0" applyBorder="0" applyAlignment="0" applyProtection="0"/>
    <xf numFmtId="164" fontId="19" fillId="0" borderId="0" applyFill="0" applyBorder="0" applyAlignment="0" applyProtection="0"/>
    <xf numFmtId="164" fontId="19" fillId="0" borderId="0" applyFill="0" applyBorder="0" applyAlignment="0" applyProtection="0"/>
    <xf numFmtId="164" fontId="19" fillId="0" borderId="0" applyFill="0" applyBorder="0" applyAlignment="0" applyProtection="0"/>
    <xf numFmtId="164" fontId="19" fillId="0" borderId="0" applyFill="0" applyBorder="0" applyAlignment="0" applyProtection="0"/>
    <xf numFmtId="164" fontId="19" fillId="0" borderId="0" applyFill="0" applyBorder="0" applyAlignment="0" applyProtection="0"/>
    <xf numFmtId="164" fontId="19" fillId="0" borderId="0" applyFill="0" applyBorder="0" applyAlignment="0" applyProtection="0"/>
    <xf numFmtId="164" fontId="19" fillId="0" borderId="0" applyFill="0" applyBorder="0" applyAlignment="0" applyProtection="0"/>
    <xf numFmtId="164" fontId="19" fillId="0" borderId="0" applyFill="0" applyBorder="0" applyAlignment="0" applyProtection="0"/>
    <xf numFmtId="164" fontId="19" fillId="0" borderId="0" applyFill="0" applyBorder="0" applyAlignment="0" applyProtection="0"/>
    <xf numFmtId="164" fontId="19" fillId="0" borderId="0" applyFill="0" applyBorder="0" applyAlignment="0" applyProtection="0"/>
    <xf numFmtId="165" fontId="19" fillId="0" borderId="0" applyFill="0" applyBorder="0" applyAlignment="0" applyProtection="0"/>
    <xf numFmtId="0" fontId="19" fillId="0" borderId="0" applyFill="0" applyBorder="0" applyAlignment="0" applyProtection="0"/>
    <xf numFmtId="0" fontId="19" fillId="0" borderId="0"/>
    <xf numFmtId="0" fontId="1" fillId="0" borderId="0"/>
    <xf numFmtId="0" fontId="19" fillId="0" borderId="0"/>
    <xf numFmtId="0" fontId="19" fillId="0" borderId="0"/>
    <xf numFmtId="0" fontId="2" fillId="0" borderId="0"/>
  </cellStyleXfs>
  <cellXfs count="190">
    <xf numFmtId="0" fontId="0" fillId="0" borderId="0" xfId="0"/>
    <xf numFmtId="0" fontId="4" fillId="0" borderId="0" xfId="0" applyFont="1"/>
    <xf numFmtId="164" fontId="4" fillId="0" borderId="0" xfId="0" applyNumberFormat="1" applyFont="1"/>
    <xf numFmtId="164" fontId="4" fillId="0" borderId="0" xfId="0" applyNumberFormat="1" applyFont="1" applyAlignment="1">
      <alignment wrapText="1"/>
    </xf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1" xfId="1" applyNumberFormat="1" applyFont="1" applyFill="1" applyBorder="1" applyAlignment="1" applyProtection="1">
      <alignment horizontal="center" vertical="center"/>
    </xf>
    <xf numFmtId="164" fontId="4" fillId="0" borderId="0" xfId="1" applyFont="1" applyFill="1" applyBorder="1" applyAlignment="1" applyProtection="1">
      <alignment vertical="center"/>
    </xf>
    <xf numFmtId="164" fontId="6" fillId="0" borderId="2" xfId="1" applyFont="1" applyFill="1" applyBorder="1" applyAlignment="1" applyProtection="1">
      <alignment vertical="center"/>
    </xf>
    <xf numFmtId="0" fontId="5" fillId="0" borderId="0" xfId="0" applyFont="1" applyAlignment="1">
      <alignment vertical="center" wrapText="1"/>
    </xf>
    <xf numFmtId="0" fontId="8" fillId="0" borderId="0" xfId="0" applyFont="1"/>
    <xf numFmtId="164" fontId="10" fillId="0" borderId="0" xfId="1" applyFont="1" applyFill="1" applyBorder="1" applyAlignment="1" applyProtection="1"/>
    <xf numFmtId="164" fontId="6" fillId="0" borderId="0" xfId="1" applyFont="1" applyFill="1" applyBorder="1" applyAlignment="1" applyProtection="1">
      <alignment vertical="center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164" fontId="4" fillId="0" borderId="1" xfId="1" applyFont="1" applyFill="1" applyBorder="1" applyAlignment="1" applyProtection="1">
      <alignment vertical="center"/>
    </xf>
    <xf numFmtId="0" fontId="7" fillId="0" borderId="0" xfId="0" applyFont="1" applyAlignment="1">
      <alignment vertical="center"/>
    </xf>
    <xf numFmtId="164" fontId="6" fillId="0" borderId="3" xfId="1" applyFont="1" applyFill="1" applyBorder="1" applyAlignment="1" applyProtection="1">
      <alignment vertical="center"/>
    </xf>
    <xf numFmtId="0" fontId="7" fillId="0" borderId="0" xfId="0" applyFont="1" applyAlignment="1">
      <alignment vertical="center" wrapText="1"/>
    </xf>
    <xf numFmtId="164" fontId="4" fillId="0" borderId="0" xfId="1" applyFont="1" applyFill="1" applyBorder="1" applyAlignment="1" applyProtection="1"/>
    <xf numFmtId="164" fontId="6" fillId="0" borderId="1" xfId="1" applyFont="1" applyFill="1" applyBorder="1" applyAlignment="1" applyProtection="1">
      <alignment vertical="center"/>
    </xf>
    <xf numFmtId="164" fontId="4" fillId="0" borderId="0" xfId="1" applyFont="1" applyFill="1" applyBorder="1" applyAlignment="1" applyProtection="1">
      <alignment wrapText="1"/>
    </xf>
    <xf numFmtId="0" fontId="4" fillId="0" borderId="0" xfId="0" applyFont="1" applyAlignment="1">
      <alignment horizontal="center" vertical="center" wrapText="1"/>
    </xf>
    <xf numFmtId="0" fontId="11" fillId="0" borderId="0" xfId="0" applyFont="1"/>
    <xf numFmtId="0" fontId="9" fillId="0" borderId="0" xfId="0" applyFont="1"/>
    <xf numFmtId="4" fontId="4" fillId="0" borderId="0" xfId="0" applyNumberFormat="1" applyFont="1"/>
    <xf numFmtId="4" fontId="4" fillId="0" borderId="1" xfId="0" applyNumberFormat="1" applyFont="1" applyBorder="1"/>
    <xf numFmtId="164" fontId="9" fillId="0" borderId="0" xfId="1" applyFont="1" applyFill="1" applyBorder="1" applyAlignment="1" applyProtection="1"/>
    <xf numFmtId="0" fontId="4" fillId="0" borderId="0" xfId="0" applyFont="1" applyAlignment="1">
      <alignment horizontal="left" vertical="top" wrapText="1"/>
    </xf>
    <xf numFmtId="0" fontId="6" fillId="0" borderId="0" xfId="1" applyNumberFormat="1" applyFont="1" applyFill="1" applyBorder="1" applyAlignment="1" applyProtection="1">
      <alignment horizontal="center" vertical="top" wrapText="1"/>
    </xf>
    <xf numFmtId="0" fontId="6" fillId="0" borderId="0" xfId="2" applyNumberFormat="1" applyFont="1" applyFill="1" applyBorder="1" applyAlignment="1" applyProtection="1">
      <alignment horizontal="center"/>
    </xf>
    <xf numFmtId="164" fontId="6" fillId="0" borderId="0" xfId="2" applyFont="1" applyFill="1" applyBorder="1" applyAlignment="1" applyProtection="1"/>
    <xf numFmtId="164" fontId="6" fillId="0" borderId="0" xfId="2" applyFont="1" applyFill="1" applyBorder="1" applyAlignment="1" applyProtection="1">
      <alignment wrapText="1"/>
    </xf>
    <xf numFmtId="164" fontId="4" fillId="0" borderId="0" xfId="2" applyFont="1" applyFill="1" applyBorder="1" applyAlignment="1" applyProtection="1">
      <alignment wrapText="1"/>
    </xf>
    <xf numFmtId="164" fontId="4" fillId="0" borderId="0" xfId="2" applyFont="1" applyFill="1" applyBorder="1" applyAlignment="1" applyProtection="1"/>
    <xf numFmtId="164" fontId="6" fillId="0" borderId="2" xfId="2" applyFont="1" applyFill="1" applyBorder="1" applyAlignment="1" applyProtection="1"/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64" fontId="6" fillId="0" borderId="0" xfId="2" applyFont="1" applyFill="1" applyBorder="1" applyAlignment="1" applyProtection="1">
      <alignment vertical="center"/>
    </xf>
    <xf numFmtId="0" fontId="6" fillId="0" borderId="0" xfId="0" applyFont="1" applyAlignment="1">
      <alignment wrapText="1"/>
    </xf>
    <xf numFmtId="164" fontId="4" fillId="0" borderId="2" xfId="2" applyFont="1" applyFill="1" applyBorder="1" applyAlignment="1" applyProtection="1"/>
    <xf numFmtId="164" fontId="6" fillId="0" borderId="3" xfId="2" applyFont="1" applyFill="1" applyBorder="1" applyAlignment="1" applyProtection="1"/>
    <xf numFmtId="0" fontId="6" fillId="0" borderId="0" xfId="0" applyFont="1" applyAlignment="1">
      <alignment horizontal="center" vertical="center"/>
    </xf>
    <xf numFmtId="164" fontId="6" fillId="0" borderId="1" xfId="2" applyFont="1" applyFill="1" applyBorder="1" applyAlignment="1" applyProtection="1"/>
    <xf numFmtId="164" fontId="4" fillId="0" borderId="1" xfId="0" applyNumberFormat="1" applyFont="1" applyBorder="1" applyAlignment="1">
      <alignment vertical="center"/>
    </xf>
    <xf numFmtId="0" fontId="12" fillId="0" borderId="0" xfId="0" applyFont="1"/>
    <xf numFmtId="0" fontId="13" fillId="0" borderId="0" xfId="0" applyFont="1"/>
    <xf numFmtId="0" fontId="11" fillId="0" borderId="0" xfId="0" applyFont="1" applyAlignment="1">
      <alignment horizontal="justify" vertical="center" wrapText="1"/>
    </xf>
    <xf numFmtId="0" fontId="11" fillId="0" borderId="0" xfId="0" applyFont="1" applyAlignment="1">
      <alignment horizontal="center" vertical="center" wrapText="1"/>
    </xf>
    <xf numFmtId="4" fontId="11" fillId="0" borderId="0" xfId="0" applyNumberFormat="1" applyFont="1"/>
    <xf numFmtId="0" fontId="9" fillId="0" borderId="0" xfId="0" applyFont="1" applyAlignment="1">
      <alignment horizontal="justify" vertical="center" wrapText="1"/>
    </xf>
    <xf numFmtId="164" fontId="9" fillId="0" borderId="0" xfId="1" applyFont="1" applyFill="1" applyBorder="1" applyAlignment="1" applyProtection="1">
      <alignment horizontal="justify" vertical="center" wrapText="1"/>
    </xf>
    <xf numFmtId="0" fontId="9" fillId="0" borderId="0" xfId="0" applyFont="1" applyAlignment="1">
      <alignment horizontal="center" vertical="center" wrapText="1"/>
    </xf>
    <xf numFmtId="164" fontId="9" fillId="0" borderId="1" xfId="1" applyFont="1" applyFill="1" applyBorder="1" applyAlignment="1" applyProtection="1">
      <alignment horizontal="center" vertical="center" wrapText="1"/>
    </xf>
    <xf numFmtId="164" fontId="11" fillId="0" borderId="0" xfId="1" applyFont="1" applyFill="1" applyBorder="1" applyAlignment="1" applyProtection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164" fontId="9" fillId="0" borderId="0" xfId="1" applyFont="1" applyFill="1" applyBorder="1" applyAlignment="1" applyProtection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8" fillId="0" borderId="0" xfId="1" applyFont="1" applyFill="1" applyBorder="1" applyAlignment="1" applyProtection="1"/>
    <xf numFmtId="0" fontId="13" fillId="0" borderId="0" xfId="1" applyNumberFormat="1" applyFont="1" applyFill="1" applyBorder="1" applyAlignment="1" applyProtection="1">
      <alignment horizontal="center"/>
    </xf>
    <xf numFmtId="0" fontId="11" fillId="0" borderId="0" xfId="20" applyFont="1" applyAlignment="1">
      <alignment horizontal="left" vertical="top"/>
    </xf>
    <xf numFmtId="0" fontId="2" fillId="0" borderId="0" xfId="20"/>
    <xf numFmtId="0" fontId="14" fillId="0" borderId="0" xfId="20" applyFont="1" applyAlignment="1">
      <alignment horizontal="left" vertical="center"/>
    </xf>
    <xf numFmtId="0" fontId="9" fillId="0" borderId="0" xfId="20" applyFont="1" applyAlignment="1">
      <alignment vertical="center"/>
    </xf>
    <xf numFmtId="0" fontId="9" fillId="0" borderId="0" xfId="20" applyFont="1" applyAlignment="1">
      <alignment horizontal="left" vertical="top"/>
    </xf>
    <xf numFmtId="164" fontId="9" fillId="0" borderId="0" xfId="13" applyFont="1" applyFill="1" applyBorder="1" applyAlignment="1" applyProtection="1">
      <alignment horizontal="center" vertical="top" wrapText="1"/>
    </xf>
    <xf numFmtId="164" fontId="9" fillId="0" borderId="1" xfId="13" applyFont="1" applyFill="1" applyBorder="1" applyAlignment="1" applyProtection="1">
      <alignment horizontal="center" vertical="top" wrapText="1"/>
    </xf>
    <xf numFmtId="164" fontId="11" fillId="0" borderId="2" xfId="13" applyFont="1" applyFill="1" applyBorder="1" applyAlignment="1" applyProtection="1">
      <alignment horizontal="center" vertical="top" wrapText="1"/>
    </xf>
    <xf numFmtId="0" fontId="14" fillId="0" borderId="0" xfId="20" applyFont="1" applyAlignment="1">
      <alignment horizontal="left" vertical="top"/>
    </xf>
    <xf numFmtId="164" fontId="4" fillId="0" borderId="1" xfId="13" applyFont="1" applyFill="1" applyBorder="1" applyAlignment="1" applyProtection="1">
      <alignment horizontal="center" vertical="top" wrapText="1"/>
    </xf>
    <xf numFmtId="0" fontId="11" fillId="0" borderId="0" xfId="20" applyFont="1" applyAlignment="1">
      <alignment horizontal="left" vertical="top" wrapText="1"/>
    </xf>
    <xf numFmtId="164" fontId="11" fillId="0" borderId="1" xfId="13" applyFont="1" applyFill="1" applyBorder="1" applyAlignment="1" applyProtection="1">
      <alignment horizontal="center" vertical="top" wrapText="1"/>
    </xf>
    <xf numFmtId="0" fontId="14" fillId="0" borderId="0" xfId="20" applyFont="1" applyAlignment="1">
      <alignment horizontal="left" vertical="top" wrapText="1"/>
    </xf>
    <xf numFmtId="0" fontId="15" fillId="0" borderId="0" xfId="20" applyFont="1" applyAlignment="1">
      <alignment horizontal="left" vertical="top" wrapText="1"/>
    </xf>
    <xf numFmtId="164" fontId="9" fillId="0" borderId="2" xfId="13" applyFont="1" applyFill="1" applyBorder="1" applyAlignment="1" applyProtection="1">
      <alignment horizontal="center" vertical="top" wrapText="1"/>
    </xf>
    <xf numFmtId="164" fontId="11" fillId="0" borderId="0" xfId="20" applyNumberFormat="1" applyFont="1"/>
    <xf numFmtId="164" fontId="11" fillId="0" borderId="1" xfId="13" applyFont="1" applyFill="1" applyBorder="1" applyAlignment="1" applyProtection="1"/>
    <xf numFmtId="0" fontId="11" fillId="0" borderId="0" xfId="1" applyNumberFormat="1" applyFont="1" applyFill="1" applyBorder="1" applyAlignment="1" applyProtection="1">
      <alignment horizontal="center"/>
    </xf>
    <xf numFmtId="0" fontId="9" fillId="0" borderId="0" xfId="20" applyFont="1"/>
    <xf numFmtId="164" fontId="9" fillId="0" borderId="0" xfId="1" applyFont="1" applyFill="1" applyBorder="1" applyAlignment="1" applyProtection="1">
      <alignment vertical="top"/>
    </xf>
    <xf numFmtId="164" fontId="9" fillId="0" borderId="0" xfId="13" applyFont="1" applyFill="1" applyBorder="1" applyAlignment="1" applyProtection="1"/>
    <xf numFmtId="164" fontId="4" fillId="0" borderId="1" xfId="13" applyFont="1" applyFill="1" applyBorder="1" applyAlignment="1" applyProtection="1"/>
    <xf numFmtId="164" fontId="6" fillId="0" borderId="2" xfId="13" applyFont="1" applyFill="1" applyBorder="1" applyAlignment="1" applyProtection="1">
      <alignment horizontal="center" vertical="top" wrapText="1"/>
    </xf>
    <xf numFmtId="0" fontId="4" fillId="0" borderId="0" xfId="20" applyFont="1"/>
    <xf numFmtId="164" fontId="4" fillId="0" borderId="0" xfId="13" applyFont="1" applyFill="1" applyBorder="1" applyAlignment="1" applyProtection="1">
      <alignment horizontal="center" vertical="top" wrapText="1"/>
    </xf>
    <xf numFmtId="164" fontId="9" fillId="0" borderId="0" xfId="20" applyNumberFormat="1" applyFont="1"/>
    <xf numFmtId="0" fontId="8" fillId="0" borderId="0" xfId="0" applyFont="1" applyAlignment="1">
      <alignment wrapText="1"/>
    </xf>
    <xf numFmtId="0" fontId="8" fillId="0" borderId="0" xfId="1" applyNumberFormat="1" applyFont="1" applyFill="1" applyBorder="1" applyAlignment="1" applyProtection="1">
      <alignment horizontal="center"/>
    </xf>
    <xf numFmtId="0" fontId="16" fillId="0" borderId="0" xfId="0" applyFont="1" applyAlignment="1">
      <alignment horizontal="right"/>
    </xf>
    <xf numFmtId="164" fontId="17" fillId="0" borderId="0" xfId="1" applyFont="1" applyFill="1" applyBorder="1" applyAlignment="1" applyProtection="1">
      <alignment horizontal="right"/>
    </xf>
    <xf numFmtId="0" fontId="13" fillId="0" borderId="5" xfId="0" applyFont="1" applyBorder="1" applyAlignment="1">
      <alignment vertical="center" wrapText="1"/>
    </xf>
    <xf numFmtId="0" fontId="13" fillId="0" borderId="5" xfId="1" applyNumberFormat="1" applyFont="1" applyFill="1" applyBorder="1" applyAlignment="1" applyProtection="1">
      <alignment horizontal="center" vertical="center" wrapText="1"/>
    </xf>
    <xf numFmtId="164" fontId="13" fillId="0" borderId="5" xfId="1" applyFont="1" applyFill="1" applyBorder="1" applyAlignment="1" applyProtection="1">
      <alignment horizontal="center" vertical="center" wrapText="1"/>
    </xf>
    <xf numFmtId="0" fontId="10" fillId="2" borderId="6" xfId="0" applyFont="1" applyFill="1" applyBorder="1" applyAlignment="1">
      <alignment vertical="center"/>
    </xf>
    <xf numFmtId="0" fontId="10" fillId="2" borderId="0" xfId="0" applyFont="1" applyFill="1"/>
    <xf numFmtId="164" fontId="10" fillId="2" borderId="6" xfId="1" applyFont="1" applyFill="1" applyBorder="1" applyAlignment="1">
      <alignment vertical="center" wrapText="1"/>
    </xf>
    <xf numFmtId="164" fontId="10" fillId="2" borderId="6" xfId="1" applyFont="1" applyFill="1" applyBorder="1"/>
    <xf numFmtId="0" fontId="18" fillId="2" borderId="6" xfId="0" applyFont="1" applyFill="1" applyBorder="1"/>
    <xf numFmtId="0" fontId="10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indent="1"/>
    </xf>
    <xf numFmtId="0" fontId="18" fillId="2" borderId="6" xfId="0" applyFont="1" applyFill="1" applyBorder="1" applyAlignment="1">
      <alignment horizontal="center"/>
    </xf>
    <xf numFmtId="0" fontId="18" fillId="2" borderId="6" xfId="0" applyFont="1" applyFill="1" applyBorder="1" applyAlignment="1">
      <alignment wrapText="1"/>
    </xf>
    <xf numFmtId="164" fontId="10" fillId="2" borderId="0" xfId="1" applyFont="1" applyFill="1" applyAlignment="1">
      <alignment horizontal="center" vertical="center"/>
    </xf>
    <xf numFmtId="164" fontId="10" fillId="2" borderId="6" xfId="1" applyFont="1" applyFill="1" applyBorder="1" applyAlignment="1">
      <alignment horizontal="right" vertical="center"/>
    </xf>
    <xf numFmtId="164" fontId="10" fillId="2" borderId="6" xfId="1" applyFont="1" applyFill="1" applyBorder="1" applyAlignment="1">
      <alignment horizontal="right"/>
    </xf>
    <xf numFmtId="0" fontId="10" fillId="2" borderId="7" xfId="0" applyFont="1" applyFill="1" applyBorder="1" applyAlignment="1">
      <alignment horizontal="center" vertical="center"/>
    </xf>
    <xf numFmtId="164" fontId="10" fillId="2" borderId="7" xfId="1" applyFont="1" applyFill="1" applyBorder="1"/>
    <xf numFmtId="164" fontId="10" fillId="2" borderId="6" xfId="1" applyFont="1" applyFill="1" applyBorder="1" applyAlignment="1">
      <alignment vertical="center"/>
    </xf>
    <xf numFmtId="164" fontId="10" fillId="2" borderId="6" xfId="1" applyFont="1" applyFill="1" applyBorder="1" applyAlignment="1">
      <alignment horizontal="right" vertical="top"/>
    </xf>
    <xf numFmtId="0" fontId="18" fillId="2" borderId="6" xfId="0" applyFont="1" applyFill="1" applyBorder="1" applyAlignment="1">
      <alignment horizontal="left" indent="1"/>
    </xf>
    <xf numFmtId="0" fontId="18" fillId="2" borderId="6" xfId="0" applyFont="1" applyFill="1" applyBorder="1" applyAlignment="1">
      <alignment horizontal="left" indent="3"/>
    </xf>
    <xf numFmtId="0" fontId="10" fillId="2" borderId="6" xfId="0" applyFont="1" applyFill="1" applyBorder="1" applyAlignment="1">
      <alignment horizontal="center"/>
    </xf>
    <xf numFmtId="164" fontId="10" fillId="2" borderId="8" xfId="1" applyFont="1" applyFill="1" applyBorder="1" applyAlignment="1">
      <alignment vertical="center"/>
    </xf>
    <xf numFmtId="164" fontId="10" fillId="2" borderId="9" xfId="1" applyFont="1" applyFill="1" applyBorder="1"/>
    <xf numFmtId="164" fontId="10" fillId="2" borderId="9" xfId="1" applyFont="1" applyFill="1" applyBorder="1" applyAlignment="1">
      <alignment vertical="center"/>
    </xf>
    <xf numFmtId="0" fontId="18" fillId="2" borderId="9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left" vertical="center"/>
    </xf>
    <xf numFmtId="0" fontId="18" fillId="2" borderId="6" xfId="0" applyFont="1" applyFill="1" applyBorder="1" applyAlignment="1">
      <alignment horizontal="center" vertical="center"/>
    </xf>
    <xf numFmtId="164" fontId="18" fillId="2" borderId="6" xfId="1" applyFont="1" applyFill="1" applyBorder="1"/>
    <xf numFmtId="164" fontId="19" fillId="0" borderId="0" xfId="1" applyAlignment="1"/>
    <xf numFmtId="164" fontId="4" fillId="0" borderId="0" xfId="1" applyFont="1" applyFill="1" applyBorder="1" applyAlignment="1">
      <alignment wrapText="1"/>
    </xf>
    <xf numFmtId="164" fontId="4" fillId="0" borderId="0" xfId="1" applyFont="1" applyFill="1" applyBorder="1" applyAlignment="1">
      <alignment horizontal="center" vertical="center" wrapText="1"/>
    </xf>
    <xf numFmtId="164" fontId="4" fillId="0" borderId="0" xfId="1" applyFont="1" applyFill="1" applyBorder="1" applyAlignment="1">
      <alignment vertical="center" wrapText="1"/>
    </xf>
    <xf numFmtId="164" fontId="4" fillId="0" borderId="0" xfId="1" applyFont="1" applyAlignment="1"/>
    <xf numFmtId="164" fontId="4" fillId="0" borderId="0" xfId="1" applyFont="1" applyFill="1" applyBorder="1" applyAlignment="1">
      <alignment vertical="center"/>
    </xf>
    <xf numFmtId="164" fontId="6" fillId="0" borderId="4" xfId="1" applyFont="1" applyFill="1" applyBorder="1" applyAlignment="1" applyProtection="1">
      <alignment vertical="center"/>
    </xf>
    <xf numFmtId="164" fontId="11" fillId="0" borderId="0" xfId="0" applyNumberFormat="1" applyFont="1" applyAlignment="1">
      <alignment horizontal="justify" vertical="center" wrapText="1"/>
    </xf>
    <xf numFmtId="164" fontId="11" fillId="0" borderId="1" xfId="1" applyFont="1" applyFill="1" applyBorder="1" applyAlignment="1" applyProtection="1">
      <alignment horizontal="center" vertical="center" wrapText="1"/>
    </xf>
    <xf numFmtId="164" fontId="19" fillId="0" borderId="0" xfId="1"/>
    <xf numFmtId="164" fontId="19" fillId="0" borderId="0" xfId="1" applyAlignment="1">
      <alignment horizontal="left" vertical="top"/>
    </xf>
    <xf numFmtId="164" fontId="19" fillId="0" borderId="0" xfId="1" applyAlignment="1">
      <alignment horizontal="left" vertical="center"/>
    </xf>
    <xf numFmtId="164" fontId="11" fillId="0" borderId="0" xfId="20" applyNumberFormat="1" applyFont="1" applyAlignment="1">
      <alignment horizontal="left" vertical="top"/>
    </xf>
    <xf numFmtId="164" fontId="18" fillId="2" borderId="8" xfId="1" applyFont="1" applyFill="1" applyBorder="1"/>
    <xf numFmtId="164" fontId="18" fillId="2" borderId="10" xfId="1" applyFont="1" applyFill="1" applyBorder="1"/>
    <xf numFmtId="0" fontId="10" fillId="2" borderId="6" xfId="0" applyFont="1" applyFill="1" applyBorder="1" applyAlignment="1">
      <alignment horizontal="left" indent="2"/>
    </xf>
    <xf numFmtId="0" fontId="10" fillId="2" borderId="6" xfId="0" applyFont="1" applyFill="1" applyBorder="1" applyAlignment="1">
      <alignment horizontal="left" vertical="center" wrapText="1" indent="2"/>
    </xf>
    <xf numFmtId="0" fontId="20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wrapText="1"/>
    </xf>
    <xf numFmtId="164" fontId="10" fillId="0" borderId="0" xfId="1" applyFont="1" applyFill="1" applyAlignment="1">
      <alignment wrapText="1"/>
    </xf>
    <xf numFmtId="0" fontId="18" fillId="0" borderId="0" xfId="0" applyFont="1"/>
    <xf numFmtId="0" fontId="10" fillId="0" borderId="0" xfId="0" applyFont="1" applyAlignment="1">
      <alignment horizontal="left" vertical="top" wrapText="1"/>
    </xf>
    <xf numFmtId="0" fontId="18" fillId="0" borderId="0" xfId="1" applyNumberFormat="1" applyFont="1" applyFill="1" applyBorder="1" applyAlignment="1" applyProtection="1">
      <alignment horizontal="center" vertical="top" wrapText="1"/>
    </xf>
    <xf numFmtId="0" fontId="18" fillId="0" borderId="0" xfId="2" applyNumberFormat="1" applyFont="1" applyFill="1" applyBorder="1" applyAlignment="1" applyProtection="1">
      <alignment horizontal="center"/>
    </xf>
    <xf numFmtId="164" fontId="10" fillId="0" borderId="0" xfId="1" applyFont="1" applyFill="1"/>
    <xf numFmtId="164" fontId="18" fillId="0" borderId="0" xfId="2" applyFont="1" applyFill="1" applyBorder="1" applyAlignment="1" applyProtection="1"/>
    <xf numFmtId="0" fontId="18" fillId="0" borderId="0" xfId="0" applyFont="1" applyAlignment="1">
      <alignment horizontal="left" vertical="center"/>
    </xf>
    <xf numFmtId="164" fontId="18" fillId="0" borderId="0" xfId="2" applyFont="1" applyFill="1" applyBorder="1" applyAlignment="1" applyProtection="1">
      <alignment wrapText="1"/>
    </xf>
    <xf numFmtId="164" fontId="10" fillId="0" borderId="0" xfId="1" applyFont="1" applyFill="1" applyBorder="1" applyAlignment="1" applyProtection="1">
      <alignment wrapText="1"/>
    </xf>
    <xf numFmtId="0" fontId="10" fillId="0" borderId="0" xfId="0" applyFont="1" applyAlignment="1">
      <alignment horizontal="left" vertical="center"/>
    </xf>
    <xf numFmtId="164" fontId="10" fillId="0" borderId="0" xfId="2" applyFont="1" applyFill="1" applyBorder="1" applyAlignment="1" applyProtection="1">
      <alignment wrapText="1"/>
    </xf>
    <xf numFmtId="164" fontId="10" fillId="0" borderId="0" xfId="2" applyFont="1" applyFill="1" applyBorder="1" applyAlignment="1" applyProtection="1"/>
    <xf numFmtId="164" fontId="18" fillId="0" borderId="2" xfId="2" applyFont="1" applyFill="1" applyBorder="1" applyAlignment="1" applyProtection="1"/>
    <xf numFmtId="0" fontId="10" fillId="0" borderId="0" xfId="0" applyFont="1" applyAlignment="1">
      <alignment horizontal="left" vertical="center" wrapText="1"/>
    </xf>
    <xf numFmtId="164" fontId="10" fillId="0" borderId="0" xfId="1" applyFont="1" applyFill="1" applyBorder="1" applyAlignment="1">
      <alignment horizontal="left" vertical="center" wrapText="1"/>
    </xf>
    <xf numFmtId="164" fontId="10" fillId="0" borderId="0" xfId="0" applyNumberFormat="1" applyFont="1" applyAlignment="1">
      <alignment vertical="center"/>
    </xf>
    <xf numFmtId="0" fontId="18" fillId="0" borderId="0" xfId="0" applyFont="1" applyAlignment="1">
      <alignment horizontal="left" vertical="center" wrapText="1"/>
    </xf>
    <xf numFmtId="164" fontId="18" fillId="0" borderId="4" xfId="2" applyFont="1" applyFill="1" applyBorder="1" applyAlignment="1" applyProtection="1"/>
    <xf numFmtId="164" fontId="18" fillId="0" borderId="11" xfId="2" applyFont="1" applyFill="1" applyBorder="1" applyAlignment="1" applyProtection="1"/>
    <xf numFmtId="0" fontId="10" fillId="0" borderId="0" xfId="0" applyFont="1" applyAlignment="1">
      <alignment vertical="center" wrapText="1"/>
    </xf>
    <xf numFmtId="164" fontId="10" fillId="0" borderId="0" xfId="1" applyFont="1" applyAlignment="1">
      <alignment vertical="center" wrapText="1"/>
    </xf>
    <xf numFmtId="164" fontId="10" fillId="0" borderId="1" xfId="2" applyFont="1" applyFill="1" applyBorder="1" applyAlignment="1" applyProtection="1"/>
    <xf numFmtId="164" fontId="18" fillId="0" borderId="0" xfId="2" applyFont="1" applyFill="1" applyBorder="1" applyAlignment="1" applyProtection="1">
      <alignment vertical="center" wrapText="1"/>
    </xf>
    <xf numFmtId="164" fontId="10" fillId="0" borderId="0" xfId="1" applyFont="1" applyFill="1" applyBorder="1" applyAlignment="1" applyProtection="1">
      <alignment vertical="center" wrapText="1"/>
    </xf>
    <xf numFmtId="164" fontId="10" fillId="0" borderId="0" xfId="2" applyFont="1" applyFill="1" applyBorder="1" applyAlignment="1" applyProtection="1">
      <alignment vertical="center" wrapText="1"/>
    </xf>
    <xf numFmtId="164" fontId="10" fillId="0" borderId="0" xfId="2" applyFont="1" applyFill="1" applyBorder="1" applyAlignment="1" applyProtection="1">
      <alignment vertical="center"/>
    </xf>
    <xf numFmtId="164" fontId="13" fillId="0" borderId="2" xfId="2" applyFont="1" applyFill="1" applyBorder="1" applyAlignment="1" applyProtection="1"/>
    <xf numFmtId="164" fontId="18" fillId="0" borderId="0" xfId="2" applyFont="1" applyFill="1" applyBorder="1" applyAlignment="1" applyProtection="1">
      <alignment vertical="center"/>
    </xf>
    <xf numFmtId="164" fontId="10" fillId="0" borderId="0" xfId="0" applyNumberFormat="1" applyFont="1"/>
    <xf numFmtId="164" fontId="10" fillId="0" borderId="0" xfId="0" applyNumberFormat="1" applyFont="1" applyAlignment="1">
      <alignment horizontal="right"/>
    </xf>
    <xf numFmtId="164" fontId="18" fillId="0" borderId="0" xfId="2" applyFont="1" applyFill="1" applyBorder="1" applyAlignment="1" applyProtection="1">
      <alignment horizontal="left" vertical="center"/>
    </xf>
    <xf numFmtId="164" fontId="10" fillId="0" borderId="0" xfId="2" applyFont="1" applyFill="1" applyBorder="1" applyAlignment="1" applyProtection="1">
      <alignment horizontal="left" vertical="center"/>
    </xf>
    <xf numFmtId="4" fontId="18" fillId="0" borderId="0" xfId="0" applyNumberFormat="1" applyFont="1"/>
    <xf numFmtId="0" fontId="18" fillId="0" borderId="0" xfId="0" applyFont="1" applyAlignment="1">
      <alignment wrapText="1"/>
    </xf>
    <xf numFmtId="164" fontId="10" fillId="0" borderId="2" xfId="2" applyFont="1" applyFill="1" applyBorder="1" applyAlignment="1" applyProtection="1"/>
    <xf numFmtId="164" fontId="10" fillId="0" borderId="0" xfId="1" applyFont="1" applyFill="1" applyBorder="1" applyAlignment="1">
      <alignment wrapText="1"/>
    </xf>
    <xf numFmtId="164" fontId="18" fillId="0" borderId="3" xfId="2" applyFont="1" applyFill="1" applyBorder="1" applyAlignment="1" applyProtection="1"/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wrapText="1"/>
    </xf>
    <xf numFmtId="0" fontId="13" fillId="0" borderId="1" xfId="0" applyFont="1" applyBorder="1" applyAlignment="1">
      <alignment horizontal="center" wrapText="1"/>
    </xf>
  </cellXfs>
  <cellStyles count="21">
    <cellStyle name="Comma" xfId="1" builtinId="3"/>
    <cellStyle name="Comma 10 2" xfId="2" xr:uid="{00000000-0005-0000-0000-000001000000}"/>
    <cellStyle name="Comma 11" xfId="3" xr:uid="{00000000-0005-0000-0000-000002000000}"/>
    <cellStyle name="Comma 13" xfId="4" xr:uid="{00000000-0005-0000-0000-000003000000}"/>
    <cellStyle name="Comma 2" xfId="5" xr:uid="{00000000-0005-0000-0000-000004000000}"/>
    <cellStyle name="Comma 2 2" xfId="6" xr:uid="{00000000-0005-0000-0000-000005000000}"/>
    <cellStyle name="Comma 23" xfId="7" xr:uid="{00000000-0005-0000-0000-000006000000}"/>
    <cellStyle name="Comma 3" xfId="8" xr:uid="{00000000-0005-0000-0000-000007000000}"/>
    <cellStyle name="Comma 3 2" xfId="9" xr:uid="{00000000-0005-0000-0000-000008000000}"/>
    <cellStyle name="Comma 4" xfId="10" xr:uid="{00000000-0005-0000-0000-000009000000}"/>
    <cellStyle name="Comma 4 2" xfId="11" xr:uid="{00000000-0005-0000-0000-00000A000000}"/>
    <cellStyle name="Comma 5" xfId="12" xr:uid="{00000000-0005-0000-0000-00000B000000}"/>
    <cellStyle name="Comma 6" xfId="13" xr:uid="{00000000-0005-0000-0000-00000C000000}"/>
    <cellStyle name="Currency 3" xfId="14" xr:uid="{00000000-0005-0000-0000-00000D000000}"/>
    <cellStyle name="Currency 3 2" xfId="15" xr:uid="{00000000-0005-0000-0000-00000E000000}"/>
    <cellStyle name="Normal" xfId="0" builtinId="0"/>
    <cellStyle name="Normal 2" xfId="16" xr:uid="{00000000-0005-0000-0000-000010000000}"/>
    <cellStyle name="Normal 2 2" xfId="17" xr:uid="{00000000-0005-0000-0000-000011000000}"/>
    <cellStyle name="Normal 3" xfId="18" xr:uid="{00000000-0005-0000-0000-000012000000}"/>
    <cellStyle name="Normal 4" xfId="19" xr:uid="{00000000-0005-0000-0000-000013000000}"/>
    <cellStyle name="Normal 5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5:H25"/>
  <sheetViews>
    <sheetView tabSelected="1" zoomScaleNormal="100" zoomScaleSheetLayoutView="100" workbookViewId="0"/>
  </sheetViews>
  <sheetFormatPr defaultRowHeight="13.2" x14ac:dyDescent="0.25"/>
  <cols>
    <col min="8" max="8" width="12.77734375" customWidth="1"/>
  </cols>
  <sheetData>
    <row r="25" spans="1:8" ht="24.6" x14ac:dyDescent="0.25">
      <c r="A25" s="187" t="s">
        <v>0</v>
      </c>
      <c r="B25" s="187"/>
      <c r="C25" s="187"/>
      <c r="D25" s="187"/>
      <c r="E25" s="187"/>
      <c r="F25" s="187"/>
      <c r="G25" s="187"/>
      <c r="H25" s="187"/>
    </row>
  </sheetData>
  <sheetProtection algorithmName="SHA-512" hashValue="r2vYiRb/upWbWRajPeMP8sFf6sVQmuPzTvErsocfy5KeImkgnvhNV3S9f7wkrp99MuYkE4em7e3xzVU9fBTYbg==" saltValue="n1BbtM3GONH7YDqk0BVNBQ==" spinCount="100000" sheet="1" objects="1" scenarios="1" selectLockedCells="1" selectUnlockedCells="1"/>
  <mergeCells count="1">
    <mergeCell ref="A25:H25"/>
  </mergeCells>
  <pageMargins left="1.49583333333333" right="1" top="1" bottom="1" header="0.511811023622047" footer="0.511811023622047"/>
  <pageSetup scale="9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A1:G166"/>
  <sheetViews>
    <sheetView topLeftCell="A2" zoomScaleNormal="100" zoomScaleSheetLayoutView="100" workbookViewId="0">
      <selection activeCell="A2" sqref="A2"/>
    </sheetView>
  </sheetViews>
  <sheetFormatPr defaultColWidth="9.109375" defaultRowHeight="15.6" x14ac:dyDescent="0.3"/>
  <cols>
    <col min="1" max="1" width="2.33203125" style="1" customWidth="1"/>
    <col min="2" max="2" width="2.6640625" style="1" customWidth="1"/>
    <col min="3" max="3" width="3.6640625" style="2" customWidth="1"/>
    <col min="4" max="4" width="45.33203125" style="3" customWidth="1"/>
    <col min="5" max="5" width="19.33203125" style="130" customWidth="1"/>
    <col min="6" max="6" width="2.109375" style="3" customWidth="1"/>
    <col min="7" max="7" width="19.6640625" style="3" customWidth="1"/>
    <col min="8" max="16384" width="9.109375" style="1"/>
  </cols>
  <sheetData>
    <row r="1" spans="1:7" x14ac:dyDescent="0.3">
      <c r="G1" s="4" t="s">
        <v>1</v>
      </c>
    </row>
    <row r="2" spans="1:7" ht="16.2" x14ac:dyDescent="0.3">
      <c r="A2" s="5" t="s">
        <v>2</v>
      </c>
      <c r="B2" s="6"/>
    </row>
    <row r="3" spans="1:7" x14ac:dyDescent="0.3">
      <c r="A3" s="5" t="s">
        <v>3</v>
      </c>
      <c r="B3" s="7"/>
    </row>
    <row r="4" spans="1:7" x14ac:dyDescent="0.3">
      <c r="A4" s="5" t="s">
        <v>4</v>
      </c>
      <c r="B4" s="7"/>
    </row>
    <row r="5" spans="1:7" x14ac:dyDescent="0.3">
      <c r="A5" s="5" t="s">
        <v>5</v>
      </c>
      <c r="B5" s="7"/>
    </row>
    <row r="6" spans="1:7" x14ac:dyDescent="0.3">
      <c r="A6" s="5" t="s">
        <v>6</v>
      </c>
      <c r="B6" s="7"/>
    </row>
    <row r="7" spans="1:7" x14ac:dyDescent="0.3">
      <c r="A7" s="5" t="s">
        <v>462</v>
      </c>
      <c r="B7" s="8"/>
    </row>
    <row r="8" spans="1:7" x14ac:dyDescent="0.3">
      <c r="A8" s="8" t="s">
        <v>463</v>
      </c>
      <c r="B8" s="9"/>
    </row>
    <row r="9" spans="1:7" x14ac:dyDescent="0.3">
      <c r="A9" s="10"/>
      <c r="B9" s="10"/>
      <c r="C9" s="11"/>
      <c r="D9" s="11"/>
      <c r="E9" s="15">
        <v>2025</v>
      </c>
      <c r="F9" s="11"/>
      <c r="G9" s="15">
        <v>2024</v>
      </c>
    </row>
    <row r="10" spans="1:7" x14ac:dyDescent="0.3">
      <c r="A10" s="12" t="s">
        <v>7</v>
      </c>
      <c r="B10" s="12"/>
      <c r="C10" s="13"/>
      <c r="D10" s="14"/>
      <c r="E10" s="132"/>
      <c r="F10" s="14"/>
      <c r="G10" s="16"/>
    </row>
    <row r="11" spans="1:7" x14ac:dyDescent="0.3">
      <c r="A11" s="12" t="s">
        <v>8</v>
      </c>
      <c r="B11" s="12"/>
      <c r="C11" s="13"/>
      <c r="D11" s="14"/>
      <c r="E11" s="132"/>
      <c r="F11" s="14"/>
      <c r="G11" s="16"/>
    </row>
    <row r="12" spans="1:7" x14ac:dyDescent="0.3">
      <c r="A12" s="12"/>
      <c r="B12" s="12" t="s">
        <v>9</v>
      </c>
      <c r="C12" s="13"/>
      <c r="D12" s="14"/>
      <c r="E12" s="132"/>
      <c r="F12" s="14"/>
      <c r="G12" s="16"/>
    </row>
    <row r="13" spans="1:7" x14ac:dyDescent="0.3">
      <c r="A13" s="13"/>
      <c r="B13" s="13"/>
      <c r="C13" s="12" t="s">
        <v>10</v>
      </c>
      <c r="D13" s="14"/>
      <c r="E13" s="132"/>
      <c r="F13" s="14"/>
      <c r="G13" s="16"/>
    </row>
    <row r="14" spans="1:7" x14ac:dyDescent="0.3">
      <c r="A14" s="13"/>
      <c r="B14" s="13"/>
      <c r="C14" s="13"/>
      <c r="D14" s="14" t="s">
        <v>11</v>
      </c>
      <c r="E14" s="16">
        <v>123484.94974999173</v>
      </c>
      <c r="F14" s="14"/>
      <c r="G14" s="16">
        <v>900468.44</v>
      </c>
    </row>
    <row r="15" spans="1:7" x14ac:dyDescent="0.3">
      <c r="A15" s="13"/>
      <c r="B15" s="13"/>
      <c r="C15" s="12" t="s">
        <v>12</v>
      </c>
      <c r="D15" s="14"/>
      <c r="E15" s="132"/>
      <c r="F15" s="14"/>
      <c r="G15" s="16"/>
    </row>
    <row r="16" spans="1:7" x14ac:dyDescent="0.3">
      <c r="A16" s="13"/>
      <c r="B16" s="13"/>
      <c r="C16" s="13"/>
      <c r="D16" s="14" t="s">
        <v>13</v>
      </c>
      <c r="E16" s="16">
        <v>203643980.77919596</v>
      </c>
      <c r="F16" s="14"/>
      <c r="G16" s="16">
        <v>211579328.46000001</v>
      </c>
    </row>
    <row r="17" spans="1:7" x14ac:dyDescent="0.3">
      <c r="A17" s="13"/>
      <c r="B17" s="13"/>
      <c r="C17" s="12" t="s">
        <v>14</v>
      </c>
      <c r="D17" s="14"/>
      <c r="E17" s="17">
        <v>203767465.72894597</v>
      </c>
      <c r="F17" s="14"/>
      <c r="G17" s="17">
        <v>212479796.90000001</v>
      </c>
    </row>
    <row r="18" spans="1:7" x14ac:dyDescent="0.3">
      <c r="A18" s="13"/>
      <c r="B18" s="12" t="s">
        <v>15</v>
      </c>
      <c r="C18" s="13"/>
      <c r="D18" s="14"/>
      <c r="E18" s="132"/>
      <c r="F18" s="14"/>
      <c r="G18" s="16"/>
    </row>
    <row r="19" spans="1:7" x14ac:dyDescent="0.3">
      <c r="A19" s="13"/>
      <c r="B19" s="13"/>
      <c r="C19" s="12" t="s">
        <v>16</v>
      </c>
      <c r="D19" s="14"/>
      <c r="E19" s="132"/>
      <c r="F19" s="14"/>
      <c r="G19" s="16"/>
    </row>
    <row r="20" spans="1:7" x14ac:dyDescent="0.3">
      <c r="A20" s="13"/>
      <c r="B20" s="13"/>
      <c r="C20" s="12"/>
      <c r="D20" s="14" t="s">
        <v>17</v>
      </c>
      <c r="E20" s="16">
        <v>2082514</v>
      </c>
      <c r="F20" s="14"/>
      <c r="G20" s="16">
        <v>1888414</v>
      </c>
    </row>
    <row r="21" spans="1:7" x14ac:dyDescent="0.3">
      <c r="A21" s="13"/>
      <c r="B21" s="13"/>
      <c r="C21" s="13"/>
      <c r="D21" s="14" t="s">
        <v>18</v>
      </c>
      <c r="E21" s="132">
        <v>17892130.606625002</v>
      </c>
      <c r="F21" s="14"/>
      <c r="G21" s="16">
        <v>66521.710000000006</v>
      </c>
    </row>
    <row r="22" spans="1:7" x14ac:dyDescent="0.3">
      <c r="A22" s="13"/>
      <c r="B22" s="13"/>
      <c r="C22" s="13"/>
      <c r="D22" s="18" t="s">
        <v>19</v>
      </c>
      <c r="E22" s="132">
        <v>0</v>
      </c>
      <c r="F22" s="18"/>
      <c r="G22" s="16">
        <v>0</v>
      </c>
    </row>
    <row r="23" spans="1:7" x14ac:dyDescent="0.3">
      <c r="A23" s="16"/>
      <c r="B23" s="13"/>
      <c r="C23" s="12" t="s">
        <v>20</v>
      </c>
      <c r="D23" s="14"/>
      <c r="E23" s="132"/>
      <c r="F23" s="14"/>
      <c r="G23" s="16"/>
    </row>
    <row r="24" spans="1:7" x14ac:dyDescent="0.3">
      <c r="A24" s="16"/>
      <c r="B24" s="13"/>
      <c r="C24" s="13"/>
      <c r="D24" s="14" t="s">
        <v>21</v>
      </c>
      <c r="E24" s="132">
        <v>779271.07</v>
      </c>
      <c r="F24" s="14"/>
      <c r="G24" s="16">
        <v>222532</v>
      </c>
    </row>
    <row r="25" spans="1:7" x14ac:dyDescent="0.3">
      <c r="A25" s="16"/>
      <c r="B25" s="13"/>
      <c r="C25" s="12" t="s">
        <v>22</v>
      </c>
      <c r="D25" s="14"/>
      <c r="E25" s="132"/>
      <c r="F25" s="14"/>
      <c r="G25" s="16"/>
    </row>
    <row r="26" spans="1:7" x14ac:dyDescent="0.3">
      <c r="A26" s="16"/>
      <c r="B26" s="13"/>
      <c r="C26" s="13"/>
      <c r="D26" s="14" t="s">
        <v>23</v>
      </c>
      <c r="E26" s="132">
        <v>0</v>
      </c>
      <c r="F26" s="14"/>
      <c r="G26" s="16">
        <v>19000.21</v>
      </c>
    </row>
    <row r="27" spans="1:7" x14ac:dyDescent="0.3">
      <c r="A27" s="16"/>
      <c r="B27" s="13"/>
      <c r="C27" s="13"/>
      <c r="D27" s="14" t="s">
        <v>24</v>
      </c>
      <c r="E27" s="132">
        <v>33099.989999999991</v>
      </c>
      <c r="F27" s="14"/>
      <c r="G27" s="16">
        <v>186771.92</v>
      </c>
    </row>
    <row r="28" spans="1:7" x14ac:dyDescent="0.3">
      <c r="A28" s="16"/>
      <c r="B28" s="13"/>
      <c r="C28" s="12" t="s">
        <v>25</v>
      </c>
      <c r="D28" s="14"/>
      <c r="E28" s="132"/>
      <c r="F28" s="14"/>
      <c r="G28" s="16"/>
    </row>
    <row r="29" spans="1:7" x14ac:dyDescent="0.3">
      <c r="A29" s="16"/>
      <c r="B29" s="13"/>
      <c r="C29" s="13"/>
      <c r="D29" s="14" t="s">
        <v>26</v>
      </c>
      <c r="E29" s="132">
        <v>19669581.239999998</v>
      </c>
      <c r="F29" s="14"/>
      <c r="G29" s="16">
        <v>19669581.239999998</v>
      </c>
    </row>
    <row r="30" spans="1:7" x14ac:dyDescent="0.3">
      <c r="A30" s="16"/>
      <c r="B30" s="13"/>
      <c r="C30" s="13"/>
      <c r="D30" s="14" t="s">
        <v>25</v>
      </c>
      <c r="E30" s="132">
        <v>0</v>
      </c>
      <c r="F30" s="14"/>
      <c r="G30" s="16">
        <v>822456.4</v>
      </c>
    </row>
    <row r="31" spans="1:7" x14ac:dyDescent="0.3">
      <c r="A31" s="16"/>
      <c r="B31" s="13"/>
      <c r="C31" s="13"/>
      <c r="D31" s="18" t="s">
        <v>27</v>
      </c>
      <c r="E31" s="132"/>
      <c r="F31" s="18"/>
      <c r="G31" s="16">
        <v>0</v>
      </c>
    </row>
    <row r="32" spans="1:7" x14ac:dyDescent="0.3">
      <c r="A32" s="13"/>
      <c r="B32" s="13"/>
      <c r="C32" s="13"/>
      <c r="D32" s="14" t="s">
        <v>28</v>
      </c>
      <c r="E32" s="16">
        <v>1613915.7100000002</v>
      </c>
      <c r="F32" s="14"/>
      <c r="G32" s="16">
        <v>1009448.16</v>
      </c>
    </row>
    <row r="33" spans="1:7" x14ac:dyDescent="0.3">
      <c r="A33" s="16"/>
      <c r="B33" s="13"/>
      <c r="C33" s="12" t="s">
        <v>29</v>
      </c>
      <c r="D33" s="14"/>
      <c r="E33" s="17">
        <v>42070512.616625004</v>
      </c>
      <c r="F33" s="14"/>
      <c r="G33" s="17">
        <v>23884725.639999997</v>
      </c>
    </row>
    <row r="34" spans="1:7" x14ac:dyDescent="0.3">
      <c r="A34" s="16"/>
      <c r="B34" s="12" t="s">
        <v>30</v>
      </c>
      <c r="C34" s="13"/>
      <c r="D34" s="14"/>
      <c r="E34" s="132"/>
      <c r="F34" s="14"/>
      <c r="G34" s="16"/>
    </row>
    <row r="35" spans="1:7" x14ac:dyDescent="0.3">
      <c r="A35" s="16"/>
      <c r="B35" s="13"/>
      <c r="C35" s="12" t="s">
        <v>31</v>
      </c>
      <c r="D35" s="14"/>
      <c r="E35" s="132"/>
      <c r="F35" s="14"/>
      <c r="G35" s="16"/>
    </row>
    <row r="36" spans="1:7" x14ac:dyDescent="0.3">
      <c r="A36" s="16"/>
      <c r="B36" s="13"/>
      <c r="C36" s="13"/>
      <c r="D36" s="19" t="s">
        <v>32</v>
      </c>
      <c r="E36" s="133">
        <v>533638.53999999957</v>
      </c>
      <c r="F36" s="19"/>
      <c r="G36" s="20">
        <v>0</v>
      </c>
    </row>
    <row r="37" spans="1:7" x14ac:dyDescent="0.3">
      <c r="A37" s="16"/>
      <c r="B37" s="13"/>
      <c r="C37" s="13"/>
      <c r="D37" s="19" t="s">
        <v>33</v>
      </c>
      <c r="E37" s="133">
        <v>96405</v>
      </c>
      <c r="F37" s="19"/>
      <c r="G37" s="20">
        <v>148598</v>
      </c>
    </row>
    <row r="38" spans="1:7" x14ac:dyDescent="0.3">
      <c r="A38" s="16"/>
      <c r="B38" s="13"/>
      <c r="C38" s="13"/>
      <c r="D38" s="19" t="s">
        <v>34</v>
      </c>
      <c r="E38" s="133">
        <v>864198.79999999888</v>
      </c>
      <c r="F38" s="19"/>
      <c r="G38" s="20">
        <v>7370848.5999999996</v>
      </c>
    </row>
    <row r="39" spans="1:7" x14ac:dyDescent="0.3">
      <c r="A39" s="16"/>
      <c r="B39" s="13"/>
      <c r="C39" s="13"/>
      <c r="D39" s="19" t="s">
        <v>35</v>
      </c>
      <c r="E39" s="133">
        <v>396050</v>
      </c>
      <c r="F39" s="19"/>
      <c r="G39" s="20">
        <v>1759812.1</v>
      </c>
    </row>
    <row r="40" spans="1:7" x14ac:dyDescent="0.3">
      <c r="A40" s="16"/>
      <c r="B40" s="13"/>
      <c r="C40" s="13"/>
      <c r="D40" s="19" t="s">
        <v>36</v>
      </c>
      <c r="E40" s="20">
        <v>149310</v>
      </c>
      <c r="F40" s="19"/>
      <c r="G40" s="20">
        <v>0</v>
      </c>
    </row>
    <row r="41" spans="1:7" x14ac:dyDescent="0.3">
      <c r="A41" s="16"/>
      <c r="B41" s="13"/>
      <c r="C41" s="12" t="s">
        <v>37</v>
      </c>
      <c r="D41" s="14"/>
      <c r="E41" s="17">
        <v>2039602.3399999985</v>
      </c>
      <c r="F41" s="14"/>
      <c r="G41" s="17">
        <v>9279258.6999999993</v>
      </c>
    </row>
    <row r="42" spans="1:7" x14ac:dyDescent="0.3">
      <c r="A42" s="12" t="s">
        <v>38</v>
      </c>
      <c r="B42" s="13"/>
      <c r="C42" s="12"/>
      <c r="D42" s="14"/>
      <c r="E42" s="17">
        <v>247877580.68557099</v>
      </c>
      <c r="F42" s="14"/>
      <c r="G42" s="17">
        <v>245643781.23999998</v>
      </c>
    </row>
    <row r="43" spans="1:7" x14ac:dyDescent="0.3">
      <c r="A43" s="12" t="s">
        <v>39</v>
      </c>
      <c r="B43" s="13"/>
      <c r="C43" s="12"/>
      <c r="D43" s="14"/>
      <c r="E43" s="132"/>
      <c r="F43" s="14"/>
      <c r="G43" s="21"/>
    </row>
    <row r="44" spans="1:7" x14ac:dyDescent="0.3">
      <c r="A44" s="12"/>
      <c r="B44" s="12" t="s">
        <v>15</v>
      </c>
      <c r="C44" s="12"/>
      <c r="D44" s="14"/>
      <c r="E44" s="132"/>
      <c r="F44" s="14"/>
      <c r="G44" s="21"/>
    </row>
    <row r="45" spans="1:7" x14ac:dyDescent="0.3">
      <c r="A45" s="12"/>
      <c r="B45" s="12"/>
      <c r="C45" s="12" t="s">
        <v>25</v>
      </c>
      <c r="D45" s="14"/>
      <c r="E45" s="132"/>
      <c r="F45" s="14"/>
      <c r="G45" s="21"/>
    </row>
    <row r="46" spans="1:7" x14ac:dyDescent="0.3">
      <c r="A46" s="12"/>
      <c r="B46" s="12"/>
      <c r="C46" s="12"/>
      <c r="D46" s="14" t="s">
        <v>25</v>
      </c>
      <c r="E46" s="132">
        <v>939982.59</v>
      </c>
      <c r="F46" s="14"/>
      <c r="G46" s="21">
        <v>0</v>
      </c>
    </row>
    <row r="47" spans="1:7" x14ac:dyDescent="0.3">
      <c r="A47" s="12"/>
      <c r="B47" s="12"/>
      <c r="C47" s="12" t="s">
        <v>29</v>
      </c>
      <c r="D47" s="14"/>
      <c r="E47" s="17">
        <v>939982.59</v>
      </c>
      <c r="F47" s="14"/>
      <c r="G47" s="17">
        <v>0</v>
      </c>
    </row>
    <row r="48" spans="1:7" x14ac:dyDescent="0.3">
      <c r="A48" s="13"/>
      <c r="B48" s="12" t="s">
        <v>40</v>
      </c>
      <c r="C48" s="13"/>
      <c r="D48" s="14"/>
      <c r="E48" s="132"/>
      <c r="F48" s="14"/>
      <c r="G48" s="16"/>
    </row>
    <row r="49" spans="1:7" x14ac:dyDescent="0.3">
      <c r="A49" s="16"/>
      <c r="B49" s="13"/>
      <c r="C49" s="12" t="s">
        <v>41</v>
      </c>
      <c r="D49" s="14"/>
      <c r="E49" s="132"/>
      <c r="F49" s="14"/>
      <c r="G49" s="16"/>
    </row>
    <row r="50" spans="1:7" x14ac:dyDescent="0.3">
      <c r="A50" s="13"/>
      <c r="B50" s="13"/>
      <c r="C50" s="16"/>
      <c r="D50" s="14" t="s">
        <v>42</v>
      </c>
      <c r="E50" s="132">
        <v>0</v>
      </c>
      <c r="F50" s="14"/>
      <c r="G50" s="16">
        <v>335576.91</v>
      </c>
    </row>
    <row r="51" spans="1:7" ht="31.2" x14ac:dyDescent="0.3">
      <c r="A51" s="13"/>
      <c r="B51" s="13"/>
      <c r="C51" s="13"/>
      <c r="D51" s="18" t="s">
        <v>43</v>
      </c>
      <c r="E51" s="132">
        <v>0</v>
      </c>
      <c r="F51" s="18"/>
      <c r="G51" s="16">
        <v>0</v>
      </c>
    </row>
    <row r="52" spans="1:7" x14ac:dyDescent="0.3">
      <c r="A52" s="13"/>
      <c r="B52" s="13"/>
      <c r="C52" s="16"/>
      <c r="D52" s="14" t="s">
        <v>44</v>
      </c>
      <c r="E52" s="132">
        <v>0</v>
      </c>
      <c r="F52" s="14"/>
      <c r="G52" s="16">
        <v>28741503.390000001</v>
      </c>
    </row>
    <row r="53" spans="1:7" ht="31.2" x14ac:dyDescent="0.3">
      <c r="A53" s="13"/>
      <c r="B53" s="13"/>
      <c r="C53" s="13"/>
      <c r="D53" s="18" t="s">
        <v>45</v>
      </c>
      <c r="E53" s="132">
        <v>0</v>
      </c>
      <c r="F53" s="18"/>
      <c r="G53" s="16">
        <v>-11980173.880000001</v>
      </c>
    </row>
    <row r="54" spans="1:7" x14ac:dyDescent="0.3">
      <c r="A54" s="13"/>
      <c r="B54" s="12"/>
      <c r="C54" s="12" t="s">
        <v>46</v>
      </c>
      <c r="D54" s="14"/>
      <c r="E54" s="17">
        <v>0</v>
      </c>
      <c r="F54" s="14"/>
      <c r="G54" s="17">
        <v>17096906.420000002</v>
      </c>
    </row>
    <row r="55" spans="1:7" x14ac:dyDescent="0.3">
      <c r="A55" s="16"/>
      <c r="B55" s="12" t="s">
        <v>47</v>
      </c>
      <c r="C55" s="13"/>
      <c r="D55" s="14"/>
      <c r="E55" s="132"/>
      <c r="F55" s="14"/>
      <c r="G55" s="16"/>
    </row>
    <row r="56" spans="1:7" x14ac:dyDescent="0.3">
      <c r="A56" s="16"/>
      <c r="B56" s="12"/>
      <c r="C56" s="12" t="s">
        <v>48</v>
      </c>
      <c r="D56" s="14"/>
      <c r="E56" s="132"/>
      <c r="F56" s="14"/>
      <c r="G56" s="16"/>
    </row>
    <row r="57" spans="1:7" x14ac:dyDescent="0.3">
      <c r="A57" s="16"/>
      <c r="B57" s="13"/>
      <c r="C57" s="13"/>
      <c r="D57" s="14" t="s">
        <v>48</v>
      </c>
      <c r="E57" s="132">
        <v>38304392.459999993</v>
      </c>
      <c r="F57" s="14"/>
      <c r="G57" s="16">
        <v>29907135.550000001</v>
      </c>
    </row>
    <row r="58" spans="1:7" x14ac:dyDescent="0.3">
      <c r="A58" s="16"/>
      <c r="B58" s="12"/>
      <c r="C58" s="12" t="s">
        <v>49</v>
      </c>
      <c r="D58" s="14"/>
      <c r="E58" s="132"/>
      <c r="F58" s="14"/>
      <c r="G58" s="16"/>
    </row>
    <row r="59" spans="1:7" x14ac:dyDescent="0.3">
      <c r="A59" s="16"/>
      <c r="B59" s="13"/>
      <c r="C59" s="12"/>
      <c r="D59" s="14" t="s">
        <v>50</v>
      </c>
      <c r="E59" s="132">
        <v>15246099.479999999</v>
      </c>
      <c r="F59" s="14"/>
      <c r="G59" s="16">
        <v>15119442.289999999</v>
      </c>
    </row>
    <row r="60" spans="1:7" ht="31.2" x14ac:dyDescent="0.3">
      <c r="A60" s="13"/>
      <c r="B60" s="13"/>
      <c r="C60" s="13"/>
      <c r="D60" s="18" t="s">
        <v>51</v>
      </c>
      <c r="E60" s="132">
        <v>-11573474.301719001</v>
      </c>
      <c r="F60" s="18"/>
      <c r="G60" s="16">
        <v>-11022463.439999999</v>
      </c>
    </row>
    <row r="61" spans="1:7" x14ac:dyDescent="0.3">
      <c r="A61" s="16"/>
      <c r="B61" s="12"/>
      <c r="C61" s="12" t="s">
        <v>52</v>
      </c>
      <c r="D61" s="14"/>
      <c r="E61" s="132"/>
      <c r="F61" s="14"/>
      <c r="G61" s="16"/>
    </row>
    <row r="62" spans="1:7" x14ac:dyDescent="0.3">
      <c r="A62" s="16"/>
      <c r="B62" s="13"/>
      <c r="C62" s="12"/>
      <c r="D62" s="14" t="s">
        <v>53</v>
      </c>
      <c r="E62" s="132">
        <v>577645205.46800005</v>
      </c>
      <c r="F62" s="14"/>
      <c r="G62" s="16">
        <v>567968283.28999996</v>
      </c>
    </row>
    <row r="63" spans="1:7" x14ac:dyDescent="0.3">
      <c r="A63" s="13"/>
      <c r="B63" s="13"/>
      <c r="C63" s="13"/>
      <c r="D63" s="18" t="s">
        <v>54</v>
      </c>
      <c r="E63" s="132">
        <v>-126342355.83369701</v>
      </c>
      <c r="F63" s="18"/>
      <c r="G63" s="16">
        <v>-307302640.44999999</v>
      </c>
    </row>
    <row r="64" spans="1:7" x14ac:dyDescent="0.3">
      <c r="A64" s="16"/>
      <c r="B64" s="13"/>
      <c r="C64" s="12"/>
      <c r="D64" s="14" t="s">
        <v>55</v>
      </c>
      <c r="E64" s="132">
        <v>14588358.5</v>
      </c>
      <c r="F64" s="14"/>
      <c r="G64" s="16">
        <v>14588358.5</v>
      </c>
    </row>
    <row r="65" spans="1:7" ht="31.2" x14ac:dyDescent="0.3">
      <c r="A65" s="13"/>
      <c r="B65" s="13"/>
      <c r="C65" s="13"/>
      <c r="D65" s="18" t="s">
        <v>56</v>
      </c>
      <c r="E65" s="132">
        <v>-4518245.4098600997</v>
      </c>
      <c r="F65" s="18"/>
      <c r="G65" s="16">
        <v>-3750710.74</v>
      </c>
    </row>
    <row r="66" spans="1:7" x14ac:dyDescent="0.3">
      <c r="A66" s="16"/>
      <c r="B66" s="13"/>
      <c r="C66" s="12"/>
      <c r="D66" s="14" t="s">
        <v>57</v>
      </c>
      <c r="E66" s="132">
        <v>158477.31000000052</v>
      </c>
      <c r="F66" s="14"/>
      <c r="G66" s="16">
        <v>6481980.0700000003</v>
      </c>
    </row>
    <row r="67" spans="1:7" ht="31.2" x14ac:dyDescent="0.3">
      <c r="A67" s="13"/>
      <c r="B67" s="13"/>
      <c r="C67" s="13"/>
      <c r="D67" s="18" t="s">
        <v>58</v>
      </c>
      <c r="E67" s="132">
        <v>-142629.579</v>
      </c>
      <c r="F67" s="18"/>
      <c r="G67" s="16">
        <v>-3186900.1</v>
      </c>
    </row>
    <row r="68" spans="1:7" x14ac:dyDescent="0.3">
      <c r="A68" s="16"/>
      <c r="B68" s="13"/>
      <c r="C68" s="12"/>
      <c r="D68" s="14" t="s">
        <v>59</v>
      </c>
      <c r="E68" s="132">
        <v>16486084.460000001</v>
      </c>
      <c r="F68" s="14"/>
      <c r="G68" s="16">
        <v>5951865.9400000004</v>
      </c>
    </row>
    <row r="69" spans="1:7" ht="31.2" x14ac:dyDescent="0.3">
      <c r="A69" s="13"/>
      <c r="B69" s="13"/>
      <c r="C69" s="13"/>
      <c r="D69" s="18" t="s">
        <v>60</v>
      </c>
      <c r="E69" s="132">
        <v>-4432520.2136792596</v>
      </c>
      <c r="F69" s="18"/>
      <c r="G69" s="16">
        <v>-1537973.86</v>
      </c>
    </row>
    <row r="70" spans="1:7" ht="31.2" x14ac:dyDescent="0.3">
      <c r="A70" s="13"/>
      <c r="B70" s="13"/>
      <c r="C70" s="13"/>
      <c r="D70" s="18" t="s">
        <v>61</v>
      </c>
      <c r="E70" s="132">
        <v>0</v>
      </c>
      <c r="F70" s="18"/>
      <c r="G70" s="16">
        <v>0</v>
      </c>
    </row>
    <row r="71" spans="1:7" x14ac:dyDescent="0.3">
      <c r="A71" s="16"/>
      <c r="B71" s="12"/>
      <c r="C71" s="12" t="s">
        <v>62</v>
      </c>
      <c r="D71" s="14"/>
      <c r="E71" s="132"/>
      <c r="F71" s="14"/>
      <c r="G71" s="16"/>
    </row>
    <row r="72" spans="1:7" x14ac:dyDescent="0.3">
      <c r="A72" s="16"/>
      <c r="B72" s="13"/>
      <c r="C72" s="13"/>
      <c r="D72" s="14" t="s">
        <v>63</v>
      </c>
      <c r="E72" s="132">
        <v>87052029.13000001</v>
      </c>
      <c r="F72" s="14"/>
      <c r="G72" s="16">
        <v>74252492.930000007</v>
      </c>
    </row>
    <row r="73" spans="1:7" x14ac:dyDescent="0.3">
      <c r="A73" s="13"/>
      <c r="B73" s="13"/>
      <c r="C73" s="13"/>
      <c r="D73" s="18" t="s">
        <v>64</v>
      </c>
      <c r="E73" s="132">
        <v>-20871936.207906101</v>
      </c>
      <c r="F73" s="18"/>
      <c r="G73" s="16">
        <v>-21160855.710000001</v>
      </c>
    </row>
    <row r="74" spans="1:7" x14ac:dyDescent="0.3">
      <c r="A74" s="13"/>
      <c r="B74" s="13"/>
      <c r="C74" s="13"/>
      <c r="D74" s="14" t="s">
        <v>65</v>
      </c>
      <c r="E74" s="132">
        <v>39400981.450000003</v>
      </c>
      <c r="F74" s="14"/>
      <c r="G74" s="16">
        <v>18401836.530000001</v>
      </c>
    </row>
    <row r="75" spans="1:7" x14ac:dyDescent="0.3">
      <c r="A75" s="13"/>
      <c r="B75" s="13"/>
      <c r="C75" s="13"/>
      <c r="D75" s="18" t="s">
        <v>464</v>
      </c>
      <c r="E75" s="132">
        <v>-1217623.84201373</v>
      </c>
      <c r="F75" s="14"/>
      <c r="G75" s="16">
        <v>0</v>
      </c>
    </row>
    <row r="76" spans="1:7" x14ac:dyDescent="0.3">
      <c r="A76" s="16"/>
      <c r="B76" s="13"/>
      <c r="C76" s="13"/>
      <c r="D76" s="14" t="s">
        <v>66</v>
      </c>
      <c r="E76" s="132">
        <v>4135574.08</v>
      </c>
      <c r="F76" s="14"/>
      <c r="G76" s="16">
        <v>7049346.2800000003</v>
      </c>
    </row>
    <row r="77" spans="1:7" ht="31.2" x14ac:dyDescent="0.3">
      <c r="A77" s="13"/>
      <c r="B77" s="13"/>
      <c r="C77" s="13"/>
      <c r="D77" s="18" t="s">
        <v>67</v>
      </c>
      <c r="E77" s="132">
        <v>-2120723.0768333301</v>
      </c>
      <c r="F77" s="18"/>
      <c r="G77" s="16">
        <v>-2212992.5299999998</v>
      </c>
    </row>
    <row r="78" spans="1:7" x14ac:dyDescent="0.3">
      <c r="A78" s="13"/>
      <c r="B78" s="13"/>
      <c r="C78" s="13"/>
      <c r="D78" s="14" t="s">
        <v>68</v>
      </c>
      <c r="E78" s="132">
        <v>57440496.009999998</v>
      </c>
      <c r="F78" s="14"/>
      <c r="G78" s="16">
        <v>0</v>
      </c>
    </row>
    <row r="79" spans="1:7" x14ac:dyDescent="0.3">
      <c r="A79" s="13"/>
      <c r="B79" s="13"/>
      <c r="C79" s="13"/>
      <c r="D79" s="18" t="s">
        <v>69</v>
      </c>
      <c r="E79" s="132">
        <v>-13233795.002167599</v>
      </c>
      <c r="F79" s="18"/>
      <c r="G79" s="16">
        <v>0</v>
      </c>
    </row>
    <row r="80" spans="1:7" x14ac:dyDescent="0.3">
      <c r="A80" s="16"/>
      <c r="B80" s="13"/>
      <c r="C80" s="13"/>
      <c r="D80" s="14" t="s">
        <v>70</v>
      </c>
      <c r="E80" s="132">
        <v>1040681.0900000001</v>
      </c>
      <c r="F80" s="14"/>
      <c r="G80" s="16">
        <v>10280613.880000001</v>
      </c>
    </row>
    <row r="81" spans="1:7" x14ac:dyDescent="0.3">
      <c r="A81" s="13"/>
      <c r="B81" s="13"/>
      <c r="C81" s="13"/>
      <c r="D81" s="18" t="s">
        <v>71</v>
      </c>
      <c r="E81" s="132">
        <v>-517143.929466667</v>
      </c>
      <c r="F81" s="18"/>
      <c r="G81" s="16">
        <v>-1392992.21</v>
      </c>
    </row>
    <row r="82" spans="1:7" x14ac:dyDescent="0.3">
      <c r="A82" s="16"/>
      <c r="B82" s="13"/>
      <c r="C82" s="13"/>
      <c r="D82" s="14" t="s">
        <v>72</v>
      </c>
      <c r="E82" s="132">
        <v>54926150.519999996</v>
      </c>
      <c r="F82" s="14"/>
      <c r="G82" s="16">
        <v>48297047.960000001</v>
      </c>
    </row>
    <row r="83" spans="1:7" x14ac:dyDescent="0.3">
      <c r="A83" s="13"/>
      <c r="B83" s="13"/>
      <c r="C83" s="13"/>
      <c r="D83" s="18" t="s">
        <v>73</v>
      </c>
      <c r="E83" s="132">
        <v>-13395503.060000001</v>
      </c>
      <c r="F83" s="18"/>
      <c r="G83" s="16">
        <v>-20414841.100000001</v>
      </c>
    </row>
    <row r="84" spans="1:7" x14ac:dyDescent="0.3">
      <c r="A84" s="16"/>
      <c r="B84" s="12"/>
      <c r="C84" s="12" t="s">
        <v>74</v>
      </c>
      <c r="D84" s="14"/>
      <c r="E84" s="132"/>
      <c r="F84" s="14"/>
      <c r="G84" s="16"/>
    </row>
    <row r="85" spans="1:7" x14ac:dyDescent="0.3">
      <c r="A85" s="16"/>
      <c r="B85" s="13"/>
      <c r="C85" s="16"/>
      <c r="D85" s="14" t="s">
        <v>75</v>
      </c>
      <c r="E85" s="132">
        <v>1001400</v>
      </c>
      <c r="F85" s="14"/>
      <c r="G85" s="16">
        <v>1490224</v>
      </c>
    </row>
    <row r="86" spans="1:7" x14ac:dyDescent="0.3">
      <c r="A86" s="13"/>
      <c r="B86" s="13"/>
      <c r="C86" s="13"/>
      <c r="D86" s="18" t="s">
        <v>76</v>
      </c>
      <c r="E86" s="132">
        <v>-432997.037671233</v>
      </c>
      <c r="F86" s="18"/>
      <c r="G86" s="16">
        <v>-516774.71</v>
      </c>
    </row>
    <row r="87" spans="1:7" ht="31.2" x14ac:dyDescent="0.3">
      <c r="A87" s="16"/>
      <c r="B87" s="13"/>
      <c r="C87" s="13"/>
      <c r="D87" s="14" t="s">
        <v>77</v>
      </c>
      <c r="E87" s="132">
        <v>8320925</v>
      </c>
      <c r="F87" s="14"/>
      <c r="G87" s="16">
        <v>10152834</v>
      </c>
    </row>
    <row r="88" spans="1:7" ht="31.2" x14ac:dyDescent="0.3">
      <c r="A88" s="13"/>
      <c r="B88" s="13"/>
      <c r="C88" s="13"/>
      <c r="D88" s="18" t="s">
        <v>78</v>
      </c>
      <c r="E88" s="132">
        <v>-5038288.6105000004</v>
      </c>
      <c r="F88" s="18"/>
      <c r="G88" s="16">
        <v>-3302596.84</v>
      </c>
    </row>
    <row r="89" spans="1:7" x14ac:dyDescent="0.3">
      <c r="A89" s="16"/>
      <c r="B89" s="13"/>
      <c r="C89" s="13"/>
      <c r="D89" s="14" t="s">
        <v>79</v>
      </c>
      <c r="E89" s="132">
        <v>9738000</v>
      </c>
      <c r="F89" s="14"/>
      <c r="G89" s="16">
        <v>9738000</v>
      </c>
    </row>
    <row r="90" spans="1:7" ht="31.2" x14ac:dyDescent="0.3">
      <c r="A90" s="13"/>
      <c r="B90" s="13"/>
      <c r="C90" s="13"/>
      <c r="D90" s="18" t="s">
        <v>80</v>
      </c>
      <c r="E90" s="132">
        <v>-8527789.5833333302</v>
      </c>
      <c r="F90" s="18"/>
      <c r="G90" s="16">
        <v>-8372900</v>
      </c>
    </row>
    <row r="91" spans="1:7" x14ac:dyDescent="0.3">
      <c r="A91" s="16"/>
      <c r="B91" s="13"/>
      <c r="C91" s="16"/>
      <c r="D91" s="14" t="s">
        <v>81</v>
      </c>
      <c r="E91" s="132">
        <v>298200</v>
      </c>
      <c r="F91" s="14"/>
      <c r="G91" s="16">
        <v>348800</v>
      </c>
    </row>
    <row r="92" spans="1:7" ht="31.2" x14ac:dyDescent="0.3">
      <c r="A92" s="13"/>
      <c r="B92" s="13"/>
      <c r="C92" s="13"/>
      <c r="D92" s="18" t="s">
        <v>82</v>
      </c>
      <c r="E92" s="132">
        <v>-254961</v>
      </c>
      <c r="F92" s="18"/>
      <c r="G92" s="16">
        <v>-300501</v>
      </c>
    </row>
    <row r="93" spans="1:7" x14ac:dyDescent="0.3">
      <c r="A93" s="16"/>
      <c r="B93" s="13"/>
      <c r="C93" s="13"/>
      <c r="D93" s="14" t="s">
        <v>83</v>
      </c>
      <c r="E93" s="132">
        <v>45375892</v>
      </c>
      <c r="F93" s="14"/>
      <c r="G93" s="16">
        <v>28704950</v>
      </c>
    </row>
    <row r="94" spans="1:7" ht="31.2" x14ac:dyDescent="0.3">
      <c r="A94" s="13"/>
      <c r="B94" s="13"/>
      <c r="C94" s="13"/>
      <c r="D94" s="18" t="s">
        <v>84</v>
      </c>
      <c r="E94" s="132">
        <v>-24002561.008379001</v>
      </c>
      <c r="F94" s="18"/>
      <c r="G94" s="16">
        <v>-21350015</v>
      </c>
    </row>
    <row r="95" spans="1:7" x14ac:dyDescent="0.3">
      <c r="A95" s="16"/>
      <c r="B95" s="13"/>
      <c r="C95" s="1"/>
      <c r="D95" s="22" t="s">
        <v>85</v>
      </c>
      <c r="E95" s="130">
        <v>6653001</v>
      </c>
      <c r="F95" s="22"/>
      <c r="G95" s="16">
        <v>3310138</v>
      </c>
    </row>
    <row r="96" spans="1:7" ht="31.2" x14ac:dyDescent="0.3">
      <c r="A96" s="13"/>
      <c r="B96" s="13"/>
      <c r="C96" s="13"/>
      <c r="D96" s="18" t="s">
        <v>86</v>
      </c>
      <c r="E96" s="132">
        <v>-1394787.0812659799</v>
      </c>
      <c r="F96" s="18"/>
      <c r="G96" s="16">
        <v>-1170380.6200000001</v>
      </c>
    </row>
    <row r="97" spans="1:7" x14ac:dyDescent="0.3">
      <c r="A97" s="16"/>
      <c r="B97" s="13"/>
      <c r="C97" s="13"/>
      <c r="D97" s="14" t="s">
        <v>87</v>
      </c>
      <c r="E97" s="132">
        <v>3151750</v>
      </c>
      <c r="F97" s="14"/>
      <c r="G97" s="16">
        <v>3151750</v>
      </c>
    </row>
    <row r="98" spans="1:7" ht="14.25" customHeight="1" x14ac:dyDescent="0.3">
      <c r="A98" s="13"/>
      <c r="B98" s="13"/>
      <c r="C98" s="13"/>
      <c r="D98" s="18" t="s">
        <v>88</v>
      </c>
      <c r="E98" s="132">
        <v>-1394059.48744292</v>
      </c>
      <c r="F98" s="18"/>
      <c r="G98" s="16">
        <v>-1261795</v>
      </c>
    </row>
    <row r="99" spans="1:7" x14ac:dyDescent="0.3">
      <c r="A99" s="16"/>
      <c r="B99" s="13"/>
      <c r="C99" s="13"/>
      <c r="D99" s="14" t="s">
        <v>89</v>
      </c>
      <c r="E99" s="132">
        <v>1216252</v>
      </c>
      <c r="F99" s="14"/>
      <c r="G99" s="16">
        <v>1283252</v>
      </c>
    </row>
    <row r="100" spans="1:7" x14ac:dyDescent="0.3">
      <c r="A100" s="13"/>
      <c r="B100" s="13"/>
      <c r="C100" s="13"/>
      <c r="D100" s="18" t="s">
        <v>90</v>
      </c>
      <c r="E100" s="132">
        <v>-708581.82</v>
      </c>
      <c r="F100" s="18"/>
      <c r="G100" s="16">
        <v>-1110606.8</v>
      </c>
    </row>
    <row r="101" spans="1:7" x14ac:dyDescent="0.3">
      <c r="A101" s="16"/>
      <c r="B101" s="13"/>
      <c r="C101" s="13"/>
      <c r="D101" s="14" t="s">
        <v>91</v>
      </c>
      <c r="E101" s="132">
        <v>1562000</v>
      </c>
      <c r="F101" s="14"/>
      <c r="G101" s="16">
        <v>1577900</v>
      </c>
    </row>
    <row r="102" spans="1:7" ht="31.2" x14ac:dyDescent="0.3">
      <c r="A102" s="13"/>
      <c r="B102" s="13"/>
      <c r="C102" s="13"/>
      <c r="D102" s="18" t="s">
        <v>92</v>
      </c>
      <c r="E102" s="132">
        <v>-1463900</v>
      </c>
      <c r="F102" s="18"/>
      <c r="G102" s="16">
        <v>-1420110</v>
      </c>
    </row>
    <row r="103" spans="1:7" x14ac:dyDescent="0.3">
      <c r="A103" s="16"/>
      <c r="B103" s="16"/>
      <c r="C103" s="12" t="s">
        <v>93</v>
      </c>
      <c r="D103" s="14"/>
      <c r="E103" s="132"/>
      <c r="F103" s="14"/>
      <c r="G103" s="16"/>
    </row>
    <row r="104" spans="1:7" x14ac:dyDescent="0.3">
      <c r="A104" s="16"/>
      <c r="B104" s="13"/>
      <c r="C104" s="16"/>
      <c r="D104" s="14" t="s">
        <v>94</v>
      </c>
      <c r="E104" s="132">
        <v>31075723.600000001</v>
      </c>
      <c r="F104" s="14"/>
      <c r="G104" s="16">
        <v>43399005</v>
      </c>
    </row>
    <row r="105" spans="1:7" x14ac:dyDescent="0.3">
      <c r="A105" s="13"/>
      <c r="B105" s="13"/>
      <c r="C105" s="13"/>
      <c r="D105" s="18" t="s">
        <v>95</v>
      </c>
      <c r="E105" s="132">
        <v>-15843069.736394299</v>
      </c>
      <c r="F105" s="18"/>
      <c r="G105" s="16">
        <v>-7912632.6600000001</v>
      </c>
    </row>
    <row r="106" spans="1:7" x14ac:dyDescent="0.3">
      <c r="A106" s="16"/>
      <c r="B106" s="13"/>
      <c r="C106" s="16"/>
      <c r="D106" s="14" t="s">
        <v>96</v>
      </c>
      <c r="E106" s="132">
        <v>3885488</v>
      </c>
      <c r="F106" s="14"/>
      <c r="G106" s="16">
        <v>3934188.52</v>
      </c>
    </row>
    <row r="107" spans="1:7" x14ac:dyDescent="0.3">
      <c r="A107" s="13"/>
      <c r="B107" s="13"/>
      <c r="C107" s="13"/>
      <c r="D107" s="18" t="s">
        <v>97</v>
      </c>
      <c r="E107" s="132">
        <v>-2428333.4176666699</v>
      </c>
      <c r="F107" s="18"/>
      <c r="G107" s="16">
        <v>-2450644.08</v>
      </c>
    </row>
    <row r="108" spans="1:7" x14ac:dyDescent="0.3">
      <c r="A108" s="16"/>
      <c r="B108" s="16"/>
      <c r="C108" s="12" t="s">
        <v>98</v>
      </c>
      <c r="D108" s="14"/>
      <c r="E108" s="132"/>
      <c r="F108" s="14"/>
      <c r="G108" s="16"/>
    </row>
    <row r="109" spans="1:7" x14ac:dyDescent="0.3">
      <c r="A109" s="16"/>
      <c r="B109" s="13"/>
      <c r="C109" s="16"/>
      <c r="D109" s="14" t="s">
        <v>99</v>
      </c>
      <c r="E109" s="132">
        <v>135999.99999999977</v>
      </c>
      <c r="F109" s="14"/>
      <c r="G109" s="16">
        <v>2450481.2599999998</v>
      </c>
    </row>
    <row r="110" spans="1:7" x14ac:dyDescent="0.3">
      <c r="A110" s="13"/>
      <c r="B110" s="13"/>
      <c r="C110" s="13"/>
      <c r="D110" s="146" t="s">
        <v>100</v>
      </c>
      <c r="E110" s="132">
        <v>-122400</v>
      </c>
      <c r="F110" s="18"/>
      <c r="G110" s="16">
        <v>-638904.07999999996</v>
      </c>
    </row>
    <row r="111" spans="1:7" x14ac:dyDescent="0.3">
      <c r="A111" s="13"/>
      <c r="B111" s="16"/>
      <c r="C111" s="12" t="s">
        <v>101</v>
      </c>
      <c r="D111" s="23"/>
      <c r="E111" s="132"/>
      <c r="F111" s="23"/>
      <c r="G111" s="16"/>
    </row>
    <row r="112" spans="1:7" x14ac:dyDescent="0.3">
      <c r="A112" s="13"/>
      <c r="B112" s="13"/>
      <c r="C112" s="13"/>
      <c r="D112" s="14" t="s">
        <v>102</v>
      </c>
      <c r="E112" s="132">
        <v>2598708.11</v>
      </c>
      <c r="F112" s="14"/>
      <c r="G112" s="16">
        <v>21220940.940000001</v>
      </c>
    </row>
    <row r="113" spans="1:7" ht="31.2" x14ac:dyDescent="0.3">
      <c r="A113" s="13"/>
      <c r="B113" s="13"/>
      <c r="C113" s="13"/>
      <c r="D113" s="14" t="s">
        <v>103</v>
      </c>
      <c r="E113" s="132">
        <v>4609419.68</v>
      </c>
      <c r="F113" s="14"/>
      <c r="G113" s="16">
        <v>6100238.4000000004</v>
      </c>
    </row>
    <row r="114" spans="1:7" x14ac:dyDescent="0.3">
      <c r="A114" s="12"/>
      <c r="B114" s="12"/>
      <c r="C114" s="12" t="s">
        <v>104</v>
      </c>
      <c r="D114" s="14"/>
      <c r="E114" s="132"/>
      <c r="F114" s="14"/>
      <c r="G114" s="21"/>
    </row>
    <row r="115" spans="1:7" x14ac:dyDescent="0.3">
      <c r="A115" s="13"/>
      <c r="B115" s="16"/>
      <c r="C115" s="13"/>
      <c r="D115" s="14" t="s">
        <v>105</v>
      </c>
      <c r="E115" s="132">
        <v>90000</v>
      </c>
      <c r="F115" s="14"/>
      <c r="G115" s="16">
        <v>90000</v>
      </c>
    </row>
    <row r="116" spans="1:7" ht="15" customHeight="1" x14ac:dyDescent="0.3">
      <c r="A116" s="13"/>
      <c r="B116" s="13"/>
      <c r="C116" s="13"/>
      <c r="D116" s="18" t="s">
        <v>106</v>
      </c>
      <c r="E116" s="132"/>
      <c r="F116" s="18"/>
      <c r="G116" s="16">
        <v>0</v>
      </c>
    </row>
    <row r="117" spans="1:7" x14ac:dyDescent="0.3">
      <c r="A117" s="13"/>
      <c r="B117" s="16"/>
      <c r="C117" s="13"/>
      <c r="D117" s="14" t="s">
        <v>104</v>
      </c>
      <c r="E117" s="132">
        <v>5772099.9999999991</v>
      </c>
      <c r="F117" s="14"/>
      <c r="G117" s="16">
        <v>5018022</v>
      </c>
    </row>
    <row r="118" spans="1:7" ht="31.2" x14ac:dyDescent="0.3">
      <c r="A118" s="13"/>
      <c r="B118" s="13"/>
      <c r="C118" s="13"/>
      <c r="D118" s="18" t="s">
        <v>107</v>
      </c>
      <c r="E118" s="132">
        <v>-3080617.52889498</v>
      </c>
      <c r="F118" s="18"/>
      <c r="G118" s="16">
        <v>-1738059.96</v>
      </c>
    </row>
    <row r="119" spans="1:7" x14ac:dyDescent="0.3">
      <c r="A119" s="13"/>
      <c r="B119" s="16"/>
      <c r="C119" s="13"/>
      <c r="D119" s="23" t="s">
        <v>108</v>
      </c>
      <c r="E119" s="17">
        <v>768851092.58010888</v>
      </c>
      <c r="F119" s="23"/>
      <c r="G119" s="17">
        <v>516740836.44999993</v>
      </c>
    </row>
    <row r="120" spans="1:7" x14ac:dyDescent="0.3">
      <c r="A120" s="13"/>
      <c r="B120" s="16"/>
      <c r="C120" s="12" t="s">
        <v>109</v>
      </c>
      <c r="D120" s="12"/>
      <c r="E120" s="134"/>
      <c r="F120" s="12"/>
      <c r="G120" s="21"/>
    </row>
    <row r="121" spans="1:7" x14ac:dyDescent="0.3">
      <c r="A121" s="13"/>
      <c r="B121" s="16"/>
      <c r="C121" s="12" t="s">
        <v>110</v>
      </c>
      <c r="D121" s="23"/>
      <c r="E121" s="132"/>
      <c r="F121" s="23"/>
      <c r="G121" s="21"/>
    </row>
    <row r="122" spans="1:7" x14ac:dyDescent="0.3">
      <c r="A122" s="13"/>
      <c r="B122" s="16"/>
      <c r="C122" s="13"/>
      <c r="D122" s="14" t="s">
        <v>111</v>
      </c>
      <c r="E122" s="24">
        <v>848000</v>
      </c>
      <c r="F122" s="14"/>
      <c r="G122" s="24">
        <v>919450</v>
      </c>
    </row>
    <row r="123" spans="1:7" x14ac:dyDescent="0.3">
      <c r="A123" s="13"/>
      <c r="B123" s="16"/>
      <c r="C123" s="13" t="s">
        <v>112</v>
      </c>
      <c r="D123" s="23"/>
      <c r="E123" s="21">
        <v>848000</v>
      </c>
      <c r="F123" s="23"/>
      <c r="G123" s="21">
        <v>919450</v>
      </c>
    </row>
    <row r="124" spans="1:7" ht="16.2" x14ac:dyDescent="0.3">
      <c r="A124" s="25" t="s">
        <v>113</v>
      </c>
      <c r="B124" s="13"/>
      <c r="C124" s="13"/>
      <c r="D124" s="14"/>
      <c r="E124" s="17">
        <v>770639075.17010891</v>
      </c>
      <c r="F124" s="14"/>
      <c r="G124" s="17">
        <v>534757192.86999995</v>
      </c>
    </row>
    <row r="125" spans="1:7" ht="16.2" thickBot="1" x14ac:dyDescent="0.35">
      <c r="A125" s="12" t="s">
        <v>114</v>
      </c>
      <c r="B125" s="13"/>
      <c r="C125" s="13"/>
      <c r="D125" s="14"/>
      <c r="E125" s="26">
        <v>1018516655.8556799</v>
      </c>
      <c r="F125" s="14"/>
      <c r="G125" s="26">
        <v>780400974.1099999</v>
      </c>
    </row>
    <row r="126" spans="1:7" ht="8.25" customHeight="1" thickTop="1" x14ac:dyDescent="0.3">
      <c r="A126" s="12"/>
      <c r="B126" s="13"/>
      <c r="C126" s="13"/>
      <c r="D126" s="14"/>
      <c r="E126" s="132"/>
      <c r="F126" s="14"/>
      <c r="G126" s="16"/>
    </row>
    <row r="127" spans="1:7" x14ac:dyDescent="0.3">
      <c r="A127" s="12" t="s">
        <v>115</v>
      </c>
      <c r="B127" s="12"/>
      <c r="C127" s="12"/>
      <c r="D127" s="14"/>
      <c r="E127" s="132"/>
      <c r="F127" s="14"/>
      <c r="G127" s="16"/>
    </row>
    <row r="128" spans="1:7" x14ac:dyDescent="0.3">
      <c r="A128" s="12"/>
      <c r="B128" s="12" t="s">
        <v>116</v>
      </c>
      <c r="C128" s="12"/>
      <c r="D128" s="14"/>
      <c r="E128" s="132"/>
      <c r="F128" s="14"/>
      <c r="G128" s="16"/>
    </row>
    <row r="129" spans="1:7" x14ac:dyDescent="0.3">
      <c r="A129" s="12"/>
      <c r="B129" s="12"/>
      <c r="C129" s="12" t="s">
        <v>117</v>
      </c>
      <c r="D129" s="14"/>
      <c r="E129" s="132"/>
      <c r="F129" s="14"/>
      <c r="G129" s="16"/>
    </row>
    <row r="130" spans="1:7" x14ac:dyDescent="0.3">
      <c r="A130" s="12"/>
      <c r="B130" s="12"/>
      <c r="C130" s="12"/>
      <c r="D130" s="23" t="s">
        <v>118</v>
      </c>
      <c r="E130" s="132"/>
      <c r="F130" s="23"/>
      <c r="G130" s="16"/>
    </row>
    <row r="131" spans="1:7" x14ac:dyDescent="0.3">
      <c r="A131" s="13"/>
      <c r="B131" s="13"/>
      <c r="C131" s="13"/>
      <c r="D131" s="14" t="s">
        <v>119</v>
      </c>
      <c r="E131" s="132">
        <v>15937648.959999999</v>
      </c>
      <c r="F131" s="14"/>
      <c r="G131" s="16">
        <v>20535412.48</v>
      </c>
    </row>
    <row r="132" spans="1:7" x14ac:dyDescent="0.3">
      <c r="A132" s="13"/>
      <c r="B132" s="13"/>
      <c r="C132" s="13"/>
      <c r="D132" s="14" t="s">
        <v>120</v>
      </c>
      <c r="E132" s="16">
        <v>5628029.9400000004</v>
      </c>
      <c r="F132" s="14"/>
      <c r="G132" s="16">
        <v>5618029.9400000004</v>
      </c>
    </row>
    <row r="133" spans="1:7" ht="16.2" x14ac:dyDescent="0.3">
      <c r="A133" s="16"/>
      <c r="B133" s="13"/>
      <c r="C133" s="16"/>
      <c r="D133" s="27" t="s">
        <v>121</v>
      </c>
      <c r="E133" s="17">
        <v>21565678.899999999</v>
      </c>
      <c r="F133" s="27"/>
      <c r="G133" s="17">
        <v>26153442.420000002</v>
      </c>
    </row>
    <row r="134" spans="1:7" x14ac:dyDescent="0.3">
      <c r="A134" s="13"/>
      <c r="B134" s="13"/>
      <c r="C134" s="12" t="s">
        <v>122</v>
      </c>
      <c r="D134" s="14"/>
      <c r="E134" s="132"/>
      <c r="F134" s="14"/>
      <c r="G134" s="16"/>
    </row>
    <row r="135" spans="1:7" x14ac:dyDescent="0.3">
      <c r="A135" s="13"/>
      <c r="B135" s="13"/>
      <c r="C135" s="13"/>
      <c r="D135" s="14" t="s">
        <v>123</v>
      </c>
      <c r="E135" s="132">
        <v>1356056.6000000038</v>
      </c>
      <c r="F135" s="14"/>
      <c r="G135" s="16">
        <v>1788869.98</v>
      </c>
    </row>
    <row r="136" spans="1:7" x14ac:dyDescent="0.3">
      <c r="A136" s="13"/>
      <c r="B136" s="13"/>
      <c r="C136" s="13"/>
      <c r="D136" s="14" t="s">
        <v>124</v>
      </c>
      <c r="E136" s="132">
        <v>2570980.0719999997</v>
      </c>
      <c r="F136" s="14"/>
      <c r="G136" s="16">
        <v>1221283.55</v>
      </c>
    </row>
    <row r="137" spans="1:7" x14ac:dyDescent="0.3">
      <c r="A137" s="13"/>
      <c r="B137" s="13"/>
      <c r="C137" s="13"/>
      <c r="D137" s="14" t="s">
        <v>125</v>
      </c>
      <c r="E137" s="132">
        <v>217632.29300000137</v>
      </c>
      <c r="F137" s="14"/>
      <c r="G137" s="16">
        <v>145612.29999999999</v>
      </c>
    </row>
    <row r="138" spans="1:7" x14ac:dyDescent="0.3">
      <c r="A138" s="16"/>
      <c r="B138" s="13"/>
      <c r="C138" s="13"/>
      <c r="D138" s="14" t="s">
        <v>126</v>
      </c>
      <c r="E138" s="132">
        <v>267345.10424999997</v>
      </c>
      <c r="F138" s="14"/>
      <c r="G138" s="16">
        <v>224101.14</v>
      </c>
    </row>
    <row r="139" spans="1:7" x14ac:dyDescent="0.3">
      <c r="A139" s="16"/>
      <c r="B139" s="13"/>
      <c r="C139" s="13"/>
      <c r="D139" s="14" t="s">
        <v>127</v>
      </c>
      <c r="E139" s="132">
        <v>0</v>
      </c>
      <c r="F139" s="14"/>
      <c r="G139" s="16">
        <v>999.85</v>
      </c>
    </row>
    <row r="140" spans="1:7" x14ac:dyDescent="0.3">
      <c r="A140" s="16"/>
      <c r="B140" s="13"/>
      <c r="C140" s="12"/>
      <c r="D140" s="14" t="s">
        <v>128</v>
      </c>
      <c r="E140" s="132">
        <v>11669.998</v>
      </c>
      <c r="F140" s="14"/>
      <c r="G140" s="16">
        <v>8865.84</v>
      </c>
    </row>
    <row r="141" spans="1:7" x14ac:dyDescent="0.3">
      <c r="A141" s="16"/>
      <c r="B141" s="13"/>
      <c r="C141" s="13"/>
      <c r="D141" s="14" t="s">
        <v>129</v>
      </c>
      <c r="E141" s="24">
        <v>149312.35412499998</v>
      </c>
      <c r="F141" s="14"/>
      <c r="G141" s="24">
        <v>256164.64</v>
      </c>
    </row>
    <row r="142" spans="1:7" ht="16.2" x14ac:dyDescent="0.3">
      <c r="A142" s="16"/>
      <c r="B142" s="13"/>
      <c r="C142" s="13"/>
      <c r="D142" s="27" t="s">
        <v>130</v>
      </c>
      <c r="E142" s="29">
        <v>4572996.4213750046</v>
      </c>
      <c r="F142" s="27"/>
      <c r="G142" s="29">
        <v>3645897.3000000003</v>
      </c>
    </row>
    <row r="143" spans="1:7" x14ac:dyDescent="0.3">
      <c r="A143" s="16"/>
      <c r="B143" s="13"/>
      <c r="C143" s="12" t="s">
        <v>131</v>
      </c>
      <c r="D143" s="14"/>
      <c r="E143" s="132"/>
      <c r="F143" s="14"/>
      <c r="G143" s="16"/>
    </row>
    <row r="144" spans="1:7" x14ac:dyDescent="0.3">
      <c r="A144" s="16"/>
      <c r="B144" s="13"/>
      <c r="C144" s="13"/>
      <c r="D144" s="14" t="s">
        <v>132</v>
      </c>
      <c r="E144" s="16">
        <v>109108.64999999898</v>
      </c>
      <c r="F144" s="14"/>
      <c r="G144" s="16">
        <v>109108.65</v>
      </c>
    </row>
    <row r="145" spans="1:7" ht="16.2" x14ac:dyDescent="0.3">
      <c r="A145" s="16"/>
      <c r="B145" s="13"/>
      <c r="C145" s="13"/>
      <c r="D145" s="27" t="s">
        <v>133</v>
      </c>
      <c r="E145" s="17">
        <v>109108.64999999898</v>
      </c>
      <c r="F145" s="27"/>
      <c r="G145" s="17">
        <v>109108.65</v>
      </c>
    </row>
    <row r="146" spans="1:7" x14ac:dyDescent="0.3">
      <c r="A146" s="16"/>
      <c r="B146" s="13"/>
      <c r="C146" s="12" t="s">
        <v>134</v>
      </c>
      <c r="D146" s="14"/>
      <c r="E146" s="132"/>
      <c r="F146" s="14"/>
      <c r="G146" s="16"/>
    </row>
    <row r="147" spans="1:7" x14ac:dyDescent="0.3">
      <c r="A147" s="16"/>
      <c r="B147" s="13"/>
      <c r="C147" s="12"/>
      <c r="D147" s="14" t="s">
        <v>135</v>
      </c>
      <c r="E147" s="132">
        <v>5395108.4900000002</v>
      </c>
      <c r="F147" s="14"/>
      <c r="G147" s="16">
        <v>4992622.46</v>
      </c>
    </row>
    <row r="148" spans="1:7" x14ac:dyDescent="0.3">
      <c r="A148" s="16"/>
      <c r="B148" s="13"/>
      <c r="C148" s="13"/>
      <c r="D148" s="14" t="s">
        <v>136</v>
      </c>
      <c r="E148" s="132">
        <v>5161353.3700000029</v>
      </c>
      <c r="F148" s="14"/>
      <c r="G148" s="16">
        <v>6350017.2300000004</v>
      </c>
    </row>
    <row r="149" spans="1:7" ht="16.2" x14ac:dyDescent="0.3">
      <c r="A149" s="16"/>
      <c r="B149" s="13"/>
      <c r="C149" s="12"/>
      <c r="D149" s="27" t="s">
        <v>137</v>
      </c>
      <c r="E149" s="17">
        <v>10556461.860000003</v>
      </c>
      <c r="F149" s="27"/>
      <c r="G149" s="17">
        <v>11342639.690000001</v>
      </c>
    </row>
    <row r="150" spans="1:7" x14ac:dyDescent="0.3">
      <c r="A150" s="16"/>
      <c r="B150" s="13"/>
      <c r="C150" s="12" t="s">
        <v>138</v>
      </c>
      <c r="D150" s="14"/>
      <c r="E150" s="132"/>
      <c r="F150" s="14"/>
      <c r="G150" s="16"/>
    </row>
    <row r="151" spans="1:7" x14ac:dyDescent="0.3">
      <c r="A151" s="16"/>
      <c r="B151" s="13"/>
      <c r="C151" s="13"/>
      <c r="D151" s="14" t="s">
        <v>139</v>
      </c>
      <c r="E151" s="16">
        <v>17892130.606625002</v>
      </c>
      <c r="F151" s="14"/>
      <c r="G151" s="16">
        <v>66521.710000000006</v>
      </c>
    </row>
    <row r="152" spans="1:7" ht="16.2" x14ac:dyDescent="0.3">
      <c r="A152" s="16"/>
      <c r="B152" s="13"/>
      <c r="C152" s="12"/>
      <c r="D152" s="27" t="s">
        <v>140</v>
      </c>
      <c r="E152" s="17">
        <v>17892130.606625002</v>
      </c>
      <c r="F152" s="27"/>
      <c r="G152" s="17">
        <v>66521.710000000006</v>
      </c>
    </row>
    <row r="153" spans="1:7" x14ac:dyDescent="0.3">
      <c r="A153" s="16"/>
      <c r="B153" s="16"/>
      <c r="C153" s="12" t="s">
        <v>141</v>
      </c>
      <c r="D153" s="14"/>
      <c r="E153" s="132"/>
      <c r="F153" s="14"/>
      <c r="G153" s="16"/>
    </row>
    <row r="154" spans="1:7" x14ac:dyDescent="0.3">
      <c r="A154" s="16"/>
      <c r="B154" s="13"/>
      <c r="C154" s="13"/>
      <c r="D154" s="14" t="s">
        <v>141</v>
      </c>
      <c r="E154" s="132">
        <v>0</v>
      </c>
      <c r="F154" s="14"/>
      <c r="G154" s="30">
        <v>0</v>
      </c>
    </row>
    <row r="155" spans="1:7" x14ac:dyDescent="0.3">
      <c r="A155" s="16"/>
      <c r="B155" s="12" t="s">
        <v>142</v>
      </c>
      <c r="C155" s="12"/>
      <c r="D155" s="14"/>
      <c r="E155" s="17">
        <v>54696376.438000008</v>
      </c>
      <c r="F155" s="14"/>
      <c r="G155" s="17">
        <v>41317609.770000003</v>
      </c>
    </row>
    <row r="156" spans="1:7" x14ac:dyDescent="0.3">
      <c r="A156" s="12"/>
      <c r="B156" s="12" t="s">
        <v>143</v>
      </c>
      <c r="C156" s="12"/>
      <c r="D156" s="14"/>
      <c r="E156" s="132"/>
      <c r="F156" s="14"/>
      <c r="G156" s="16"/>
    </row>
    <row r="157" spans="1:7" x14ac:dyDescent="0.3">
      <c r="A157" s="16"/>
      <c r="B157" s="16"/>
      <c r="C157" s="12" t="s">
        <v>141</v>
      </c>
      <c r="D157" s="14"/>
      <c r="E157" s="132"/>
      <c r="F157" s="14"/>
      <c r="G157" s="16"/>
    </row>
    <row r="158" spans="1:7" x14ac:dyDescent="0.3">
      <c r="A158" s="16"/>
      <c r="B158" s="13"/>
      <c r="C158" s="13"/>
      <c r="D158" s="14" t="s">
        <v>141</v>
      </c>
      <c r="E158" s="16">
        <v>5934009.4168841857</v>
      </c>
      <c r="F158" s="14"/>
      <c r="G158" s="16">
        <v>7178664.1600000001</v>
      </c>
    </row>
    <row r="159" spans="1:7" ht="16.2" x14ac:dyDescent="0.3">
      <c r="A159" s="16"/>
      <c r="B159" s="13"/>
      <c r="C159" s="25" t="s">
        <v>144</v>
      </c>
      <c r="D159" s="14"/>
      <c r="E159" s="17">
        <v>5934009.4168841857</v>
      </c>
      <c r="F159" s="14"/>
      <c r="G159" s="17">
        <v>7178664.1600000001</v>
      </c>
    </row>
    <row r="160" spans="1:7" x14ac:dyDescent="0.3">
      <c r="A160" s="12" t="s">
        <v>145</v>
      </c>
      <c r="B160" s="13"/>
      <c r="C160" s="16"/>
      <c r="D160" s="14"/>
      <c r="E160" s="17">
        <v>60630385.854884192</v>
      </c>
      <c r="F160" s="14"/>
      <c r="G160" s="17">
        <v>48496273.930000007</v>
      </c>
    </row>
    <row r="161" spans="1:7" ht="16.2" x14ac:dyDescent="0.3">
      <c r="A161" s="12" t="s">
        <v>146</v>
      </c>
      <c r="B161" s="16"/>
      <c r="C161" s="25"/>
      <c r="D161" s="14"/>
      <c r="E161" s="132"/>
      <c r="F161" s="14"/>
      <c r="G161" s="21"/>
    </row>
    <row r="162" spans="1:7" x14ac:dyDescent="0.3">
      <c r="A162" s="16"/>
      <c r="B162" s="12"/>
      <c r="C162" s="13" t="s">
        <v>147</v>
      </c>
      <c r="D162" s="14"/>
      <c r="E162" s="132">
        <v>957886270.00363374</v>
      </c>
      <c r="F162" s="14"/>
      <c r="G162" s="16">
        <v>731904700.20000005</v>
      </c>
    </row>
    <row r="163" spans="1:7" x14ac:dyDescent="0.3">
      <c r="A163" s="13"/>
      <c r="B163" s="13"/>
      <c r="C163" s="1" t="s">
        <v>148</v>
      </c>
      <c r="E163" s="130">
        <v>0</v>
      </c>
      <c r="G163" s="16">
        <v>0</v>
      </c>
    </row>
    <row r="164" spans="1:7" x14ac:dyDescent="0.3">
      <c r="A164" s="13"/>
      <c r="B164" s="13"/>
      <c r="C164" s="12" t="s">
        <v>149</v>
      </c>
      <c r="D164" s="31"/>
      <c r="E164" s="17">
        <v>957886270.00363374</v>
      </c>
      <c r="F164" s="31"/>
      <c r="G164" s="17">
        <v>731904700.20000005</v>
      </c>
    </row>
    <row r="165" spans="1:7" ht="16.2" thickBot="1" x14ac:dyDescent="0.35">
      <c r="A165" s="12" t="s">
        <v>150</v>
      </c>
      <c r="B165" s="16"/>
      <c r="C165" s="13"/>
      <c r="D165" s="14"/>
      <c r="E165" s="26">
        <v>1018516655.8585179</v>
      </c>
      <c r="F165" s="14"/>
      <c r="G165" s="26">
        <v>780400974.13000011</v>
      </c>
    </row>
    <row r="166" spans="1:7" ht="16.2" thickTop="1" x14ac:dyDescent="0.3">
      <c r="G166" s="1"/>
    </row>
  </sheetData>
  <sheetProtection algorithmName="SHA-512" hashValue="Nsbz6GXjfF6GjAaVoeqTEG9lyopBUrHx5mTpb9ygiXFjS+oYrbDhcsuXYG7SMZD/ggIJMDH5fjbOsswQ8R4DBQ==" saltValue="9PcJFU/xEbprmRJVNjPRPA==" spinCount="100000" sheet="1" objects="1" scenarios="1" selectLockedCells="1" selectUnlockedCells="1"/>
  <printOptions horizontalCentered="1"/>
  <pageMargins left="1.4958322397200301" right="1" top="0.7" bottom="0.3" header="0.51180993000874897" footer="0.24"/>
  <pageSetup scale="82" firstPageNumber="0" fitToHeight="0" orientation="portrait" horizontalDpi="300" verticalDpi="300" r:id="rId1"/>
  <headerFooter alignWithMargins="0"/>
  <rowBreaks count="3" manualBreakCount="3">
    <brk id="51" max="6" man="1"/>
    <brk id="92" max="6" man="1"/>
    <brk id="145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  <pageSetUpPr fitToPage="1"/>
  </sheetPr>
  <dimension ref="A1:G53"/>
  <sheetViews>
    <sheetView zoomScaleNormal="100" zoomScaleSheetLayoutView="100" workbookViewId="0"/>
  </sheetViews>
  <sheetFormatPr defaultColWidth="9.109375" defaultRowHeight="15.6" x14ac:dyDescent="0.3"/>
  <cols>
    <col min="1" max="1" width="2.33203125" style="1" customWidth="1"/>
    <col min="2" max="2" width="2.6640625" style="1" customWidth="1"/>
    <col min="3" max="3" width="3.6640625" style="2" customWidth="1"/>
    <col min="4" max="4" width="47.6640625" style="3" customWidth="1"/>
    <col min="5" max="5" width="15.88671875" style="130" bestFit="1" customWidth="1"/>
    <col min="6" max="6" width="2.109375" style="3" customWidth="1"/>
    <col min="7" max="7" width="18.44140625" style="1" customWidth="1"/>
    <col min="8" max="16384" width="9.109375" style="1"/>
  </cols>
  <sheetData>
    <row r="1" spans="1:7" x14ac:dyDescent="0.3">
      <c r="G1" s="4" t="s">
        <v>151</v>
      </c>
    </row>
    <row r="2" spans="1:7" ht="16.2" x14ac:dyDescent="0.3">
      <c r="A2" s="5" t="s">
        <v>2</v>
      </c>
      <c r="B2" s="6"/>
    </row>
    <row r="3" spans="1:7" x14ac:dyDescent="0.3">
      <c r="A3" s="5" t="s">
        <v>3</v>
      </c>
      <c r="B3" s="7"/>
    </row>
    <row r="4" spans="1:7" x14ac:dyDescent="0.3">
      <c r="A4" s="5" t="s">
        <v>4</v>
      </c>
      <c r="B4" s="7"/>
    </row>
    <row r="5" spans="1:7" x14ac:dyDescent="0.3">
      <c r="A5" s="5" t="s">
        <v>5</v>
      </c>
      <c r="B5" s="7"/>
    </row>
    <row r="6" spans="1:7" x14ac:dyDescent="0.3">
      <c r="A6" s="5" t="s">
        <v>152</v>
      </c>
      <c r="B6" s="7"/>
    </row>
    <row r="7" spans="1:7" x14ac:dyDescent="0.3">
      <c r="A7" s="32" t="s">
        <v>462</v>
      </c>
      <c r="B7" s="8"/>
    </row>
    <row r="8" spans="1:7" x14ac:dyDescent="0.3">
      <c r="A8" s="33" t="s">
        <v>463</v>
      </c>
      <c r="B8" s="9"/>
    </row>
    <row r="9" spans="1:7" x14ac:dyDescent="0.3">
      <c r="A9" s="9"/>
      <c r="B9" s="9"/>
      <c r="E9" s="15">
        <v>2025</v>
      </c>
      <c r="G9" s="15">
        <v>2024</v>
      </c>
    </row>
    <row r="10" spans="1:7" x14ac:dyDescent="0.3">
      <c r="A10" s="12" t="s">
        <v>7</v>
      </c>
      <c r="B10" s="12"/>
      <c r="C10" s="13"/>
      <c r="D10" s="14"/>
      <c r="E10" s="132"/>
      <c r="F10" s="14"/>
      <c r="G10" s="16"/>
    </row>
    <row r="11" spans="1:7" x14ac:dyDescent="0.3">
      <c r="A11" s="12" t="s">
        <v>8</v>
      </c>
      <c r="B11" s="12"/>
      <c r="C11" s="13"/>
      <c r="D11" s="14"/>
      <c r="E11" s="132"/>
      <c r="F11" s="14"/>
      <c r="G11" s="16"/>
    </row>
    <row r="12" spans="1:7" x14ac:dyDescent="0.3">
      <c r="A12" s="12"/>
      <c r="B12" s="12" t="s">
        <v>9</v>
      </c>
      <c r="C12" s="13"/>
      <c r="D12" s="14"/>
      <c r="E12" s="132"/>
      <c r="F12" s="14"/>
      <c r="G12" s="16"/>
    </row>
    <row r="13" spans="1:7" x14ac:dyDescent="0.3">
      <c r="A13" s="13"/>
      <c r="B13" s="13"/>
      <c r="C13" s="12" t="s">
        <v>10</v>
      </c>
      <c r="D13" s="14"/>
      <c r="E13" s="132"/>
      <c r="F13" s="14"/>
      <c r="G13" s="16"/>
    </row>
    <row r="14" spans="1:7" x14ac:dyDescent="0.3">
      <c r="A14" s="13"/>
      <c r="B14" s="13"/>
      <c r="C14" s="13"/>
      <c r="D14" s="14" t="s">
        <v>11</v>
      </c>
      <c r="E14" s="132">
        <v>138594.26999999999</v>
      </c>
      <c r="F14" s="14"/>
      <c r="G14" s="16">
        <v>0</v>
      </c>
    </row>
    <row r="15" spans="1:7" x14ac:dyDescent="0.3">
      <c r="A15" s="13"/>
      <c r="B15" s="13"/>
      <c r="C15" s="12" t="s">
        <v>12</v>
      </c>
      <c r="D15" s="14"/>
      <c r="E15" s="132"/>
      <c r="F15" s="14"/>
      <c r="G15" s="16"/>
    </row>
    <row r="16" spans="1:7" x14ac:dyDescent="0.3">
      <c r="A16" s="13"/>
      <c r="B16" s="13"/>
      <c r="C16" s="13"/>
      <c r="D16" s="14" t="s">
        <v>13</v>
      </c>
      <c r="E16" s="16">
        <v>2515105.7299999972</v>
      </c>
      <c r="F16" s="14"/>
      <c r="G16" s="16">
        <v>2480572.02</v>
      </c>
    </row>
    <row r="17" spans="1:7" x14ac:dyDescent="0.3">
      <c r="A17" s="13"/>
      <c r="B17" s="13"/>
      <c r="C17" s="12" t="s">
        <v>14</v>
      </c>
      <c r="D17" s="14"/>
      <c r="E17" s="17">
        <v>2515105.7299999972</v>
      </c>
      <c r="F17" s="14"/>
      <c r="G17" s="17">
        <v>2480572.02</v>
      </c>
    </row>
    <row r="18" spans="1:7" x14ac:dyDescent="0.3">
      <c r="A18" s="13"/>
      <c r="B18" s="12" t="s">
        <v>15</v>
      </c>
      <c r="C18" s="13"/>
      <c r="D18" s="14"/>
      <c r="E18" s="132"/>
      <c r="F18" s="14"/>
      <c r="G18" s="16"/>
    </row>
    <row r="19" spans="1:7" x14ac:dyDescent="0.3">
      <c r="A19" s="13"/>
      <c r="B19" s="13"/>
      <c r="C19" s="12" t="s">
        <v>16</v>
      </c>
      <c r="D19" s="14"/>
      <c r="E19" s="132"/>
      <c r="F19" s="14"/>
      <c r="G19" s="16"/>
    </row>
    <row r="20" spans="1:7" x14ac:dyDescent="0.3">
      <c r="A20" s="13"/>
      <c r="B20" s="13"/>
      <c r="C20" s="13"/>
      <c r="D20" s="14" t="s">
        <v>153</v>
      </c>
      <c r="E20" s="132">
        <v>17892130.602999993</v>
      </c>
      <c r="F20" s="14"/>
      <c r="G20" s="16">
        <v>3488426.21</v>
      </c>
    </row>
    <row r="21" spans="1:7" x14ac:dyDescent="0.3">
      <c r="A21" s="13"/>
      <c r="B21" s="13"/>
      <c r="C21" s="13"/>
      <c r="D21" s="18" t="s">
        <v>154</v>
      </c>
      <c r="E21" s="132">
        <v>0</v>
      </c>
      <c r="F21" s="18"/>
      <c r="G21" s="21">
        <v>0</v>
      </c>
    </row>
    <row r="22" spans="1:7" x14ac:dyDescent="0.3">
      <c r="A22" s="16"/>
      <c r="B22" s="13"/>
      <c r="C22" s="12" t="s">
        <v>25</v>
      </c>
      <c r="D22" s="14"/>
      <c r="E22" s="132"/>
      <c r="F22" s="14"/>
      <c r="G22" s="16"/>
    </row>
    <row r="23" spans="1:7" x14ac:dyDescent="0.3">
      <c r="A23" s="16"/>
      <c r="B23" s="13"/>
      <c r="C23" s="13"/>
      <c r="D23" s="14" t="s">
        <v>25</v>
      </c>
      <c r="E23" s="132">
        <v>0</v>
      </c>
      <c r="F23" s="14"/>
      <c r="G23" s="21">
        <v>0</v>
      </c>
    </row>
    <row r="24" spans="1:7" x14ac:dyDescent="0.3">
      <c r="A24" s="16"/>
      <c r="B24" s="13"/>
      <c r="C24" s="12" t="s">
        <v>29</v>
      </c>
      <c r="D24" s="14"/>
      <c r="E24" s="17">
        <v>17892130.602999993</v>
      </c>
      <c r="F24" s="14"/>
      <c r="G24" s="17">
        <v>3488426.21</v>
      </c>
    </row>
    <row r="25" spans="1:7" x14ac:dyDescent="0.3">
      <c r="A25" s="12" t="s">
        <v>38</v>
      </c>
      <c r="B25" s="13"/>
      <c r="C25" s="12"/>
      <c r="D25" s="14"/>
      <c r="E25" s="17">
        <v>20407236.332999989</v>
      </c>
      <c r="F25" s="14"/>
      <c r="G25" s="17">
        <v>5968998.2300000004</v>
      </c>
    </row>
    <row r="26" spans="1:7" ht="16.2" thickBot="1" x14ac:dyDescent="0.35">
      <c r="A26" s="12" t="s">
        <v>114</v>
      </c>
      <c r="B26" s="13"/>
      <c r="C26" s="13"/>
      <c r="D26" s="14"/>
      <c r="E26" s="26">
        <v>20407236.332999989</v>
      </c>
      <c r="F26" s="14"/>
      <c r="G26" s="26">
        <v>5968998.2300000004</v>
      </c>
    </row>
    <row r="27" spans="1:7" ht="16.2" thickTop="1" x14ac:dyDescent="0.3">
      <c r="A27" s="12"/>
      <c r="B27" s="13"/>
      <c r="C27" s="13"/>
      <c r="D27" s="14"/>
      <c r="E27" s="132"/>
      <c r="F27" s="14"/>
      <c r="G27" s="16"/>
    </row>
    <row r="28" spans="1:7" x14ac:dyDescent="0.3">
      <c r="A28" s="12" t="s">
        <v>115</v>
      </c>
      <c r="B28" s="12"/>
      <c r="C28" s="12"/>
      <c r="D28" s="14"/>
      <c r="E28" s="132"/>
      <c r="F28" s="14"/>
      <c r="G28" s="16"/>
    </row>
    <row r="29" spans="1:7" x14ac:dyDescent="0.3">
      <c r="A29" s="12"/>
      <c r="B29" s="12" t="s">
        <v>116</v>
      </c>
      <c r="C29" s="12"/>
      <c r="D29" s="14"/>
      <c r="E29" s="132"/>
      <c r="F29" s="14"/>
      <c r="G29" s="16"/>
    </row>
    <row r="30" spans="1:7" x14ac:dyDescent="0.3">
      <c r="A30" s="12"/>
      <c r="B30" s="12"/>
      <c r="C30" s="12" t="s">
        <v>117</v>
      </c>
      <c r="D30" s="14"/>
      <c r="E30" s="132"/>
      <c r="F30" s="14"/>
      <c r="G30" s="16"/>
    </row>
    <row r="31" spans="1:7" x14ac:dyDescent="0.3">
      <c r="A31" s="12"/>
      <c r="B31" s="12"/>
      <c r="C31" s="12"/>
      <c r="D31" s="14" t="s">
        <v>119</v>
      </c>
      <c r="E31" s="16">
        <v>429095</v>
      </c>
      <c r="F31" s="14"/>
      <c r="G31" s="16">
        <v>132403</v>
      </c>
    </row>
    <row r="32" spans="1:7" ht="16.2" x14ac:dyDescent="0.3">
      <c r="A32" s="12"/>
      <c r="B32" s="12"/>
      <c r="C32" s="12"/>
      <c r="D32" s="27" t="s">
        <v>121</v>
      </c>
      <c r="E32" s="17">
        <v>429095</v>
      </c>
      <c r="F32" s="27"/>
      <c r="G32" s="17">
        <v>132403</v>
      </c>
    </row>
    <row r="33" spans="1:7" x14ac:dyDescent="0.3">
      <c r="A33" s="13"/>
      <c r="B33" s="13"/>
      <c r="C33" s="12" t="s">
        <v>122</v>
      </c>
      <c r="D33" s="14"/>
      <c r="E33" s="132"/>
      <c r="F33" s="14"/>
      <c r="G33" s="16"/>
    </row>
    <row r="34" spans="1:7" x14ac:dyDescent="0.3">
      <c r="A34" s="13"/>
      <c r="B34" s="13"/>
      <c r="C34" s="13"/>
      <c r="D34" s="14" t="s">
        <v>123</v>
      </c>
      <c r="E34" s="132">
        <v>4194.6499999999996</v>
      </c>
      <c r="F34" s="14"/>
      <c r="G34" s="16">
        <v>0</v>
      </c>
    </row>
    <row r="35" spans="1:7" x14ac:dyDescent="0.3">
      <c r="A35" s="13"/>
      <c r="B35" s="13"/>
      <c r="C35" s="13"/>
      <c r="D35" s="14" t="s">
        <v>129</v>
      </c>
      <c r="E35" s="132">
        <v>0</v>
      </c>
      <c r="F35" s="14"/>
      <c r="G35" s="16">
        <v>0</v>
      </c>
    </row>
    <row r="36" spans="1:7" ht="16.2" x14ac:dyDescent="0.3">
      <c r="A36" s="16"/>
      <c r="B36" s="13"/>
      <c r="C36" s="13"/>
      <c r="D36" s="27" t="s">
        <v>130</v>
      </c>
      <c r="E36" s="17">
        <v>4194.6499999999996</v>
      </c>
      <c r="F36" s="27"/>
      <c r="G36" s="17">
        <v>0</v>
      </c>
    </row>
    <row r="37" spans="1:7" x14ac:dyDescent="0.3">
      <c r="A37" s="16"/>
      <c r="B37" s="13"/>
      <c r="C37" s="12" t="s">
        <v>131</v>
      </c>
      <c r="D37" s="14"/>
      <c r="E37" s="132"/>
      <c r="F37" s="14"/>
      <c r="G37" s="16"/>
    </row>
    <row r="38" spans="1:7" x14ac:dyDescent="0.3">
      <c r="A38" s="16"/>
      <c r="B38" s="13"/>
      <c r="C38" s="13"/>
      <c r="D38" s="14" t="s">
        <v>132</v>
      </c>
      <c r="E38" s="132">
        <v>122272.72</v>
      </c>
      <c r="F38" s="14"/>
      <c r="G38" s="16">
        <v>72000</v>
      </c>
    </row>
    <row r="39" spans="1:7" ht="16.2" x14ac:dyDescent="0.3">
      <c r="A39" s="16"/>
      <c r="B39" s="13"/>
      <c r="C39" s="13"/>
      <c r="D39" s="27" t="s">
        <v>133</v>
      </c>
      <c r="E39" s="17">
        <v>122272.72</v>
      </c>
      <c r="F39" s="27"/>
      <c r="G39" s="17">
        <v>72000</v>
      </c>
    </row>
    <row r="40" spans="1:7" x14ac:dyDescent="0.3">
      <c r="A40" s="16"/>
      <c r="B40" s="13"/>
      <c r="C40" s="12" t="s">
        <v>138</v>
      </c>
      <c r="D40" s="14"/>
      <c r="E40" s="132"/>
      <c r="F40" s="14"/>
      <c r="G40" s="16"/>
    </row>
    <row r="41" spans="1:7" x14ac:dyDescent="0.3">
      <c r="A41" s="16"/>
      <c r="B41" s="13"/>
      <c r="C41" s="13"/>
      <c r="D41" s="14" t="s">
        <v>155</v>
      </c>
      <c r="E41" s="132">
        <v>17892130.602999996</v>
      </c>
      <c r="F41" s="14"/>
      <c r="G41" s="16">
        <v>3488426.21</v>
      </c>
    </row>
    <row r="42" spans="1:7" ht="16.2" x14ac:dyDescent="0.3">
      <c r="A42" s="16"/>
      <c r="B42" s="13"/>
      <c r="C42" s="12"/>
      <c r="D42" s="27" t="s">
        <v>140</v>
      </c>
      <c r="E42" s="17">
        <v>17892130.602999996</v>
      </c>
      <c r="F42" s="27"/>
      <c r="G42" s="17">
        <v>3488426.21</v>
      </c>
    </row>
    <row r="43" spans="1:7" x14ac:dyDescent="0.3">
      <c r="A43" s="16"/>
      <c r="B43" s="12" t="s">
        <v>142</v>
      </c>
      <c r="C43" s="12"/>
      <c r="D43" s="14"/>
      <c r="E43" s="17">
        <v>18443498.322999995</v>
      </c>
      <c r="F43" s="14"/>
      <c r="G43" s="17">
        <v>3692829.21</v>
      </c>
    </row>
    <row r="44" spans="1:7" x14ac:dyDescent="0.3">
      <c r="A44" s="12"/>
      <c r="B44" s="12" t="s">
        <v>143</v>
      </c>
      <c r="C44" s="12"/>
      <c r="D44" s="14"/>
      <c r="E44" s="132"/>
      <c r="F44" s="14"/>
      <c r="G44" s="16"/>
    </row>
    <row r="45" spans="1:7" x14ac:dyDescent="0.3">
      <c r="A45" s="16"/>
      <c r="B45" s="16"/>
      <c r="C45" s="12" t="s">
        <v>141</v>
      </c>
      <c r="D45" s="14"/>
      <c r="E45" s="132"/>
      <c r="F45" s="14"/>
      <c r="G45" s="16"/>
    </row>
    <row r="46" spans="1:7" x14ac:dyDescent="0.3">
      <c r="A46" s="16"/>
      <c r="B46" s="13"/>
      <c r="C46" s="13"/>
      <c r="D46" s="14" t="s">
        <v>141</v>
      </c>
      <c r="E46" s="132">
        <v>0</v>
      </c>
      <c r="F46" s="14"/>
      <c r="G46" s="16">
        <v>0</v>
      </c>
    </row>
    <row r="47" spans="1:7" ht="16.2" x14ac:dyDescent="0.3">
      <c r="A47" s="16"/>
      <c r="B47" s="13"/>
      <c r="C47" s="25" t="s">
        <v>144</v>
      </c>
      <c r="D47" s="14"/>
      <c r="E47" s="17">
        <v>0</v>
      </c>
      <c r="F47" s="14"/>
      <c r="G47" s="17">
        <v>0</v>
      </c>
    </row>
    <row r="48" spans="1:7" x14ac:dyDescent="0.3">
      <c r="A48" s="12" t="s">
        <v>145</v>
      </c>
      <c r="B48" s="13"/>
      <c r="C48" s="16"/>
      <c r="D48" s="14"/>
      <c r="E48" s="17">
        <v>18443498.322999995</v>
      </c>
      <c r="F48" s="14"/>
      <c r="G48" s="17">
        <v>3692829.21</v>
      </c>
    </row>
    <row r="49" spans="1:7" ht="16.2" x14ac:dyDescent="0.3">
      <c r="A49" s="12" t="s">
        <v>146</v>
      </c>
      <c r="B49" s="16"/>
      <c r="C49" s="25"/>
      <c r="D49" s="14"/>
      <c r="E49" s="132"/>
      <c r="F49" s="14"/>
      <c r="G49" s="21"/>
    </row>
    <row r="50" spans="1:7" x14ac:dyDescent="0.3">
      <c r="A50" s="16"/>
      <c r="B50" s="12"/>
      <c r="C50" s="13" t="s">
        <v>147</v>
      </c>
      <c r="D50" s="14"/>
      <c r="E50" s="132">
        <v>2098137.6299999994</v>
      </c>
      <c r="F50" s="14"/>
      <c r="G50" s="16">
        <v>2276169.02</v>
      </c>
    </row>
    <row r="51" spans="1:7" x14ac:dyDescent="0.3">
      <c r="A51" s="13"/>
      <c r="B51" s="13"/>
      <c r="C51" s="12" t="s">
        <v>149</v>
      </c>
      <c r="D51" s="14"/>
      <c r="E51" s="17"/>
      <c r="F51" s="14"/>
      <c r="G51" s="17">
        <v>2276169.02</v>
      </c>
    </row>
    <row r="52" spans="1:7" ht="16.2" thickBot="1" x14ac:dyDescent="0.35">
      <c r="A52" s="12" t="s">
        <v>150</v>
      </c>
      <c r="B52" s="16"/>
      <c r="C52" s="13"/>
      <c r="D52" s="14"/>
      <c r="E52" s="26">
        <v>18443498.322999995</v>
      </c>
      <c r="F52" s="14"/>
      <c r="G52" s="26">
        <v>5968998.2300000004</v>
      </c>
    </row>
    <row r="53" spans="1:7" ht="16.2" thickTop="1" x14ac:dyDescent="0.3"/>
  </sheetData>
  <sheetProtection algorithmName="SHA-512" hashValue="DOQSVIz0aUBGYlScBCesSvdgbcHLlSmwMe6i5rRq4wt7i9/rIFCj96Vd0MWsiP9imCo14eP8f+wagpEEohEW5w==" saltValue="0xiasLfZwUAeitWi+65hpA==" spinCount="100000" sheet="1" objects="1" scenarios="1" selectLockedCells="1" selectUnlockedCells="1"/>
  <printOptions horizontalCentered="1"/>
  <pageMargins left="1.49583333333333" right="1" top="0.76" bottom="0.54" header="0.511811023622047" footer="0.511811023622047"/>
  <pageSetup scale="84" firstPageNumber="0" fitToHeight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  <pageSetUpPr fitToPage="1"/>
  </sheetPr>
  <dimension ref="A1:G58"/>
  <sheetViews>
    <sheetView zoomScaleNormal="100" zoomScaleSheetLayoutView="100" workbookViewId="0"/>
  </sheetViews>
  <sheetFormatPr defaultColWidth="9.109375" defaultRowHeight="15.6" x14ac:dyDescent="0.3"/>
  <cols>
    <col min="1" max="1" width="2.33203125" style="1" customWidth="1"/>
    <col min="2" max="2" width="2.6640625" style="1" customWidth="1"/>
    <col min="3" max="3" width="3.6640625" style="2" customWidth="1"/>
    <col min="4" max="4" width="45.33203125" style="3" customWidth="1"/>
    <col min="5" max="5" width="15.88671875" style="130" bestFit="1" customWidth="1"/>
    <col min="6" max="6" width="2.109375" style="3" customWidth="1"/>
    <col min="7" max="7" width="18.44140625" style="1" customWidth="1"/>
    <col min="8" max="16384" width="9.109375" style="1"/>
  </cols>
  <sheetData>
    <row r="1" spans="1:7" x14ac:dyDescent="0.3">
      <c r="G1" s="4" t="s">
        <v>156</v>
      </c>
    </row>
    <row r="2" spans="1:7" ht="16.2" x14ac:dyDescent="0.3">
      <c r="A2" s="5" t="s">
        <v>2</v>
      </c>
      <c r="B2" s="6"/>
    </row>
    <row r="3" spans="1:7" x14ac:dyDescent="0.3">
      <c r="A3" s="5" t="s">
        <v>3</v>
      </c>
      <c r="B3" s="7"/>
    </row>
    <row r="4" spans="1:7" x14ac:dyDescent="0.3">
      <c r="A4" s="5" t="s">
        <v>4</v>
      </c>
      <c r="B4" s="7"/>
    </row>
    <row r="5" spans="1:7" x14ac:dyDescent="0.3">
      <c r="A5" s="5" t="s">
        <v>5</v>
      </c>
      <c r="B5" s="7"/>
    </row>
    <row r="6" spans="1:7" x14ac:dyDescent="0.3">
      <c r="A6" s="5" t="s">
        <v>157</v>
      </c>
      <c r="B6" s="7"/>
    </row>
    <row r="7" spans="1:7" x14ac:dyDescent="0.3">
      <c r="A7" s="32" t="s">
        <v>462</v>
      </c>
      <c r="B7" s="8"/>
    </row>
    <row r="8" spans="1:7" x14ac:dyDescent="0.3">
      <c r="A8" s="33" t="s">
        <v>463</v>
      </c>
      <c r="B8" s="9"/>
    </row>
    <row r="9" spans="1:7" x14ac:dyDescent="0.3">
      <c r="A9" s="10"/>
      <c r="B9" s="10"/>
      <c r="C9" s="11"/>
      <c r="D9" s="11"/>
      <c r="E9" s="15">
        <v>2025</v>
      </c>
      <c r="F9" s="11"/>
      <c r="G9" s="15">
        <v>2024</v>
      </c>
    </row>
    <row r="10" spans="1:7" x14ac:dyDescent="0.3">
      <c r="A10" s="12" t="s">
        <v>7</v>
      </c>
      <c r="B10" s="12"/>
      <c r="C10" s="13"/>
      <c r="D10" s="14"/>
      <c r="E10" s="132"/>
      <c r="F10" s="14"/>
      <c r="G10" s="16"/>
    </row>
    <row r="11" spans="1:7" x14ac:dyDescent="0.3">
      <c r="A11" s="12" t="s">
        <v>8</v>
      </c>
      <c r="B11" s="12"/>
      <c r="C11" s="13"/>
      <c r="D11" s="14"/>
      <c r="E11" s="132"/>
      <c r="F11" s="14"/>
      <c r="G11" s="16"/>
    </row>
    <row r="12" spans="1:7" x14ac:dyDescent="0.3">
      <c r="A12" s="12"/>
      <c r="B12" s="12" t="s">
        <v>9</v>
      </c>
      <c r="C12" s="13"/>
      <c r="D12" s="14"/>
      <c r="E12" s="132"/>
      <c r="F12" s="14"/>
      <c r="G12" s="16"/>
    </row>
    <row r="13" spans="1:7" x14ac:dyDescent="0.3">
      <c r="A13" s="13"/>
      <c r="B13" s="13"/>
      <c r="C13" s="12" t="s">
        <v>10</v>
      </c>
      <c r="D13" s="14"/>
      <c r="E13" s="132"/>
      <c r="F13" s="14"/>
      <c r="G13" s="16"/>
    </row>
    <row r="14" spans="1:7" x14ac:dyDescent="0.3">
      <c r="A14" s="13"/>
      <c r="B14" s="13"/>
      <c r="C14" s="13"/>
      <c r="D14" s="14" t="s">
        <v>11</v>
      </c>
      <c r="E14" s="132">
        <v>3088497.58</v>
      </c>
      <c r="F14" s="14"/>
      <c r="G14" s="16">
        <v>2487515.61</v>
      </c>
    </row>
    <row r="15" spans="1:7" x14ac:dyDescent="0.3">
      <c r="A15" s="13"/>
      <c r="B15" s="13"/>
      <c r="C15" s="12" t="s">
        <v>12</v>
      </c>
      <c r="D15" s="14"/>
      <c r="E15" s="132"/>
      <c r="F15" s="14"/>
      <c r="G15" s="16">
        <v>0</v>
      </c>
    </row>
    <row r="16" spans="1:7" x14ac:dyDescent="0.3">
      <c r="A16" s="13"/>
      <c r="B16" s="13"/>
      <c r="C16" s="13"/>
      <c r="D16" s="14" t="s">
        <v>13</v>
      </c>
      <c r="E16" s="132">
        <v>19013784.530000031</v>
      </c>
      <c r="F16" s="14"/>
      <c r="G16" s="16">
        <v>31647100.010000002</v>
      </c>
    </row>
    <row r="17" spans="1:7" x14ac:dyDescent="0.3">
      <c r="A17" s="13"/>
      <c r="B17" s="13"/>
      <c r="C17" s="12" t="s">
        <v>14</v>
      </c>
      <c r="D17" s="14"/>
      <c r="E17" s="17">
        <v>22102282.110000029</v>
      </c>
      <c r="F17" s="14"/>
      <c r="G17" s="17">
        <v>34134615.620000005</v>
      </c>
    </row>
    <row r="18" spans="1:7" x14ac:dyDescent="0.3">
      <c r="A18" s="16"/>
      <c r="B18" s="13"/>
      <c r="C18" s="12" t="s">
        <v>20</v>
      </c>
      <c r="D18" s="14"/>
      <c r="E18" s="132"/>
      <c r="F18" s="14"/>
      <c r="G18" s="16"/>
    </row>
    <row r="19" spans="1:7" x14ac:dyDescent="0.3">
      <c r="A19" s="16"/>
      <c r="B19" s="13"/>
      <c r="C19" s="13"/>
      <c r="D19" s="14" t="s">
        <v>21</v>
      </c>
      <c r="E19" s="132">
        <v>230381.97000000093</v>
      </c>
      <c r="F19" s="14"/>
      <c r="G19" s="34">
        <v>109109.25</v>
      </c>
    </row>
    <row r="20" spans="1:7" x14ac:dyDescent="0.3">
      <c r="A20" s="13"/>
      <c r="B20" s="13"/>
      <c r="C20" s="13"/>
      <c r="D20" s="14" t="s">
        <v>25</v>
      </c>
      <c r="E20" s="132"/>
      <c r="F20" s="14"/>
      <c r="G20" s="34">
        <v>81468</v>
      </c>
    </row>
    <row r="21" spans="1:7" x14ac:dyDescent="0.3">
      <c r="A21" s="16"/>
      <c r="B21" s="13"/>
      <c r="C21" s="12" t="s">
        <v>29</v>
      </c>
      <c r="D21" s="14"/>
      <c r="E21" s="17">
        <v>230381.97000000093</v>
      </c>
      <c r="F21" s="14"/>
      <c r="G21" s="17">
        <v>190577.25</v>
      </c>
    </row>
    <row r="22" spans="1:7" x14ac:dyDescent="0.3">
      <c r="A22" s="12" t="s">
        <v>38</v>
      </c>
      <c r="B22" s="13"/>
      <c r="C22" s="12"/>
      <c r="D22" s="14"/>
      <c r="E22" s="17">
        <v>22332664.080000032</v>
      </c>
      <c r="F22" s="14"/>
      <c r="G22" s="17">
        <v>34325192.870000005</v>
      </c>
    </row>
    <row r="23" spans="1:7" x14ac:dyDescent="0.3">
      <c r="A23" s="12" t="s">
        <v>465</v>
      </c>
      <c r="B23" s="13"/>
      <c r="C23" s="12"/>
      <c r="D23" s="14"/>
      <c r="E23" s="135"/>
      <c r="F23" s="14"/>
      <c r="G23" s="135"/>
    </row>
    <row r="24" spans="1:7" x14ac:dyDescent="0.3">
      <c r="A24" s="12"/>
      <c r="B24" s="12" t="s">
        <v>15</v>
      </c>
      <c r="C24" s="12"/>
      <c r="D24" s="14"/>
      <c r="E24" s="21"/>
      <c r="F24" s="14"/>
      <c r="G24" s="21"/>
    </row>
    <row r="25" spans="1:7" x14ac:dyDescent="0.3">
      <c r="A25" s="12"/>
      <c r="B25" s="13"/>
      <c r="C25" s="12" t="s">
        <v>25</v>
      </c>
      <c r="D25" s="14"/>
      <c r="E25" s="21"/>
      <c r="F25" s="14"/>
      <c r="G25" s="21"/>
    </row>
    <row r="26" spans="1:7" x14ac:dyDescent="0.3">
      <c r="A26" s="12"/>
      <c r="B26" s="13"/>
      <c r="C26" s="12"/>
      <c r="D26" s="14" t="s">
        <v>25</v>
      </c>
      <c r="E26" s="132">
        <v>81816.75</v>
      </c>
      <c r="F26" s="14"/>
      <c r="G26" s="21">
        <v>0</v>
      </c>
    </row>
    <row r="27" spans="1:7" x14ac:dyDescent="0.3">
      <c r="A27" s="12"/>
      <c r="B27" s="13"/>
      <c r="C27" s="12" t="s">
        <v>29</v>
      </c>
      <c r="D27" s="14"/>
      <c r="E27" s="17">
        <v>81816.75</v>
      </c>
      <c r="F27" s="14"/>
      <c r="G27" s="17">
        <v>0</v>
      </c>
    </row>
    <row r="28" spans="1:7" x14ac:dyDescent="0.3">
      <c r="A28" s="12" t="s">
        <v>113</v>
      </c>
      <c r="B28" s="13"/>
      <c r="C28" s="12"/>
      <c r="D28" s="14"/>
      <c r="E28" s="135">
        <v>81816.75</v>
      </c>
      <c r="F28" s="14"/>
      <c r="G28" s="135"/>
    </row>
    <row r="29" spans="1:7" ht="16.2" thickBot="1" x14ac:dyDescent="0.35">
      <c r="A29" s="12" t="s">
        <v>114</v>
      </c>
      <c r="B29" s="13"/>
      <c r="C29" s="13"/>
      <c r="D29" s="14"/>
      <c r="E29" s="26">
        <v>22414480.830000032</v>
      </c>
      <c r="F29" s="14"/>
      <c r="G29" s="26">
        <v>34325192.870000005</v>
      </c>
    </row>
    <row r="30" spans="1:7" ht="16.2" thickTop="1" x14ac:dyDescent="0.3">
      <c r="A30" s="12"/>
      <c r="B30" s="13"/>
      <c r="C30" s="13"/>
      <c r="D30" s="14"/>
      <c r="E30" s="132"/>
      <c r="F30" s="14"/>
      <c r="G30" s="16"/>
    </row>
    <row r="31" spans="1:7" x14ac:dyDescent="0.3">
      <c r="A31" s="12" t="s">
        <v>115</v>
      </c>
      <c r="B31" s="12"/>
      <c r="C31" s="12"/>
      <c r="D31" s="14"/>
      <c r="E31" s="132"/>
      <c r="F31" s="14"/>
      <c r="G31" s="16"/>
    </row>
    <row r="32" spans="1:7" x14ac:dyDescent="0.3">
      <c r="A32" s="12"/>
      <c r="B32" s="12" t="s">
        <v>116</v>
      </c>
      <c r="C32" s="12"/>
      <c r="D32" s="14"/>
      <c r="E32" s="132"/>
      <c r="F32" s="14"/>
      <c r="G32" s="16"/>
    </row>
    <row r="33" spans="1:7" x14ac:dyDescent="0.3">
      <c r="A33" s="12"/>
      <c r="B33" s="12"/>
      <c r="C33" s="12" t="s">
        <v>117</v>
      </c>
      <c r="D33" s="14"/>
      <c r="E33" s="132"/>
      <c r="F33" s="14"/>
      <c r="G33" s="16"/>
    </row>
    <row r="34" spans="1:7" x14ac:dyDescent="0.3">
      <c r="A34" s="12"/>
      <c r="B34" s="12"/>
      <c r="C34" s="12"/>
      <c r="D34" s="14" t="s">
        <v>119</v>
      </c>
      <c r="E34" s="132">
        <v>0</v>
      </c>
      <c r="F34" s="14"/>
      <c r="G34" s="35">
        <v>312238.74</v>
      </c>
    </row>
    <row r="35" spans="1:7" ht="16.2" x14ac:dyDescent="0.3">
      <c r="A35" s="12"/>
      <c r="B35" s="12"/>
      <c r="C35" s="12"/>
      <c r="D35" s="27" t="s">
        <v>121</v>
      </c>
      <c r="E35" s="21">
        <v>0</v>
      </c>
      <c r="F35" s="27"/>
      <c r="G35" s="21">
        <v>312238.74</v>
      </c>
    </row>
    <row r="36" spans="1:7" x14ac:dyDescent="0.3">
      <c r="A36" s="13"/>
      <c r="B36" s="13"/>
      <c r="C36" s="12" t="s">
        <v>122</v>
      </c>
      <c r="D36" s="14"/>
      <c r="E36" s="132"/>
      <c r="F36" s="14"/>
      <c r="G36" s="16"/>
    </row>
    <row r="37" spans="1:7" x14ac:dyDescent="0.3">
      <c r="A37" s="13"/>
      <c r="B37" s="13"/>
      <c r="C37" s="13"/>
      <c r="D37" s="14" t="s">
        <v>123</v>
      </c>
      <c r="E37" s="132">
        <v>32222.012785714163</v>
      </c>
      <c r="F37" s="14"/>
      <c r="G37" s="34">
        <v>13506.22</v>
      </c>
    </row>
    <row r="38" spans="1:7" x14ac:dyDescent="0.3">
      <c r="A38" s="16"/>
      <c r="B38" s="13"/>
      <c r="C38" s="13"/>
      <c r="D38" s="14" t="s">
        <v>127</v>
      </c>
      <c r="E38" s="132">
        <v>6096459.4400000004</v>
      </c>
      <c r="F38" s="14"/>
      <c r="G38" s="16">
        <v>23565130.100000001</v>
      </c>
    </row>
    <row r="39" spans="1:7" x14ac:dyDescent="0.3">
      <c r="A39" s="16"/>
      <c r="B39" s="13"/>
      <c r="C39" s="13"/>
      <c r="D39" s="14" t="s">
        <v>128</v>
      </c>
      <c r="E39" s="132">
        <v>0</v>
      </c>
      <c r="F39" s="14"/>
      <c r="G39" s="16">
        <v>242446.4</v>
      </c>
    </row>
    <row r="40" spans="1:7" x14ac:dyDescent="0.3">
      <c r="A40" s="16"/>
      <c r="B40" s="13"/>
      <c r="C40" s="13"/>
      <c r="D40" s="14" t="s">
        <v>129</v>
      </c>
      <c r="E40" s="132">
        <v>6563402.9399999995</v>
      </c>
      <c r="F40" s="14"/>
      <c r="G40" s="34">
        <v>1415311.55</v>
      </c>
    </row>
    <row r="41" spans="1:7" ht="16.2" x14ac:dyDescent="0.3">
      <c r="A41" s="16"/>
      <c r="B41" s="13"/>
      <c r="C41" s="13"/>
      <c r="D41" s="27" t="s">
        <v>130</v>
      </c>
      <c r="E41" s="17">
        <v>12692084.392785713</v>
      </c>
      <c r="F41" s="27"/>
      <c r="G41" s="17">
        <v>25236394.27</v>
      </c>
    </row>
    <row r="42" spans="1:7" x14ac:dyDescent="0.3">
      <c r="A42" s="16"/>
      <c r="B42" s="13"/>
      <c r="C42" s="12" t="s">
        <v>131</v>
      </c>
      <c r="D42" s="14"/>
      <c r="E42" s="132"/>
      <c r="F42" s="14"/>
      <c r="G42" s="16"/>
    </row>
    <row r="43" spans="1:7" x14ac:dyDescent="0.3">
      <c r="A43" s="16"/>
      <c r="B43" s="13"/>
      <c r="C43" s="13"/>
      <c r="D43" s="14" t="s">
        <v>132</v>
      </c>
      <c r="E43" s="132">
        <v>761796.06899999804</v>
      </c>
      <c r="F43" s="14"/>
      <c r="G43" s="16">
        <v>150532</v>
      </c>
    </row>
    <row r="44" spans="1:7" ht="16.2" x14ac:dyDescent="0.3">
      <c r="A44" s="16"/>
      <c r="B44" s="13"/>
      <c r="C44" s="13"/>
      <c r="D44" s="27" t="s">
        <v>133</v>
      </c>
      <c r="E44" s="17">
        <v>761796.06899999804</v>
      </c>
      <c r="F44" s="27"/>
      <c r="G44" s="17">
        <v>150532</v>
      </c>
    </row>
    <row r="45" spans="1:7" x14ac:dyDescent="0.3">
      <c r="A45" s="16"/>
      <c r="B45" s="13"/>
      <c r="C45" s="12" t="s">
        <v>134</v>
      </c>
      <c r="D45" s="14"/>
      <c r="E45" s="132"/>
      <c r="F45" s="14"/>
      <c r="G45" s="16"/>
    </row>
    <row r="46" spans="1:7" ht="31.2" x14ac:dyDescent="0.3">
      <c r="A46" s="16"/>
      <c r="B46" s="13"/>
      <c r="C46" s="12"/>
      <c r="D46" s="14" t="s">
        <v>158</v>
      </c>
      <c r="E46" s="132">
        <v>5384512.4699999997</v>
      </c>
      <c r="F46" s="14"/>
      <c r="G46" s="132">
        <v>4079785.43</v>
      </c>
    </row>
    <row r="47" spans="1:7" x14ac:dyDescent="0.3">
      <c r="A47" s="16"/>
      <c r="B47" s="13"/>
      <c r="C47" s="13"/>
      <c r="D47" s="14" t="s">
        <v>136</v>
      </c>
      <c r="E47" s="132">
        <v>3218686.1900000013</v>
      </c>
      <c r="F47" s="14"/>
      <c r="G47" s="16">
        <v>4190700.74</v>
      </c>
    </row>
    <row r="48" spans="1:7" ht="16.2" x14ac:dyDescent="0.3">
      <c r="A48" s="16"/>
      <c r="B48" s="13"/>
      <c r="C48" s="12"/>
      <c r="D48" s="27" t="s">
        <v>137</v>
      </c>
      <c r="E48" s="17">
        <v>8603198.6600000001</v>
      </c>
      <c r="F48" s="27"/>
      <c r="G48" s="17">
        <v>8270486.1699999999</v>
      </c>
    </row>
    <row r="49" spans="1:7" x14ac:dyDescent="0.3">
      <c r="A49" s="16"/>
      <c r="B49" s="16"/>
      <c r="C49" s="12" t="s">
        <v>141</v>
      </c>
      <c r="D49" s="14"/>
      <c r="E49" s="132"/>
      <c r="F49" s="14"/>
      <c r="G49" s="16"/>
    </row>
    <row r="50" spans="1:7" x14ac:dyDescent="0.3">
      <c r="A50" s="16"/>
      <c r="B50" s="13"/>
      <c r="C50" s="13"/>
      <c r="D50" s="14" t="s">
        <v>141</v>
      </c>
      <c r="E50" s="132">
        <v>357401.70999999996</v>
      </c>
      <c r="F50" s="14"/>
      <c r="G50" s="34">
        <v>355541.69</v>
      </c>
    </row>
    <row r="51" spans="1:7" x14ac:dyDescent="0.3">
      <c r="A51" s="16"/>
      <c r="B51" s="12" t="s">
        <v>142</v>
      </c>
      <c r="C51" s="12"/>
      <c r="D51" s="14"/>
      <c r="E51" s="17">
        <v>22414480.831785712</v>
      </c>
      <c r="F51" s="14"/>
      <c r="G51" s="17">
        <v>34325192.869999997</v>
      </c>
    </row>
    <row r="52" spans="1:7" x14ac:dyDescent="0.3">
      <c r="A52" s="12" t="s">
        <v>145</v>
      </c>
      <c r="B52" s="13"/>
      <c r="C52" s="16"/>
      <c r="D52" s="14"/>
      <c r="E52" s="17">
        <v>22414480.831785712</v>
      </c>
      <c r="F52" s="14"/>
      <c r="G52" s="17">
        <v>34325192.869999997</v>
      </c>
    </row>
    <row r="53" spans="1:7" ht="16.2" x14ac:dyDescent="0.3">
      <c r="A53" s="12" t="s">
        <v>146</v>
      </c>
      <c r="B53" s="16"/>
      <c r="C53" s="25"/>
      <c r="D53" s="14"/>
      <c r="E53" s="132"/>
      <c r="F53" s="14"/>
      <c r="G53" s="21"/>
    </row>
    <row r="54" spans="1:7" x14ac:dyDescent="0.3">
      <c r="A54" s="16"/>
      <c r="B54" s="12"/>
      <c r="C54" s="13" t="s">
        <v>147</v>
      </c>
      <c r="D54" s="14"/>
      <c r="E54" s="132">
        <v>0</v>
      </c>
      <c r="F54" s="14"/>
      <c r="G54" s="16">
        <v>0</v>
      </c>
    </row>
    <row r="55" spans="1:7" x14ac:dyDescent="0.3">
      <c r="A55" s="13"/>
      <c r="B55" s="13"/>
      <c r="C55" s="1" t="s">
        <v>148</v>
      </c>
      <c r="D55" s="31"/>
      <c r="E55" s="131">
        <v>0</v>
      </c>
      <c r="F55" s="31"/>
      <c r="G55" s="16">
        <v>0</v>
      </c>
    </row>
    <row r="56" spans="1:7" ht="16.2" thickBot="1" x14ac:dyDescent="0.35">
      <c r="A56" s="13"/>
      <c r="B56" s="13"/>
      <c r="C56" s="12" t="s">
        <v>149</v>
      </c>
      <c r="D56" s="14"/>
      <c r="E56" s="26">
        <v>22414480.831785712</v>
      </c>
      <c r="F56" s="14"/>
      <c r="G56" s="26">
        <v>34325192.869999997</v>
      </c>
    </row>
    <row r="57" spans="1:7" ht="16.8" thickTop="1" thickBot="1" x14ac:dyDescent="0.35">
      <c r="A57" s="12" t="s">
        <v>150</v>
      </c>
      <c r="B57" s="16"/>
      <c r="C57" s="13"/>
      <c r="D57" s="14"/>
      <c r="E57" s="26">
        <v>22414480.831785712</v>
      </c>
      <c r="F57" s="14"/>
      <c r="G57" s="26">
        <v>34325192.869999997</v>
      </c>
    </row>
    <row r="58" spans="1:7" ht="16.2" thickTop="1" x14ac:dyDescent="0.3"/>
  </sheetData>
  <sheetProtection algorithmName="SHA-512" hashValue="EzVEFVRXkGR5DF9Pl1IjPzNiAK8xPAhdF1UogMYyFuCVD29tTOWL0h/9/ikwtYQo2TpH6EQtMyjTM1ZhPBAG4g==" saltValue="2PmSO3KnWDW+XNNDyolAPA==" spinCount="100000" sheet="1" objects="1" scenarios="1" selectLockedCells="1" selectUnlockedCells="1"/>
  <printOptions horizontalCentered="1"/>
  <pageMargins left="1.49583333333333" right="1" top="1" bottom="1" header="0.511811023622047" footer="0.511811023622047"/>
  <pageSetup scale="86" firstPageNumber="0" fitToHeight="0" orientation="portrait" horizontalDpi="300" verticalDpi="300" r:id="rId1"/>
  <headerFooter alignWithMargins="0"/>
  <rowBreaks count="1" manualBreakCount="1">
    <brk id="48" max="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  <pageSetUpPr fitToPage="1"/>
  </sheetPr>
  <dimension ref="A1:I164"/>
  <sheetViews>
    <sheetView zoomScaleNormal="100" zoomScaleSheetLayoutView="100" workbookViewId="0"/>
  </sheetViews>
  <sheetFormatPr defaultColWidth="9.109375" defaultRowHeight="13.8" x14ac:dyDescent="0.25"/>
  <cols>
    <col min="1" max="1" width="2.5546875" style="147" customWidth="1"/>
    <col min="2" max="2" width="1.44140625" style="147" customWidth="1"/>
    <col min="3" max="3" width="3.6640625" style="147" customWidth="1"/>
    <col min="4" max="4" width="60" style="148" customWidth="1"/>
    <col min="5" max="5" width="16.88671875" style="149" bestFit="1" customWidth="1"/>
    <col min="6" max="6" width="2.33203125" style="148" customWidth="1"/>
    <col min="7" max="7" width="18.6640625" style="147" customWidth="1"/>
    <col min="8" max="16384" width="9.109375" style="147"/>
  </cols>
  <sheetData>
    <row r="1" spans="1:7" x14ac:dyDescent="0.25">
      <c r="C1" s="98"/>
      <c r="G1" s="98" t="s">
        <v>159</v>
      </c>
    </row>
    <row r="2" spans="1:7" x14ac:dyDescent="0.25">
      <c r="A2" s="150" t="s">
        <v>2</v>
      </c>
      <c r="B2" s="150"/>
      <c r="C2" s="20"/>
    </row>
    <row r="3" spans="1:7" x14ac:dyDescent="0.25">
      <c r="A3" s="150" t="s">
        <v>3</v>
      </c>
      <c r="B3" s="150"/>
      <c r="C3" s="20"/>
    </row>
    <row r="4" spans="1:7" x14ac:dyDescent="0.25">
      <c r="A4" s="150" t="s">
        <v>4</v>
      </c>
      <c r="B4" s="150"/>
      <c r="C4" s="20"/>
    </row>
    <row r="5" spans="1:7" x14ac:dyDescent="0.25">
      <c r="A5" s="150" t="s">
        <v>160</v>
      </c>
      <c r="B5" s="150"/>
      <c r="C5" s="20"/>
    </row>
    <row r="6" spans="1:7" x14ac:dyDescent="0.25">
      <c r="A6" s="150" t="s">
        <v>6</v>
      </c>
      <c r="B6" s="150"/>
      <c r="C6" s="20"/>
    </row>
    <row r="7" spans="1:7" x14ac:dyDescent="0.25">
      <c r="A7" s="55" t="s">
        <v>466</v>
      </c>
      <c r="B7" s="150"/>
      <c r="C7" s="20"/>
    </row>
    <row r="8" spans="1:7" x14ac:dyDescent="0.25">
      <c r="A8" s="19" t="s">
        <v>463</v>
      </c>
      <c r="C8" s="20"/>
    </row>
    <row r="9" spans="1:7" ht="10.5" customHeight="1" x14ac:dyDescent="0.25">
      <c r="A9" s="19"/>
      <c r="C9" s="20"/>
    </row>
    <row r="10" spans="1:7" x14ac:dyDescent="0.25">
      <c r="A10" s="151"/>
      <c r="B10" s="151"/>
      <c r="C10" s="152"/>
      <c r="E10" s="153">
        <v>2025</v>
      </c>
      <c r="G10" s="153">
        <v>2024</v>
      </c>
    </row>
    <row r="11" spans="1:7" x14ac:dyDescent="0.25">
      <c r="A11" s="147" t="s">
        <v>161</v>
      </c>
      <c r="D11" s="147"/>
      <c r="E11" s="154"/>
      <c r="F11" s="147"/>
    </row>
    <row r="12" spans="1:7" x14ac:dyDescent="0.25">
      <c r="A12" s="155"/>
      <c r="B12" s="156" t="s">
        <v>162</v>
      </c>
      <c r="C12" s="155"/>
      <c r="D12" s="157"/>
      <c r="E12" s="158"/>
      <c r="F12" s="157"/>
      <c r="G12" s="155"/>
    </row>
    <row r="13" spans="1:7" x14ac:dyDescent="0.25">
      <c r="A13" s="155"/>
      <c r="B13" s="155"/>
      <c r="C13" s="159" t="s">
        <v>163</v>
      </c>
      <c r="D13" s="160"/>
      <c r="E13" s="158"/>
      <c r="F13" s="160"/>
      <c r="G13" s="161"/>
    </row>
    <row r="14" spans="1:7" x14ac:dyDescent="0.25">
      <c r="A14" s="155"/>
      <c r="B14" s="155"/>
      <c r="C14" s="161"/>
      <c r="D14" s="160" t="s">
        <v>164</v>
      </c>
      <c r="E14" s="158">
        <v>447425.60499999998</v>
      </c>
      <c r="F14" s="160"/>
      <c r="G14" s="161">
        <v>286821.55</v>
      </c>
    </row>
    <row r="15" spans="1:7" x14ac:dyDescent="0.25">
      <c r="A15" s="155"/>
      <c r="B15" s="155"/>
      <c r="C15" s="159" t="s">
        <v>165</v>
      </c>
      <c r="D15" s="160"/>
      <c r="E15" s="158"/>
      <c r="F15" s="160"/>
      <c r="G15" s="161"/>
    </row>
    <row r="16" spans="1:7" x14ac:dyDescent="0.25">
      <c r="A16" s="155"/>
      <c r="B16" s="155"/>
      <c r="C16" s="161"/>
      <c r="D16" s="160" t="s">
        <v>166</v>
      </c>
      <c r="E16" s="158">
        <v>1456739.1260000002</v>
      </c>
      <c r="F16" s="160"/>
      <c r="G16" s="161">
        <v>1755199.22</v>
      </c>
    </row>
    <row r="17" spans="1:7" x14ac:dyDescent="0.25">
      <c r="A17" s="155"/>
      <c r="B17" s="155"/>
      <c r="C17" s="159" t="s">
        <v>167</v>
      </c>
      <c r="D17" s="160"/>
      <c r="E17" s="158"/>
      <c r="F17" s="160"/>
      <c r="G17" s="161"/>
    </row>
    <row r="18" spans="1:7" x14ac:dyDescent="0.25">
      <c r="A18" s="155"/>
      <c r="B18" s="155"/>
      <c r="C18" s="161"/>
      <c r="D18" s="160" t="s">
        <v>168</v>
      </c>
      <c r="E18" s="158">
        <v>7115196.8599999985</v>
      </c>
      <c r="F18" s="160"/>
      <c r="G18" s="161">
        <v>6336297.4800000004</v>
      </c>
    </row>
    <row r="19" spans="1:7" x14ac:dyDescent="0.25">
      <c r="A19" s="155"/>
      <c r="B19" s="155"/>
      <c r="C19" s="161"/>
      <c r="D19" s="160" t="s">
        <v>169</v>
      </c>
      <c r="E19" s="158">
        <v>36990</v>
      </c>
      <c r="F19" s="160"/>
      <c r="G19" s="161">
        <v>81423</v>
      </c>
    </row>
    <row r="20" spans="1:7" x14ac:dyDescent="0.25">
      <c r="A20" s="155"/>
      <c r="B20" s="155"/>
      <c r="C20" s="161"/>
      <c r="D20" s="160" t="s">
        <v>170</v>
      </c>
      <c r="E20" s="158">
        <v>0</v>
      </c>
      <c r="F20" s="160"/>
      <c r="G20" s="161">
        <v>0</v>
      </c>
    </row>
    <row r="21" spans="1:7" x14ac:dyDescent="0.25">
      <c r="A21" s="155"/>
      <c r="B21" s="155"/>
      <c r="C21" s="161"/>
      <c r="D21" s="160" t="s">
        <v>171</v>
      </c>
      <c r="E21" s="158">
        <v>2928.2</v>
      </c>
      <c r="F21" s="160"/>
      <c r="G21" s="161">
        <v>6288</v>
      </c>
    </row>
    <row r="22" spans="1:7" x14ac:dyDescent="0.25">
      <c r="A22" s="155"/>
      <c r="B22" s="155"/>
      <c r="C22" s="159" t="s">
        <v>172</v>
      </c>
      <c r="D22" s="160"/>
      <c r="E22" s="158"/>
      <c r="F22" s="160"/>
      <c r="G22" s="161"/>
    </row>
    <row r="23" spans="1:7" x14ac:dyDescent="0.25">
      <c r="A23" s="155"/>
      <c r="B23" s="155"/>
      <c r="C23" s="159"/>
      <c r="D23" s="160" t="s">
        <v>173</v>
      </c>
      <c r="E23" s="158">
        <v>15343.82</v>
      </c>
      <c r="F23" s="160"/>
      <c r="G23" s="161">
        <v>15695</v>
      </c>
    </row>
    <row r="24" spans="1:7" x14ac:dyDescent="0.25">
      <c r="A24" s="155"/>
      <c r="B24" s="155"/>
      <c r="C24" s="161"/>
      <c r="D24" s="160" t="s">
        <v>174</v>
      </c>
      <c r="E24" s="158">
        <v>82445.868000000002</v>
      </c>
      <c r="F24" s="160"/>
      <c r="G24" s="161">
        <v>72.33</v>
      </c>
    </row>
    <row r="25" spans="1:7" x14ac:dyDescent="0.25">
      <c r="A25" s="155"/>
      <c r="B25" s="155"/>
      <c r="C25" s="156" t="s">
        <v>175</v>
      </c>
      <c r="D25" s="157"/>
      <c r="E25" s="162">
        <f>SUM(E13:E24)</f>
        <v>9157069.4789999984</v>
      </c>
      <c r="F25" s="157"/>
      <c r="G25" s="162">
        <f>SUM(G13:G24)</f>
        <v>8481796.5800000001</v>
      </c>
    </row>
    <row r="26" spans="1:7" x14ac:dyDescent="0.25">
      <c r="A26" s="155"/>
      <c r="B26" s="156" t="s">
        <v>176</v>
      </c>
      <c r="C26" s="156"/>
      <c r="D26" s="157"/>
      <c r="E26" s="158"/>
      <c r="F26" s="157"/>
      <c r="G26" s="155"/>
    </row>
    <row r="27" spans="1:7" x14ac:dyDescent="0.25">
      <c r="A27" s="155"/>
      <c r="B27" s="155"/>
      <c r="C27" s="159" t="s">
        <v>177</v>
      </c>
      <c r="D27" s="160"/>
      <c r="E27" s="162">
        <v>267630156</v>
      </c>
      <c r="F27" s="160"/>
      <c r="G27" s="162">
        <v>225475245</v>
      </c>
    </row>
    <row r="28" spans="1:7" x14ac:dyDescent="0.25">
      <c r="A28" s="155"/>
      <c r="B28" s="156" t="s">
        <v>178</v>
      </c>
      <c r="D28" s="160"/>
      <c r="E28" s="158"/>
      <c r="F28" s="160"/>
      <c r="G28" s="155"/>
    </row>
    <row r="29" spans="1:7" x14ac:dyDescent="0.25">
      <c r="A29" s="155"/>
      <c r="B29" s="155"/>
      <c r="C29" s="159"/>
      <c r="D29" s="160" t="s">
        <v>179</v>
      </c>
      <c r="E29" s="158">
        <v>0</v>
      </c>
      <c r="F29" s="160"/>
      <c r="G29" s="161">
        <v>13599588</v>
      </c>
    </row>
    <row r="30" spans="1:7" x14ac:dyDescent="0.25">
      <c r="A30" s="155"/>
      <c r="B30" s="155"/>
      <c r="C30" s="159"/>
      <c r="D30" s="157" t="s">
        <v>180</v>
      </c>
      <c r="E30" s="162">
        <f>SUM(E29)</f>
        <v>0</v>
      </c>
      <c r="F30" s="157"/>
      <c r="G30" s="162">
        <f>SUM(G29)</f>
        <v>13599588</v>
      </c>
    </row>
    <row r="31" spans="1:7" x14ac:dyDescent="0.25">
      <c r="A31" s="155"/>
      <c r="B31" s="156" t="s">
        <v>181</v>
      </c>
      <c r="C31" s="155"/>
      <c r="D31" s="157"/>
      <c r="E31" s="158"/>
      <c r="F31" s="157"/>
      <c r="G31" s="155"/>
    </row>
    <row r="32" spans="1:7" x14ac:dyDescent="0.25">
      <c r="A32" s="155"/>
      <c r="B32" s="155"/>
      <c r="C32" s="159" t="s">
        <v>182</v>
      </c>
      <c r="D32" s="160"/>
      <c r="E32" s="158"/>
      <c r="F32" s="160"/>
      <c r="G32" s="161"/>
    </row>
    <row r="33" spans="1:7" x14ac:dyDescent="0.25">
      <c r="A33" s="155"/>
      <c r="B33" s="155"/>
      <c r="C33" s="161"/>
      <c r="D33" s="163" t="s">
        <v>183</v>
      </c>
      <c r="E33" s="164">
        <v>1528397.7999999998</v>
      </c>
      <c r="F33" s="163"/>
      <c r="G33" s="161">
        <v>1332980.93</v>
      </c>
    </row>
    <row r="34" spans="1:7" x14ac:dyDescent="0.25">
      <c r="A34" s="155"/>
      <c r="B34" s="155"/>
      <c r="C34" s="161"/>
      <c r="D34" s="163" t="s">
        <v>184</v>
      </c>
      <c r="E34" s="164">
        <v>131768</v>
      </c>
      <c r="F34" s="163"/>
      <c r="G34" s="161">
        <v>54356</v>
      </c>
    </row>
    <row r="35" spans="1:7" x14ac:dyDescent="0.25">
      <c r="A35" s="155"/>
      <c r="B35" s="155"/>
      <c r="C35" s="161"/>
      <c r="D35" s="163" t="s">
        <v>185</v>
      </c>
      <c r="E35" s="164">
        <v>1119220</v>
      </c>
      <c r="F35" s="163"/>
      <c r="G35" s="165">
        <v>344060</v>
      </c>
    </row>
    <row r="36" spans="1:7" x14ac:dyDescent="0.25">
      <c r="A36" s="155"/>
      <c r="B36" s="155"/>
      <c r="C36" s="161"/>
      <c r="D36" s="163" t="s">
        <v>467</v>
      </c>
      <c r="E36" s="164">
        <v>96894.5</v>
      </c>
      <c r="F36" s="163"/>
      <c r="G36" s="165">
        <v>0</v>
      </c>
    </row>
    <row r="37" spans="1:7" x14ac:dyDescent="0.25">
      <c r="A37" s="155"/>
      <c r="B37" s="155"/>
      <c r="C37" s="161"/>
      <c r="D37" s="163" t="s">
        <v>186</v>
      </c>
      <c r="E37" s="164">
        <v>99600</v>
      </c>
      <c r="F37" s="163"/>
      <c r="G37" s="161">
        <v>101100</v>
      </c>
    </row>
    <row r="38" spans="1:7" x14ac:dyDescent="0.25">
      <c r="A38" s="155"/>
      <c r="B38" s="155"/>
      <c r="C38" s="161"/>
      <c r="D38" s="163" t="s">
        <v>187</v>
      </c>
      <c r="E38" s="164">
        <v>55920.439999999995</v>
      </c>
      <c r="F38" s="163"/>
      <c r="G38" s="161">
        <v>57898.5</v>
      </c>
    </row>
    <row r="39" spans="1:7" x14ac:dyDescent="0.25">
      <c r="A39" s="155"/>
      <c r="B39" s="155"/>
      <c r="C39" s="161"/>
      <c r="D39" s="163" t="s">
        <v>188</v>
      </c>
      <c r="E39" s="164">
        <v>1495470</v>
      </c>
      <c r="F39" s="163"/>
      <c r="G39" s="161">
        <v>1425960.5</v>
      </c>
    </row>
    <row r="40" spans="1:7" x14ac:dyDescent="0.25">
      <c r="A40" s="155"/>
      <c r="B40" s="155"/>
      <c r="C40" s="159" t="s">
        <v>189</v>
      </c>
      <c r="D40" s="160"/>
      <c r="E40" s="158"/>
      <c r="F40" s="160"/>
      <c r="G40" s="161"/>
    </row>
    <row r="41" spans="1:7" x14ac:dyDescent="0.25">
      <c r="A41" s="155"/>
      <c r="B41" s="155"/>
      <c r="C41" s="161"/>
      <c r="D41" s="163" t="s">
        <v>190</v>
      </c>
      <c r="E41" s="164">
        <v>2912271.75</v>
      </c>
      <c r="F41" s="163"/>
      <c r="G41" s="161">
        <v>1867076</v>
      </c>
    </row>
    <row r="42" spans="1:7" x14ac:dyDescent="0.25">
      <c r="A42" s="155"/>
      <c r="B42" s="155"/>
      <c r="C42" s="161"/>
      <c r="D42" s="163" t="s">
        <v>191</v>
      </c>
      <c r="E42" s="164">
        <v>927200</v>
      </c>
      <c r="F42" s="163"/>
      <c r="G42" s="161">
        <v>895300</v>
      </c>
    </row>
    <row r="43" spans="1:7" x14ac:dyDescent="0.25">
      <c r="A43" s="155"/>
      <c r="B43" s="155"/>
      <c r="C43" s="161"/>
      <c r="D43" s="163" t="s">
        <v>192</v>
      </c>
      <c r="E43" s="164">
        <v>226740</v>
      </c>
      <c r="F43" s="163"/>
      <c r="G43" s="161">
        <v>223270</v>
      </c>
    </row>
    <row r="44" spans="1:7" x14ac:dyDescent="0.25">
      <c r="A44" s="155"/>
      <c r="B44" s="155"/>
      <c r="C44" s="161"/>
      <c r="D44" s="163" t="s">
        <v>193</v>
      </c>
      <c r="E44" s="164">
        <v>22600</v>
      </c>
      <c r="F44" s="163"/>
      <c r="G44" s="161">
        <v>12900</v>
      </c>
    </row>
    <row r="45" spans="1:7" x14ac:dyDescent="0.25">
      <c r="A45" s="155"/>
      <c r="B45" s="155"/>
      <c r="C45" s="161"/>
      <c r="D45" s="163" t="s">
        <v>194</v>
      </c>
      <c r="E45" s="164">
        <v>137138</v>
      </c>
      <c r="F45" s="163"/>
      <c r="G45" s="161">
        <v>69770</v>
      </c>
    </row>
    <row r="46" spans="1:7" x14ac:dyDescent="0.25">
      <c r="A46" s="155"/>
      <c r="B46" s="155"/>
      <c r="C46" s="161"/>
      <c r="D46" s="163" t="s">
        <v>195</v>
      </c>
      <c r="E46" s="164">
        <v>3000</v>
      </c>
      <c r="F46" s="163"/>
      <c r="G46" s="161">
        <v>2950</v>
      </c>
    </row>
    <row r="47" spans="1:7" x14ac:dyDescent="0.25">
      <c r="A47" s="155"/>
      <c r="B47" s="155"/>
      <c r="C47" s="161"/>
      <c r="D47" s="163" t="s">
        <v>196</v>
      </c>
      <c r="E47" s="164">
        <v>104004.79000000001</v>
      </c>
      <c r="F47" s="163"/>
      <c r="G47" s="165">
        <v>110833.8</v>
      </c>
    </row>
    <row r="48" spans="1:7" x14ac:dyDescent="0.25">
      <c r="A48" s="155"/>
      <c r="B48" s="155"/>
      <c r="C48" s="161"/>
      <c r="D48" s="163" t="s">
        <v>197</v>
      </c>
      <c r="E48" s="164">
        <v>227873.12000000002</v>
      </c>
      <c r="F48" s="163"/>
      <c r="G48" s="161">
        <v>217170.53</v>
      </c>
    </row>
    <row r="49" spans="1:7" x14ac:dyDescent="0.25">
      <c r="A49" s="155"/>
      <c r="B49" s="155"/>
      <c r="C49" s="161"/>
      <c r="D49" s="163" t="s">
        <v>198</v>
      </c>
      <c r="E49" s="164">
        <v>296</v>
      </c>
      <c r="F49" s="163"/>
      <c r="G49" s="161">
        <v>693</v>
      </c>
    </row>
    <row r="50" spans="1:7" x14ac:dyDescent="0.25">
      <c r="A50" s="155"/>
      <c r="B50" s="155"/>
      <c r="C50" s="155"/>
      <c r="D50" s="166" t="s">
        <v>199</v>
      </c>
      <c r="E50" s="162">
        <f>SUM(E33:E49)</f>
        <v>9088394.3999999985</v>
      </c>
      <c r="F50" s="166"/>
      <c r="G50" s="162">
        <f>SUM(G33:G49)</f>
        <v>6716319.2599999998</v>
      </c>
    </row>
    <row r="51" spans="1:7" x14ac:dyDescent="0.25">
      <c r="A51" s="155"/>
      <c r="B51" s="155"/>
      <c r="C51" s="159" t="s">
        <v>502</v>
      </c>
      <c r="D51" s="166"/>
      <c r="E51" s="155"/>
      <c r="F51" s="166"/>
      <c r="G51" s="167"/>
    </row>
    <row r="52" spans="1:7" x14ac:dyDescent="0.25">
      <c r="A52" s="155"/>
      <c r="B52" s="155"/>
      <c r="C52" s="159"/>
      <c r="D52" s="163" t="s">
        <v>504</v>
      </c>
      <c r="E52" s="161">
        <v>39820764.689999998</v>
      </c>
      <c r="F52" s="166"/>
      <c r="G52" s="161">
        <v>0</v>
      </c>
    </row>
    <row r="53" spans="1:7" x14ac:dyDescent="0.25">
      <c r="A53" s="155"/>
      <c r="B53" s="155"/>
      <c r="C53" s="155"/>
      <c r="D53" s="166" t="s">
        <v>503</v>
      </c>
      <c r="E53" s="168">
        <f>E52</f>
        <v>39820764.689999998</v>
      </c>
      <c r="F53" s="166"/>
      <c r="G53" s="167">
        <f>G52</f>
        <v>0</v>
      </c>
    </row>
    <row r="54" spans="1:7" x14ac:dyDescent="0.25">
      <c r="A54" s="155"/>
      <c r="B54" s="155"/>
      <c r="C54" s="161" t="s">
        <v>200</v>
      </c>
      <c r="D54" s="166"/>
      <c r="E54" s="164"/>
      <c r="F54" s="166"/>
      <c r="G54" s="167"/>
    </row>
    <row r="55" spans="1:7" x14ac:dyDescent="0.25">
      <c r="A55" s="155"/>
      <c r="B55" s="155"/>
      <c r="C55" s="161"/>
      <c r="D55" s="169" t="s">
        <v>201</v>
      </c>
      <c r="E55" s="170">
        <v>190347.5</v>
      </c>
      <c r="F55" s="169"/>
      <c r="G55" s="161">
        <v>0</v>
      </c>
    </row>
    <row r="56" spans="1:7" x14ac:dyDescent="0.25">
      <c r="A56" s="155"/>
      <c r="B56" s="155"/>
      <c r="C56" s="161"/>
      <c r="D56" s="163" t="s">
        <v>202</v>
      </c>
      <c r="E56" s="164">
        <v>314507.06</v>
      </c>
      <c r="F56" s="163"/>
      <c r="G56" s="171">
        <v>266909.46000000002</v>
      </c>
    </row>
    <row r="57" spans="1:7" x14ac:dyDescent="0.25">
      <c r="A57" s="155"/>
      <c r="B57" s="155"/>
      <c r="C57" s="161"/>
      <c r="D57" s="166" t="s">
        <v>203</v>
      </c>
      <c r="E57" s="162">
        <f>SUM(E55:E56)</f>
        <v>504854.56</v>
      </c>
      <c r="F57" s="166"/>
      <c r="G57" s="162">
        <f>SUM(G55:G56)</f>
        <v>266909.46000000002</v>
      </c>
    </row>
    <row r="58" spans="1:7" x14ac:dyDescent="0.25">
      <c r="A58" s="156" t="s">
        <v>204</v>
      </c>
      <c r="B58" s="155"/>
      <c r="C58" s="155"/>
      <c r="D58" s="157"/>
      <c r="E58" s="162">
        <f>SUM(E25,E27,E30,E50,E53,E57)</f>
        <v>326201239.12899995</v>
      </c>
      <c r="F58" s="157"/>
      <c r="G58" s="162">
        <f>SUM(G25,G27,G30,G50,G57)</f>
        <v>254539858.30000001</v>
      </c>
    </row>
    <row r="59" spans="1:7" x14ac:dyDescent="0.25">
      <c r="A59" s="156" t="s">
        <v>205</v>
      </c>
      <c r="B59" s="155"/>
      <c r="C59" s="155"/>
      <c r="D59" s="157"/>
      <c r="E59" s="158"/>
      <c r="F59" s="157"/>
      <c r="G59" s="155"/>
    </row>
    <row r="60" spans="1:7" x14ac:dyDescent="0.25">
      <c r="A60" s="155"/>
      <c r="B60" s="156" t="s">
        <v>206</v>
      </c>
      <c r="C60" s="155"/>
      <c r="D60" s="172"/>
      <c r="E60" s="173"/>
      <c r="F60" s="172"/>
      <c r="G60" s="155"/>
    </row>
    <row r="61" spans="1:7" x14ac:dyDescent="0.25">
      <c r="A61" s="155"/>
      <c r="B61" s="156"/>
      <c r="C61" s="159" t="s">
        <v>207</v>
      </c>
      <c r="D61" s="174"/>
      <c r="E61" s="173"/>
      <c r="F61" s="174"/>
      <c r="G61" s="161"/>
    </row>
    <row r="62" spans="1:7" x14ac:dyDescent="0.25">
      <c r="A62" s="155"/>
      <c r="B62" s="156"/>
      <c r="C62" s="159"/>
      <c r="D62" s="163" t="s">
        <v>208</v>
      </c>
      <c r="E62" s="164">
        <v>46192277.689999998</v>
      </c>
      <c r="F62" s="163"/>
      <c r="G62" s="161">
        <v>37771857.189999998</v>
      </c>
    </row>
    <row r="63" spans="1:7" x14ac:dyDescent="0.25">
      <c r="A63" s="155"/>
      <c r="B63" s="156"/>
      <c r="C63" s="159"/>
      <c r="D63" s="163" t="s">
        <v>209</v>
      </c>
      <c r="E63" s="164">
        <v>6292245.2599999998</v>
      </c>
      <c r="F63" s="163"/>
      <c r="G63" s="161">
        <v>5425867.6200000001</v>
      </c>
    </row>
    <row r="64" spans="1:7" x14ac:dyDescent="0.25">
      <c r="A64" s="155"/>
      <c r="B64" s="156"/>
      <c r="C64" s="159" t="s">
        <v>210</v>
      </c>
      <c r="D64" s="174"/>
      <c r="E64" s="173"/>
      <c r="F64" s="174"/>
      <c r="G64" s="161"/>
    </row>
    <row r="65" spans="1:7" x14ac:dyDescent="0.25">
      <c r="A65" s="155"/>
      <c r="B65" s="156"/>
      <c r="C65" s="175"/>
      <c r="D65" s="163" t="s">
        <v>211</v>
      </c>
      <c r="E65" s="164">
        <v>3157000</v>
      </c>
      <c r="F65" s="163"/>
      <c r="G65" s="161">
        <v>2953363.64</v>
      </c>
    </row>
    <row r="66" spans="1:7" x14ac:dyDescent="0.25">
      <c r="A66" s="155"/>
      <c r="B66" s="156"/>
      <c r="C66" s="175"/>
      <c r="D66" s="163" t="s">
        <v>212</v>
      </c>
      <c r="E66" s="164">
        <v>2225925</v>
      </c>
      <c r="F66" s="163"/>
      <c r="G66" s="161">
        <v>2102262.5</v>
      </c>
    </row>
    <row r="67" spans="1:7" x14ac:dyDescent="0.25">
      <c r="A67" s="155"/>
      <c r="B67" s="156"/>
      <c r="C67" s="175"/>
      <c r="D67" s="163" t="s">
        <v>213</v>
      </c>
      <c r="E67" s="164">
        <v>2019600</v>
      </c>
      <c r="F67" s="163"/>
      <c r="G67" s="161">
        <v>1928756.25</v>
      </c>
    </row>
    <row r="68" spans="1:7" x14ac:dyDescent="0.25">
      <c r="A68" s="155"/>
      <c r="B68" s="156"/>
      <c r="C68" s="175"/>
      <c r="D68" s="163" t="s">
        <v>214</v>
      </c>
      <c r="E68" s="164">
        <v>938000</v>
      </c>
      <c r="F68" s="163"/>
      <c r="G68" s="161">
        <v>812000</v>
      </c>
    </row>
    <row r="69" spans="1:7" x14ac:dyDescent="0.25">
      <c r="A69" s="155"/>
      <c r="B69" s="156"/>
      <c r="C69" s="175"/>
      <c r="D69" s="163" t="s">
        <v>215</v>
      </c>
      <c r="E69" s="164">
        <v>310500</v>
      </c>
      <c r="F69" s="163"/>
      <c r="G69" s="161">
        <v>244825</v>
      </c>
    </row>
    <row r="70" spans="1:7" x14ac:dyDescent="0.25">
      <c r="A70" s="155"/>
      <c r="B70" s="156"/>
      <c r="C70" s="175"/>
      <c r="D70" s="163" t="s">
        <v>216</v>
      </c>
      <c r="E70" s="164">
        <v>1473356.26</v>
      </c>
      <c r="F70" s="163"/>
      <c r="G70" s="161">
        <v>1446767.2</v>
      </c>
    </row>
    <row r="71" spans="1:7" x14ac:dyDescent="0.25">
      <c r="A71" s="155"/>
      <c r="B71" s="156"/>
      <c r="C71" s="175"/>
      <c r="D71" s="163" t="s">
        <v>217</v>
      </c>
      <c r="E71" s="164">
        <v>86143.679999999993</v>
      </c>
      <c r="F71" s="163"/>
      <c r="G71" s="161">
        <v>0</v>
      </c>
    </row>
    <row r="72" spans="1:7" x14ac:dyDescent="0.25">
      <c r="A72" s="155"/>
      <c r="B72" s="156"/>
      <c r="C72" s="175"/>
      <c r="D72" s="163" t="s">
        <v>218</v>
      </c>
      <c r="E72" s="164">
        <v>0</v>
      </c>
      <c r="F72" s="163"/>
      <c r="G72" s="161">
        <v>0</v>
      </c>
    </row>
    <row r="73" spans="1:7" x14ac:dyDescent="0.25">
      <c r="A73" s="155"/>
      <c r="B73" s="156"/>
      <c r="C73" s="175"/>
      <c r="D73" s="163" t="s">
        <v>219</v>
      </c>
      <c r="E73" s="164">
        <v>4807407.5999999996</v>
      </c>
      <c r="F73" s="163"/>
      <c r="G73" s="161">
        <v>3839241.98</v>
      </c>
    </row>
    <row r="74" spans="1:7" x14ac:dyDescent="0.25">
      <c r="A74" s="155"/>
      <c r="B74" s="156"/>
      <c r="C74" s="175"/>
      <c r="D74" s="163" t="s">
        <v>220</v>
      </c>
      <c r="E74" s="164">
        <v>666500</v>
      </c>
      <c r="F74" s="163"/>
      <c r="G74" s="161">
        <v>650750</v>
      </c>
    </row>
    <row r="75" spans="1:7" x14ac:dyDescent="0.25">
      <c r="A75" s="155"/>
      <c r="B75" s="156"/>
      <c r="C75" s="161"/>
      <c r="D75" s="163" t="s">
        <v>221</v>
      </c>
      <c r="E75" s="164">
        <v>3638061</v>
      </c>
      <c r="F75" s="163"/>
      <c r="G75" s="161">
        <v>2957497</v>
      </c>
    </row>
    <row r="76" spans="1:7" x14ac:dyDescent="0.25">
      <c r="A76" s="155"/>
      <c r="B76" s="156"/>
      <c r="C76" s="161"/>
      <c r="D76" s="163" t="s">
        <v>222</v>
      </c>
      <c r="E76" s="164">
        <v>487080</v>
      </c>
      <c r="F76" s="163"/>
      <c r="G76" s="161">
        <v>1463050</v>
      </c>
    </row>
    <row r="77" spans="1:7" x14ac:dyDescent="0.25">
      <c r="A77" s="155"/>
      <c r="B77" s="156"/>
      <c r="C77" s="159" t="s">
        <v>223</v>
      </c>
      <c r="D77" s="160"/>
      <c r="E77" s="158"/>
      <c r="F77" s="160"/>
      <c r="G77" s="161"/>
    </row>
    <row r="78" spans="1:7" x14ac:dyDescent="0.25">
      <c r="A78" s="155"/>
      <c r="B78" s="156"/>
      <c r="C78" s="159"/>
      <c r="D78" s="163" t="s">
        <v>224</v>
      </c>
      <c r="E78" s="164">
        <v>6144170.3319999995</v>
      </c>
      <c r="F78" s="163"/>
      <c r="G78" s="161">
        <v>4386020.8499999996</v>
      </c>
    </row>
    <row r="79" spans="1:7" x14ac:dyDescent="0.25">
      <c r="A79" s="155"/>
      <c r="B79" s="156"/>
      <c r="C79" s="159"/>
      <c r="D79" s="163" t="s">
        <v>225</v>
      </c>
      <c r="E79" s="164">
        <v>285100</v>
      </c>
      <c r="F79" s="163"/>
      <c r="G79" s="161">
        <v>227500</v>
      </c>
    </row>
    <row r="80" spans="1:7" x14ac:dyDescent="0.25">
      <c r="A80" s="155"/>
      <c r="B80" s="156"/>
      <c r="C80" s="159"/>
      <c r="D80" s="163" t="s">
        <v>226</v>
      </c>
      <c r="E80" s="164">
        <v>1267332.2600000002</v>
      </c>
      <c r="F80" s="163"/>
      <c r="G80" s="161">
        <v>941051.22</v>
      </c>
    </row>
    <row r="81" spans="1:7" x14ac:dyDescent="0.25">
      <c r="A81" s="155"/>
      <c r="B81" s="156"/>
      <c r="C81" s="159"/>
      <c r="D81" s="163" t="s">
        <v>227</v>
      </c>
      <c r="E81" s="164">
        <v>155738.32</v>
      </c>
      <c r="F81" s="163"/>
      <c r="G81" s="161">
        <v>124543.46</v>
      </c>
    </row>
    <row r="82" spans="1:7" x14ac:dyDescent="0.25">
      <c r="A82" s="155"/>
      <c r="B82" s="156"/>
      <c r="C82" s="159" t="s">
        <v>228</v>
      </c>
      <c r="D82" s="160"/>
      <c r="E82" s="158"/>
      <c r="F82" s="160"/>
      <c r="G82" s="161"/>
    </row>
    <row r="83" spans="1:7" x14ac:dyDescent="0.25">
      <c r="A83" s="155"/>
      <c r="B83" s="156"/>
      <c r="C83" s="159"/>
      <c r="D83" s="163" t="s">
        <v>229</v>
      </c>
      <c r="E83" s="164">
        <v>3010582.6999999997</v>
      </c>
      <c r="F83" s="163"/>
      <c r="G83" s="161">
        <v>596630.76</v>
      </c>
    </row>
    <row r="84" spans="1:7" x14ac:dyDescent="0.25">
      <c r="A84" s="155"/>
      <c r="B84" s="156"/>
      <c r="C84" s="159"/>
      <c r="D84" s="163" t="s">
        <v>228</v>
      </c>
      <c r="E84" s="164">
        <v>8812064.1899999995</v>
      </c>
      <c r="F84" s="163"/>
      <c r="G84" s="161">
        <v>3493000</v>
      </c>
    </row>
    <row r="85" spans="1:7" x14ac:dyDescent="0.25">
      <c r="A85" s="155"/>
      <c r="B85" s="156"/>
      <c r="C85" s="156" t="s">
        <v>230</v>
      </c>
      <c r="D85" s="157"/>
      <c r="E85" s="176">
        <f>SUM(E61:E84)</f>
        <v>91969084.291999996</v>
      </c>
      <c r="F85" s="157"/>
      <c r="G85" s="176">
        <f>SUM(G61:G84)</f>
        <v>71364984.670000002</v>
      </c>
    </row>
    <row r="86" spans="1:7" x14ac:dyDescent="0.25">
      <c r="A86" s="155"/>
      <c r="B86" s="156" t="s">
        <v>231</v>
      </c>
      <c r="C86" s="177"/>
      <c r="D86" s="157"/>
      <c r="E86" s="158"/>
      <c r="F86" s="157"/>
      <c r="G86" s="155"/>
    </row>
    <row r="87" spans="1:7" x14ac:dyDescent="0.25">
      <c r="A87" s="155"/>
      <c r="B87" s="156"/>
      <c r="C87" s="159" t="s">
        <v>232</v>
      </c>
      <c r="D87" s="160"/>
      <c r="E87" s="158"/>
      <c r="F87" s="160"/>
      <c r="G87" s="161"/>
    </row>
    <row r="88" spans="1:7" x14ac:dyDescent="0.25">
      <c r="A88" s="155"/>
      <c r="B88" s="156"/>
      <c r="C88" s="159"/>
      <c r="D88" s="163" t="s">
        <v>233</v>
      </c>
      <c r="E88" s="164">
        <v>1160993.52</v>
      </c>
      <c r="F88" s="163"/>
      <c r="G88" s="161">
        <v>1277377.2</v>
      </c>
    </row>
    <row r="89" spans="1:7" x14ac:dyDescent="0.25">
      <c r="A89" s="155"/>
      <c r="B89" s="156"/>
      <c r="C89" s="159" t="s">
        <v>234</v>
      </c>
      <c r="D89" s="160"/>
      <c r="E89" s="158"/>
      <c r="F89" s="160"/>
      <c r="G89" s="161"/>
    </row>
    <row r="90" spans="1:7" x14ac:dyDescent="0.25">
      <c r="A90" s="155"/>
      <c r="B90" s="156"/>
      <c r="C90" s="159"/>
      <c r="D90" s="163" t="s">
        <v>235</v>
      </c>
      <c r="E90" s="164">
        <v>3378679.9799999991</v>
      </c>
      <c r="F90" s="163"/>
      <c r="G90" s="161">
        <v>3900657.42</v>
      </c>
    </row>
    <row r="91" spans="1:7" x14ac:dyDescent="0.25">
      <c r="A91" s="155"/>
      <c r="B91" s="156"/>
      <c r="C91" s="159" t="s">
        <v>236</v>
      </c>
      <c r="D91" s="160"/>
      <c r="E91" s="158"/>
      <c r="F91" s="160"/>
      <c r="G91" s="161"/>
    </row>
    <row r="92" spans="1:7" x14ac:dyDescent="0.25">
      <c r="A92" s="155"/>
      <c r="B92" s="156"/>
      <c r="C92" s="159"/>
      <c r="D92" s="163" t="s">
        <v>237</v>
      </c>
      <c r="E92" s="164">
        <v>625127.89000000013</v>
      </c>
      <c r="F92" s="163"/>
      <c r="G92" s="161">
        <v>1194157.1499999999</v>
      </c>
    </row>
    <row r="93" spans="1:7" x14ac:dyDescent="0.25">
      <c r="A93" s="155"/>
      <c r="B93" s="156"/>
      <c r="C93" s="159"/>
      <c r="D93" s="163" t="s">
        <v>238</v>
      </c>
      <c r="E93" s="164">
        <v>49197.5</v>
      </c>
      <c r="F93" s="163"/>
      <c r="G93" s="161">
        <v>0</v>
      </c>
    </row>
    <row r="94" spans="1:7" x14ac:dyDescent="0.25">
      <c r="A94" s="155"/>
      <c r="B94" s="156"/>
      <c r="C94" s="159"/>
      <c r="D94" s="163" t="s">
        <v>239</v>
      </c>
      <c r="E94" s="164">
        <v>0</v>
      </c>
      <c r="F94" s="163"/>
      <c r="G94" s="161">
        <v>122973</v>
      </c>
    </row>
    <row r="95" spans="1:7" x14ac:dyDescent="0.25">
      <c r="A95" s="155"/>
      <c r="B95" s="156"/>
      <c r="C95" s="159"/>
      <c r="D95" s="163" t="s">
        <v>499</v>
      </c>
      <c r="E95" s="164">
        <v>4741240</v>
      </c>
      <c r="F95" s="163"/>
      <c r="G95" s="161">
        <v>0</v>
      </c>
    </row>
    <row r="96" spans="1:7" x14ac:dyDescent="0.25">
      <c r="A96" s="155"/>
      <c r="B96" s="156"/>
      <c r="C96" s="159"/>
      <c r="D96" s="163" t="s">
        <v>240</v>
      </c>
      <c r="E96" s="164">
        <v>0</v>
      </c>
      <c r="F96" s="163"/>
      <c r="G96" s="161">
        <v>0</v>
      </c>
    </row>
    <row r="97" spans="1:7" x14ac:dyDescent="0.25">
      <c r="A97" s="155"/>
      <c r="B97" s="156"/>
      <c r="C97" s="159"/>
      <c r="D97" s="163" t="s">
        <v>241</v>
      </c>
      <c r="E97" s="164">
        <v>7909255.8900000006</v>
      </c>
      <c r="F97" s="163"/>
      <c r="G97" s="161">
        <v>0</v>
      </c>
    </row>
    <row r="98" spans="1:7" x14ac:dyDescent="0.25">
      <c r="A98" s="155"/>
      <c r="B98" s="156"/>
      <c r="C98" s="159"/>
      <c r="D98" s="163" t="s">
        <v>242</v>
      </c>
      <c r="E98" s="164">
        <v>622870</v>
      </c>
      <c r="F98" s="163"/>
      <c r="G98" s="161">
        <v>87500</v>
      </c>
    </row>
    <row r="99" spans="1:7" x14ac:dyDescent="0.25">
      <c r="A99" s="155"/>
      <c r="B99" s="156"/>
      <c r="C99" s="159"/>
      <c r="D99" s="163" t="s">
        <v>243</v>
      </c>
      <c r="E99" s="164">
        <v>4538478.1500000013</v>
      </c>
      <c r="F99" s="163"/>
      <c r="G99" s="161">
        <v>3244595.6</v>
      </c>
    </row>
    <row r="100" spans="1:7" x14ac:dyDescent="0.25">
      <c r="A100" s="155"/>
      <c r="B100" s="156"/>
      <c r="C100" s="159"/>
      <c r="D100" s="163" t="s">
        <v>244</v>
      </c>
      <c r="E100" s="164">
        <v>275918.75</v>
      </c>
      <c r="F100" s="163"/>
      <c r="G100" s="161">
        <v>0</v>
      </c>
    </row>
    <row r="101" spans="1:7" x14ac:dyDescent="0.25">
      <c r="A101" s="155"/>
      <c r="B101" s="156"/>
      <c r="C101" s="159"/>
      <c r="D101" s="163" t="s">
        <v>245</v>
      </c>
      <c r="E101" s="164">
        <v>681132.71000000008</v>
      </c>
      <c r="F101" s="163"/>
      <c r="G101" s="161">
        <v>489383.88</v>
      </c>
    </row>
    <row r="102" spans="1:7" x14ac:dyDescent="0.25">
      <c r="A102" s="155"/>
      <c r="B102" s="156"/>
      <c r="C102" s="159"/>
      <c r="D102" s="163" t="s">
        <v>246</v>
      </c>
      <c r="E102" s="164">
        <v>135130</v>
      </c>
      <c r="F102" s="163"/>
      <c r="G102" s="161">
        <v>273244.45</v>
      </c>
    </row>
    <row r="103" spans="1:7" x14ac:dyDescent="0.25">
      <c r="A103" s="155"/>
      <c r="B103" s="156"/>
      <c r="C103" s="159"/>
      <c r="D103" s="163" t="s">
        <v>500</v>
      </c>
      <c r="E103" s="164">
        <v>1690759</v>
      </c>
      <c r="F103" s="163"/>
      <c r="G103" s="161"/>
    </row>
    <row r="104" spans="1:7" x14ac:dyDescent="0.25">
      <c r="A104" s="155"/>
      <c r="B104" s="156"/>
      <c r="C104" s="159" t="s">
        <v>247</v>
      </c>
      <c r="D104" s="160"/>
      <c r="E104" s="158"/>
      <c r="F104" s="160"/>
      <c r="G104" s="161"/>
    </row>
    <row r="105" spans="1:7" x14ac:dyDescent="0.25">
      <c r="A105" s="155"/>
      <c r="B105" s="156"/>
      <c r="C105" s="175"/>
      <c r="D105" s="163" t="s">
        <v>248</v>
      </c>
      <c r="E105" s="164">
        <v>431976.75</v>
      </c>
      <c r="F105" s="163"/>
      <c r="G105" s="161">
        <v>451318</v>
      </c>
    </row>
    <row r="106" spans="1:7" x14ac:dyDescent="0.25">
      <c r="A106" s="155"/>
      <c r="B106" s="156"/>
      <c r="C106" s="175"/>
      <c r="D106" s="163" t="s">
        <v>249</v>
      </c>
      <c r="E106" s="164">
        <v>5213242.549999998</v>
      </c>
      <c r="F106" s="163"/>
      <c r="G106" s="161">
        <v>5260740.5599999996</v>
      </c>
    </row>
    <row r="107" spans="1:7" x14ac:dyDescent="0.25">
      <c r="A107" s="155"/>
      <c r="B107" s="156"/>
      <c r="C107" s="159" t="s">
        <v>250</v>
      </c>
      <c r="D107" s="160"/>
      <c r="E107" s="158"/>
      <c r="F107" s="160"/>
      <c r="G107" s="161"/>
    </row>
    <row r="108" spans="1:7" x14ac:dyDescent="0.25">
      <c r="A108" s="155"/>
      <c r="B108" s="156"/>
      <c r="C108" s="175"/>
      <c r="D108" s="163" t="s">
        <v>251</v>
      </c>
      <c r="E108" s="164">
        <v>1030</v>
      </c>
      <c r="F108" s="163"/>
      <c r="G108" s="161">
        <v>0</v>
      </c>
    </row>
    <row r="109" spans="1:7" x14ac:dyDescent="0.25">
      <c r="A109" s="155"/>
      <c r="B109" s="156"/>
      <c r="C109" s="175"/>
      <c r="D109" s="163" t="s">
        <v>252</v>
      </c>
      <c r="E109" s="164">
        <v>635599</v>
      </c>
      <c r="F109" s="163"/>
      <c r="G109" s="161">
        <v>919899</v>
      </c>
    </row>
    <row r="110" spans="1:7" x14ac:dyDescent="0.25">
      <c r="A110" s="155"/>
      <c r="B110" s="156"/>
      <c r="C110" s="175"/>
      <c r="D110" s="163" t="s">
        <v>253</v>
      </c>
      <c r="E110" s="164">
        <v>431275</v>
      </c>
      <c r="F110" s="163"/>
      <c r="G110" s="161">
        <v>549793.91</v>
      </c>
    </row>
    <row r="111" spans="1:7" x14ac:dyDescent="0.25">
      <c r="A111" s="155"/>
      <c r="B111" s="156"/>
      <c r="C111" s="175" t="s">
        <v>254</v>
      </c>
      <c r="D111" s="163"/>
      <c r="E111" s="164"/>
      <c r="F111" s="163"/>
      <c r="G111" s="161"/>
    </row>
    <row r="112" spans="1:7" x14ac:dyDescent="0.25">
      <c r="A112" s="155"/>
      <c r="B112" s="156"/>
      <c r="C112" s="159"/>
      <c r="D112" s="163" t="s">
        <v>254</v>
      </c>
      <c r="E112" s="164">
        <v>0</v>
      </c>
      <c r="F112" s="163"/>
      <c r="G112" s="161">
        <v>146840</v>
      </c>
    </row>
    <row r="113" spans="1:7" x14ac:dyDescent="0.25">
      <c r="A113" s="155"/>
      <c r="B113" s="156"/>
      <c r="C113" s="159" t="s">
        <v>255</v>
      </c>
      <c r="D113" s="174"/>
      <c r="E113" s="173"/>
      <c r="F113" s="174"/>
      <c r="G113" s="161"/>
    </row>
    <row r="114" spans="1:7" x14ac:dyDescent="0.25">
      <c r="A114" s="155"/>
      <c r="B114" s="156"/>
      <c r="C114" s="159"/>
      <c r="D114" s="174" t="s">
        <v>414</v>
      </c>
      <c r="E114" s="173">
        <v>30000</v>
      </c>
      <c r="F114" s="174"/>
      <c r="G114" s="161">
        <v>0</v>
      </c>
    </row>
    <row r="115" spans="1:7" x14ac:dyDescent="0.25">
      <c r="A115" s="155"/>
      <c r="B115" s="156"/>
      <c r="C115" s="159"/>
      <c r="D115" s="163" t="s">
        <v>256</v>
      </c>
      <c r="E115" s="164">
        <v>47900</v>
      </c>
      <c r="F115" s="163"/>
      <c r="G115" s="161">
        <v>49998</v>
      </c>
    </row>
    <row r="116" spans="1:7" x14ac:dyDescent="0.25">
      <c r="A116" s="155"/>
      <c r="B116" s="156"/>
      <c r="C116" s="159" t="s">
        <v>257</v>
      </c>
      <c r="D116" s="160"/>
      <c r="E116" s="158"/>
      <c r="F116" s="160"/>
      <c r="G116" s="161"/>
    </row>
    <row r="117" spans="1:7" x14ac:dyDescent="0.25">
      <c r="A117" s="155"/>
      <c r="B117" s="156"/>
      <c r="C117" s="159"/>
      <c r="D117" s="163" t="s">
        <v>258</v>
      </c>
      <c r="E117" s="164">
        <v>27795838.000000007</v>
      </c>
      <c r="F117" s="163"/>
      <c r="G117" s="161">
        <v>26225162.260000002</v>
      </c>
    </row>
    <row r="118" spans="1:7" x14ac:dyDescent="0.25">
      <c r="A118" s="155"/>
      <c r="B118" s="156"/>
      <c r="C118" s="159" t="s">
        <v>259</v>
      </c>
      <c r="D118" s="160"/>
      <c r="E118" s="158"/>
      <c r="F118" s="160"/>
      <c r="G118" s="161"/>
    </row>
    <row r="119" spans="1:7" x14ac:dyDescent="0.25">
      <c r="A119" s="155"/>
      <c r="B119" s="156"/>
      <c r="C119" s="159"/>
      <c r="D119" s="163" t="s">
        <v>260</v>
      </c>
      <c r="E119" s="164">
        <v>0</v>
      </c>
      <c r="F119" s="163"/>
      <c r="G119" s="161">
        <v>0</v>
      </c>
    </row>
    <row r="120" spans="1:7" x14ac:dyDescent="0.25">
      <c r="A120" s="155"/>
      <c r="B120" s="156"/>
      <c r="C120" s="159"/>
      <c r="D120" s="163" t="s">
        <v>261</v>
      </c>
      <c r="E120" s="164">
        <v>276729.66000000003</v>
      </c>
      <c r="F120" s="163"/>
      <c r="G120" s="161">
        <v>1128192.6100000001</v>
      </c>
    </row>
    <row r="121" spans="1:7" x14ac:dyDescent="0.25">
      <c r="A121" s="155"/>
      <c r="B121" s="156"/>
      <c r="C121" s="159"/>
      <c r="D121" s="163" t="s">
        <v>262</v>
      </c>
      <c r="E121" s="164">
        <v>640671.21</v>
      </c>
      <c r="F121" s="163"/>
      <c r="G121" s="161">
        <v>809590.56</v>
      </c>
    </row>
    <row r="122" spans="1:7" x14ac:dyDescent="0.25">
      <c r="A122" s="155"/>
      <c r="B122" s="156"/>
      <c r="C122" s="159"/>
      <c r="D122" s="163" t="s">
        <v>263</v>
      </c>
      <c r="E122" s="164">
        <v>417846</v>
      </c>
      <c r="F122" s="163"/>
      <c r="G122" s="161">
        <v>305306</v>
      </c>
    </row>
    <row r="123" spans="1:7" x14ac:dyDescent="0.25">
      <c r="A123" s="155"/>
      <c r="B123" s="156"/>
      <c r="C123" s="159"/>
      <c r="D123" s="163" t="s">
        <v>264</v>
      </c>
      <c r="E123" s="164">
        <v>1839392</v>
      </c>
      <c r="F123" s="163"/>
      <c r="G123" s="161">
        <v>1278429</v>
      </c>
    </row>
    <row r="124" spans="1:7" x14ac:dyDescent="0.25">
      <c r="A124" s="155"/>
      <c r="B124" s="156"/>
      <c r="C124" s="159"/>
      <c r="D124" s="163" t="s">
        <v>265</v>
      </c>
      <c r="E124" s="164">
        <v>164645</v>
      </c>
      <c r="F124" s="163"/>
      <c r="G124" s="161">
        <v>55900</v>
      </c>
    </row>
    <row r="125" spans="1:7" x14ac:dyDescent="0.25">
      <c r="A125" s="155"/>
      <c r="B125" s="156"/>
      <c r="C125" s="159" t="s">
        <v>266</v>
      </c>
      <c r="D125" s="160"/>
      <c r="E125" s="158"/>
      <c r="F125" s="160"/>
      <c r="G125" s="161"/>
    </row>
    <row r="126" spans="1:7" x14ac:dyDescent="0.25">
      <c r="A126" s="155"/>
      <c r="B126" s="156"/>
      <c r="C126" s="161"/>
      <c r="D126" s="163" t="s">
        <v>267</v>
      </c>
      <c r="E126" s="164">
        <v>97867.23</v>
      </c>
      <c r="F126" s="163"/>
      <c r="G126" s="178">
        <v>449827.26</v>
      </c>
    </row>
    <row r="127" spans="1:7" x14ac:dyDescent="0.25">
      <c r="A127" s="155"/>
      <c r="B127" s="156"/>
      <c r="C127" s="161"/>
      <c r="D127" s="163" t="s">
        <v>268</v>
      </c>
      <c r="E127" s="164">
        <v>148162.5</v>
      </c>
      <c r="F127" s="163"/>
      <c r="G127" s="178">
        <v>149025</v>
      </c>
    </row>
    <row r="128" spans="1:7" x14ac:dyDescent="0.25">
      <c r="A128" s="155"/>
      <c r="B128" s="156"/>
      <c r="C128" s="161"/>
      <c r="D128" s="163" t="s">
        <v>269</v>
      </c>
      <c r="E128" s="164">
        <v>322595.32000000007</v>
      </c>
      <c r="F128" s="163"/>
      <c r="G128" s="179">
        <v>347898.99</v>
      </c>
    </row>
    <row r="129" spans="1:7" x14ac:dyDescent="0.25">
      <c r="A129" s="155"/>
      <c r="B129" s="156"/>
      <c r="C129" s="161" t="s">
        <v>270</v>
      </c>
      <c r="D129" s="160"/>
      <c r="E129" s="158"/>
      <c r="F129" s="160"/>
      <c r="G129" s="161"/>
    </row>
    <row r="130" spans="1:7" x14ac:dyDescent="0.25">
      <c r="A130" s="155"/>
      <c r="B130" s="156"/>
      <c r="C130" s="161"/>
      <c r="D130" s="160" t="s">
        <v>416</v>
      </c>
      <c r="E130" s="158">
        <v>224152</v>
      </c>
      <c r="F130" s="160"/>
      <c r="G130" s="161">
        <v>0</v>
      </c>
    </row>
    <row r="131" spans="1:7" x14ac:dyDescent="0.25">
      <c r="A131" s="180"/>
      <c r="B131" s="156"/>
      <c r="C131" s="181"/>
      <c r="D131" s="163" t="s">
        <v>271</v>
      </c>
      <c r="E131" s="164">
        <v>5756819</v>
      </c>
      <c r="F131" s="163"/>
      <c r="G131" s="161">
        <v>1099000</v>
      </c>
    </row>
    <row r="132" spans="1:7" x14ac:dyDescent="0.25">
      <c r="A132" s="155"/>
      <c r="B132" s="156"/>
      <c r="C132" s="161"/>
      <c r="D132" s="163" t="s">
        <v>272</v>
      </c>
      <c r="E132" s="164">
        <v>123600</v>
      </c>
      <c r="F132" s="163"/>
      <c r="G132" s="161">
        <v>0</v>
      </c>
    </row>
    <row r="133" spans="1:7" x14ac:dyDescent="0.25">
      <c r="A133" s="155"/>
      <c r="B133" s="156"/>
      <c r="C133" s="161"/>
      <c r="D133" s="163" t="s">
        <v>273</v>
      </c>
      <c r="E133" s="164">
        <v>69820996.069999993</v>
      </c>
      <c r="F133" s="163"/>
      <c r="G133" s="161">
        <v>34709732.299999997</v>
      </c>
    </row>
    <row r="134" spans="1:7" x14ac:dyDescent="0.25">
      <c r="A134" s="155"/>
      <c r="B134" s="156"/>
      <c r="C134" s="161"/>
      <c r="D134" s="163" t="s">
        <v>274</v>
      </c>
      <c r="E134" s="164">
        <v>5702437.71</v>
      </c>
      <c r="F134" s="163"/>
      <c r="G134" s="161">
        <v>28189834.559999999</v>
      </c>
    </row>
    <row r="135" spans="1:7" x14ac:dyDescent="0.25">
      <c r="A135" s="155"/>
      <c r="B135" s="156"/>
      <c r="C135" s="150" t="s">
        <v>275</v>
      </c>
      <c r="D135" s="157"/>
      <c r="E135" s="162">
        <f>SUM(E88:E134)</f>
        <v>145931558.39000002</v>
      </c>
      <c r="F135" s="157"/>
      <c r="G135" s="162">
        <f>SUM(G88:G134)</f>
        <v>112716376.71000001</v>
      </c>
    </row>
    <row r="136" spans="1:7" x14ac:dyDescent="0.25">
      <c r="A136" s="155"/>
      <c r="B136" s="156" t="s">
        <v>276</v>
      </c>
      <c r="C136" s="161"/>
      <c r="D136" s="160"/>
      <c r="E136" s="158"/>
      <c r="F136" s="160"/>
      <c r="G136" s="161"/>
    </row>
    <row r="137" spans="1:7" x14ac:dyDescent="0.25">
      <c r="A137" s="155"/>
      <c r="B137" s="156"/>
      <c r="C137" s="147" t="s">
        <v>277</v>
      </c>
      <c r="D137" s="160"/>
      <c r="E137" s="158"/>
      <c r="F137" s="160"/>
      <c r="G137" s="161"/>
    </row>
    <row r="138" spans="1:7" x14ac:dyDescent="0.25">
      <c r="A138" s="155"/>
      <c r="B138" s="156"/>
      <c r="C138" s="161"/>
      <c r="D138" s="163" t="s">
        <v>278</v>
      </c>
      <c r="E138" s="164"/>
      <c r="F138" s="163"/>
      <c r="G138" s="161">
        <v>880346.49</v>
      </c>
    </row>
    <row r="139" spans="1:7" x14ac:dyDescent="0.25">
      <c r="A139" s="155"/>
      <c r="B139" s="156"/>
      <c r="C139" s="161"/>
      <c r="D139" s="163" t="s">
        <v>279</v>
      </c>
      <c r="E139" s="164">
        <v>1158882.6073125002</v>
      </c>
      <c r="F139" s="163"/>
      <c r="G139" s="161">
        <v>1202362.23</v>
      </c>
    </row>
    <row r="140" spans="1:7" x14ac:dyDescent="0.25">
      <c r="A140" s="155"/>
      <c r="B140" s="156"/>
      <c r="C140" s="161"/>
      <c r="D140" s="163" t="s">
        <v>280</v>
      </c>
      <c r="E140" s="164">
        <v>21607830.300000001</v>
      </c>
      <c r="F140" s="163"/>
      <c r="G140" s="161">
        <v>43964963.770000003</v>
      </c>
    </row>
    <row r="141" spans="1:7" x14ac:dyDescent="0.25">
      <c r="A141" s="155"/>
      <c r="B141" s="156"/>
      <c r="C141" s="161"/>
      <c r="D141" s="163" t="s">
        <v>281</v>
      </c>
      <c r="E141" s="164">
        <v>7614930.9199999999</v>
      </c>
      <c r="F141" s="163"/>
      <c r="G141" s="161">
        <v>5340703.4000000004</v>
      </c>
    </row>
    <row r="142" spans="1:7" x14ac:dyDescent="0.25">
      <c r="A142" s="155"/>
      <c r="B142" s="156"/>
      <c r="C142" s="161"/>
      <c r="D142" s="163" t="s">
        <v>282</v>
      </c>
      <c r="E142" s="164">
        <v>9655835.3499999996</v>
      </c>
      <c r="F142" s="163"/>
      <c r="G142" s="161">
        <v>3887532.18</v>
      </c>
    </row>
    <row r="143" spans="1:7" x14ac:dyDescent="0.25">
      <c r="A143" s="155"/>
      <c r="B143" s="156"/>
      <c r="C143" s="161"/>
      <c r="D143" s="163" t="s">
        <v>283</v>
      </c>
      <c r="E143" s="164">
        <v>729001.30999999994</v>
      </c>
      <c r="F143" s="163"/>
      <c r="G143" s="161">
        <v>6853994.4500000002</v>
      </c>
    </row>
    <row r="144" spans="1:7" x14ac:dyDescent="0.25">
      <c r="A144" s="155"/>
      <c r="B144" s="156"/>
      <c r="C144" s="150" t="s">
        <v>284</v>
      </c>
      <c r="D144" s="157"/>
      <c r="E144" s="162">
        <f>SUM(E138:E143)</f>
        <v>40766480.487312503</v>
      </c>
      <c r="F144" s="157"/>
      <c r="G144" s="162">
        <f>SUM(G138:G143)</f>
        <v>62129902.520000003</v>
      </c>
    </row>
    <row r="145" spans="1:9" x14ac:dyDescent="0.25">
      <c r="A145" s="150" t="s">
        <v>285</v>
      </c>
      <c r="B145" s="150"/>
      <c r="C145" s="150"/>
      <c r="D145" s="150"/>
      <c r="E145" s="182">
        <f>SUM(E144,E135,E85)</f>
        <v>278667123.16931248</v>
      </c>
      <c r="F145" s="150"/>
      <c r="G145" s="182">
        <f>SUM(G144,G135,G85)</f>
        <v>246211263.90000004</v>
      </c>
      <c r="H145" s="150"/>
      <c r="I145" s="150"/>
    </row>
    <row r="146" spans="1:9" x14ac:dyDescent="0.25">
      <c r="A146" s="156" t="s">
        <v>286</v>
      </c>
      <c r="B146" s="155"/>
      <c r="C146" s="161"/>
      <c r="D146" s="160"/>
      <c r="E146" s="162">
        <f>E58-E145</f>
        <v>47534115.959687471</v>
      </c>
      <c r="F146" s="160"/>
      <c r="G146" s="162">
        <f>G58-G145</f>
        <v>8328594.3999999762</v>
      </c>
    </row>
    <row r="147" spans="1:9" s="150" customFormat="1" x14ac:dyDescent="0.25">
      <c r="A147" s="156" t="s">
        <v>287</v>
      </c>
      <c r="B147" s="155"/>
      <c r="C147" s="161"/>
      <c r="D147" s="160"/>
      <c r="E147" s="158"/>
      <c r="F147" s="160"/>
      <c r="G147" s="161"/>
      <c r="H147" s="147"/>
      <c r="I147" s="147"/>
    </row>
    <row r="148" spans="1:9" x14ac:dyDescent="0.25">
      <c r="A148" s="155"/>
      <c r="B148" s="156" t="s">
        <v>288</v>
      </c>
      <c r="C148" s="161"/>
      <c r="D148" s="160"/>
      <c r="E148" s="158"/>
      <c r="F148" s="160"/>
      <c r="G148" s="155"/>
    </row>
    <row r="149" spans="1:9" x14ac:dyDescent="0.25">
      <c r="A149" s="155"/>
      <c r="B149" s="156"/>
      <c r="C149" s="147" t="s">
        <v>289</v>
      </c>
      <c r="D149" s="160"/>
      <c r="E149" s="158">
        <v>300000</v>
      </c>
      <c r="F149" s="160"/>
      <c r="G149" s="161">
        <v>0</v>
      </c>
    </row>
    <row r="150" spans="1:9" x14ac:dyDescent="0.25">
      <c r="A150" s="155"/>
      <c r="B150" s="155"/>
      <c r="C150" s="155"/>
      <c r="D150" s="183" t="s">
        <v>290</v>
      </c>
      <c r="E150" s="162">
        <f>E149</f>
        <v>300000</v>
      </c>
      <c r="F150" s="183"/>
      <c r="G150" s="162">
        <v>0</v>
      </c>
    </row>
    <row r="151" spans="1:9" x14ac:dyDescent="0.25">
      <c r="A151" s="155"/>
      <c r="B151" s="156" t="s">
        <v>291</v>
      </c>
      <c r="C151" s="161"/>
      <c r="D151" s="160"/>
      <c r="E151" s="158"/>
      <c r="F151" s="160"/>
      <c r="G151" s="161"/>
    </row>
    <row r="152" spans="1:9" x14ac:dyDescent="0.25">
      <c r="A152" s="155"/>
      <c r="B152" s="156"/>
      <c r="C152" s="147" t="s">
        <v>292</v>
      </c>
      <c r="D152" s="160"/>
      <c r="E152" s="158">
        <v>10553390</v>
      </c>
      <c r="F152" s="160"/>
      <c r="G152" s="161">
        <v>10867640</v>
      </c>
    </row>
    <row r="153" spans="1:9" x14ac:dyDescent="0.25">
      <c r="A153" s="155"/>
      <c r="B153" s="156"/>
      <c r="C153" s="147" t="s">
        <v>293</v>
      </c>
      <c r="D153" s="160"/>
      <c r="E153" s="158">
        <v>1500000</v>
      </c>
      <c r="F153" s="160"/>
      <c r="G153" s="161">
        <v>1500000</v>
      </c>
    </row>
    <row r="154" spans="1:9" x14ac:dyDescent="0.25">
      <c r="A154" s="155"/>
      <c r="B154" s="156"/>
      <c r="C154" s="147" t="s">
        <v>501</v>
      </c>
      <c r="D154" s="160"/>
      <c r="E154" s="158">
        <v>494298.44</v>
      </c>
      <c r="F154" s="160"/>
      <c r="G154" s="161">
        <v>0</v>
      </c>
    </row>
    <row r="155" spans="1:9" x14ac:dyDescent="0.25">
      <c r="A155" s="155"/>
      <c r="B155" s="156" t="s">
        <v>294</v>
      </c>
      <c r="C155" s="161"/>
      <c r="D155" s="160"/>
      <c r="E155" s="158"/>
      <c r="F155" s="160"/>
      <c r="G155" s="161"/>
    </row>
    <row r="156" spans="1:9" x14ac:dyDescent="0.25">
      <c r="A156" s="155"/>
      <c r="B156" s="156"/>
      <c r="C156" s="147" t="s">
        <v>295</v>
      </c>
      <c r="D156" s="160"/>
      <c r="E156" s="158">
        <v>3081574.83</v>
      </c>
      <c r="F156" s="160"/>
      <c r="G156" s="161">
        <v>1977651.33</v>
      </c>
    </row>
    <row r="157" spans="1:9" x14ac:dyDescent="0.25">
      <c r="A157" s="155"/>
      <c r="B157" s="155"/>
      <c r="C157" s="155"/>
      <c r="D157" s="183" t="s">
        <v>296</v>
      </c>
      <c r="E157" s="162">
        <f>SUM(E152:E156)</f>
        <v>15629263.27</v>
      </c>
      <c r="F157" s="183"/>
      <c r="G157" s="162">
        <f>SUM(G152:G156)</f>
        <v>14345291.33</v>
      </c>
    </row>
    <row r="158" spans="1:9" x14ac:dyDescent="0.25">
      <c r="A158" s="155"/>
      <c r="B158" s="156" t="s">
        <v>297</v>
      </c>
      <c r="C158" s="161"/>
      <c r="E158" s="184">
        <f>E150-E157</f>
        <v>-15329263.27</v>
      </c>
      <c r="G158" s="184">
        <f>+G150-G157</f>
        <v>-14345291.33</v>
      </c>
    </row>
    <row r="159" spans="1:9" x14ac:dyDescent="0.25">
      <c r="A159" s="155"/>
      <c r="B159" s="150" t="s">
        <v>298</v>
      </c>
      <c r="C159" s="161"/>
      <c r="E159" s="185"/>
      <c r="G159" s="161"/>
    </row>
    <row r="160" spans="1:9" x14ac:dyDescent="0.25">
      <c r="A160" s="155"/>
      <c r="B160" s="155"/>
      <c r="C160" s="147" t="s">
        <v>202</v>
      </c>
      <c r="E160" s="158"/>
      <c r="G160" s="161"/>
    </row>
    <row r="161" spans="1:7" x14ac:dyDescent="0.25">
      <c r="A161" s="155"/>
      <c r="B161" s="155"/>
      <c r="D161" s="148" t="s">
        <v>202</v>
      </c>
      <c r="E161" s="158">
        <v>0</v>
      </c>
      <c r="G161" s="155">
        <v>0</v>
      </c>
    </row>
    <row r="162" spans="1:7" x14ac:dyDescent="0.25">
      <c r="A162" s="155"/>
      <c r="B162" s="150"/>
      <c r="C162" s="150" t="s">
        <v>299</v>
      </c>
      <c r="D162" s="183"/>
      <c r="E162" s="162">
        <v>0</v>
      </c>
      <c r="F162" s="183"/>
      <c r="G162" s="162">
        <v>0</v>
      </c>
    </row>
    <row r="163" spans="1:7" ht="14.4" thickBot="1" x14ac:dyDescent="0.3">
      <c r="A163" s="156" t="s">
        <v>300</v>
      </c>
      <c r="B163" s="156"/>
      <c r="C163" s="155"/>
      <c r="D163" s="157"/>
      <c r="E163" s="186">
        <f>E146+E158</f>
        <v>32204852.689687472</v>
      </c>
      <c r="F163" s="157"/>
      <c r="G163" s="186">
        <f>G146+G158</f>
        <v>-6016696.9300000239</v>
      </c>
    </row>
    <row r="164" spans="1:7" ht="14.4" thickTop="1" x14ac:dyDescent="0.25"/>
  </sheetData>
  <sheetProtection algorithmName="SHA-512" hashValue="tLwEF4ypNwf6xasF5UWb4Ed1hv1oVHAjFXjbIyzMMe+rerCk/THEDStfM1QhmGwfLEbADt3pyVOkWrGk1DEcfA==" saltValue="jr6H444SzMvikODGAlUFAg==" spinCount="100000" sheet="1" objects="1" scenarios="1" selectLockedCells="1" selectUnlockedCells="1"/>
  <printOptions horizontalCentered="1"/>
  <pageMargins left="1.49583333333333" right="1" top="0.55000000000000004" bottom="0.24" header="0.34" footer="0.19"/>
  <pageSetup scale="73" firstPageNumber="0" fitToHeight="0" orientation="portrait" horizontalDpi="300" verticalDpi="300" r:id="rId1"/>
  <headerFooter alignWithMargins="0"/>
  <rowBreaks count="2" manualBreakCount="2">
    <brk id="58" max="6" man="1"/>
    <brk id="124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  <pageSetUpPr fitToPage="1"/>
  </sheetPr>
  <dimension ref="A1:G33"/>
  <sheetViews>
    <sheetView zoomScaleNormal="100" zoomScaleSheetLayoutView="100" workbookViewId="0"/>
  </sheetViews>
  <sheetFormatPr defaultColWidth="9.109375" defaultRowHeight="15.6" x14ac:dyDescent="0.3"/>
  <cols>
    <col min="1" max="1" width="2.5546875" style="1" customWidth="1"/>
    <col min="2" max="2" width="1.44140625" style="1" customWidth="1"/>
    <col min="3" max="3" width="3.6640625" style="1" customWidth="1"/>
    <col min="4" max="4" width="56.5546875" style="22" customWidth="1"/>
    <col min="5" max="5" width="15.109375" style="22" bestFit="1" customWidth="1"/>
    <col min="6" max="6" width="2.109375" style="22" customWidth="1"/>
    <col min="7" max="7" width="16.6640625" style="1" customWidth="1"/>
    <col min="8" max="16384" width="9.109375" style="1"/>
  </cols>
  <sheetData>
    <row r="1" spans="1:7" x14ac:dyDescent="0.3">
      <c r="C1" s="4"/>
      <c r="G1" s="4" t="s">
        <v>301</v>
      </c>
    </row>
    <row r="2" spans="1:7" x14ac:dyDescent="0.3">
      <c r="A2" s="5" t="s">
        <v>2</v>
      </c>
      <c r="B2" s="5"/>
      <c r="C2" s="28"/>
    </row>
    <row r="3" spans="1:7" x14ac:dyDescent="0.3">
      <c r="A3" s="5" t="s">
        <v>3</v>
      </c>
      <c r="B3" s="5"/>
      <c r="C3" s="28"/>
    </row>
    <row r="4" spans="1:7" x14ac:dyDescent="0.3">
      <c r="A4" s="5" t="s">
        <v>4</v>
      </c>
      <c r="B4" s="5"/>
      <c r="C4" s="28"/>
    </row>
    <row r="5" spans="1:7" x14ac:dyDescent="0.3">
      <c r="A5" s="5" t="s">
        <v>160</v>
      </c>
      <c r="B5" s="5"/>
      <c r="C5" s="28"/>
    </row>
    <row r="6" spans="1:7" x14ac:dyDescent="0.3">
      <c r="A6" s="5" t="s">
        <v>152</v>
      </c>
      <c r="B6" s="5"/>
      <c r="C6" s="28"/>
    </row>
    <row r="7" spans="1:7" x14ac:dyDescent="0.3">
      <c r="A7" s="32" t="s">
        <v>466</v>
      </c>
      <c r="B7" s="5"/>
      <c r="C7" s="28"/>
    </row>
    <row r="8" spans="1:7" x14ac:dyDescent="0.3">
      <c r="A8" s="33" t="s">
        <v>463</v>
      </c>
      <c r="C8" s="28"/>
    </row>
    <row r="9" spans="1:7" x14ac:dyDescent="0.3">
      <c r="A9" s="37"/>
      <c r="B9" s="37"/>
      <c r="C9" s="38"/>
    </row>
    <row r="10" spans="1:7" x14ac:dyDescent="0.3">
      <c r="A10" s="7" t="s">
        <v>161</v>
      </c>
      <c r="B10" s="51"/>
      <c r="C10" s="51"/>
      <c r="D10" s="11"/>
      <c r="E10" s="39">
        <v>2025</v>
      </c>
      <c r="F10" s="11"/>
      <c r="G10" s="39">
        <v>2024</v>
      </c>
    </row>
    <row r="11" spans="1:7" x14ac:dyDescent="0.3">
      <c r="A11" s="40"/>
      <c r="B11" s="7" t="s">
        <v>162</v>
      </c>
      <c r="C11" s="40"/>
      <c r="D11" s="41"/>
      <c r="E11" s="41"/>
      <c r="F11" s="41"/>
      <c r="G11" s="40"/>
    </row>
    <row r="12" spans="1:7" x14ac:dyDescent="0.3">
      <c r="A12" s="40"/>
      <c r="B12" s="40"/>
      <c r="C12" s="8" t="s">
        <v>165</v>
      </c>
      <c r="D12" s="42"/>
      <c r="E12" s="42"/>
      <c r="F12" s="42"/>
      <c r="G12" s="43"/>
    </row>
    <row r="13" spans="1:7" x14ac:dyDescent="0.3">
      <c r="A13" s="40"/>
      <c r="B13" s="40"/>
      <c r="C13" s="43"/>
      <c r="D13" s="42" t="s">
        <v>302</v>
      </c>
      <c r="E13" s="42">
        <v>1923981.7299999997</v>
      </c>
      <c r="F13" s="42"/>
      <c r="G13" s="43">
        <v>2194089.4500000002</v>
      </c>
    </row>
    <row r="14" spans="1:7" x14ac:dyDescent="0.3">
      <c r="A14" s="40"/>
      <c r="B14" s="40"/>
      <c r="C14" s="7" t="s">
        <v>175</v>
      </c>
      <c r="D14" s="41"/>
      <c r="E14" s="44">
        <v>1923981.7299999997</v>
      </c>
      <c r="F14" s="41"/>
      <c r="G14" s="44">
        <v>2194089.4500000002</v>
      </c>
    </row>
    <row r="15" spans="1:7" x14ac:dyDescent="0.3">
      <c r="A15" s="40"/>
      <c r="B15" s="40"/>
      <c r="C15" s="8" t="s">
        <v>189</v>
      </c>
      <c r="D15" s="42"/>
      <c r="E15" s="42"/>
      <c r="F15" s="42"/>
      <c r="G15" s="43"/>
    </row>
    <row r="16" spans="1:7" x14ac:dyDescent="0.3">
      <c r="A16" s="40"/>
      <c r="B16" s="40"/>
      <c r="C16" s="43"/>
      <c r="D16" s="45" t="s">
        <v>196</v>
      </c>
      <c r="E16" s="53">
        <v>1288.48</v>
      </c>
      <c r="F16" s="45"/>
      <c r="G16" s="53">
        <v>1196.57</v>
      </c>
    </row>
    <row r="17" spans="1:7" x14ac:dyDescent="0.3">
      <c r="A17" s="40"/>
      <c r="B17" s="40"/>
      <c r="C17" s="40"/>
      <c r="D17" s="46" t="s">
        <v>199</v>
      </c>
      <c r="E17" s="52">
        <v>1288.48</v>
      </c>
      <c r="F17" s="46"/>
      <c r="G17" s="52">
        <v>1196.57</v>
      </c>
    </row>
    <row r="18" spans="1:7" x14ac:dyDescent="0.3">
      <c r="A18" s="7" t="s">
        <v>204</v>
      </c>
      <c r="B18" s="40"/>
      <c r="C18" s="40"/>
      <c r="D18" s="41"/>
      <c r="E18" s="44">
        <v>1925270.2099999997</v>
      </c>
      <c r="F18" s="41"/>
      <c r="G18" s="44">
        <v>2195286.02</v>
      </c>
    </row>
    <row r="19" spans="1:7" x14ac:dyDescent="0.3">
      <c r="A19" s="7" t="s">
        <v>205</v>
      </c>
      <c r="B19" s="40"/>
      <c r="C19" s="40"/>
      <c r="D19" s="41"/>
      <c r="E19" s="41"/>
      <c r="F19" s="41"/>
      <c r="G19" s="40"/>
    </row>
    <row r="20" spans="1:7" x14ac:dyDescent="0.3">
      <c r="A20" s="40"/>
      <c r="B20" s="7" t="s">
        <v>231</v>
      </c>
      <c r="C20" s="47"/>
      <c r="D20" s="41"/>
      <c r="E20" s="41"/>
      <c r="F20" s="41"/>
      <c r="G20" s="40"/>
    </row>
    <row r="21" spans="1:7" x14ac:dyDescent="0.3">
      <c r="A21" s="40"/>
      <c r="B21" s="7"/>
      <c r="C21" s="43" t="s">
        <v>270</v>
      </c>
      <c r="D21" s="42"/>
      <c r="E21" s="42"/>
      <c r="F21" s="42"/>
      <c r="G21" s="43"/>
    </row>
    <row r="22" spans="1:7" x14ac:dyDescent="0.3">
      <c r="A22" s="40"/>
      <c r="B22" s="7"/>
      <c r="C22" s="43"/>
      <c r="D22" s="45" t="s">
        <v>273</v>
      </c>
      <c r="E22" s="43">
        <v>129095</v>
      </c>
      <c r="F22" s="45"/>
      <c r="G22" s="43">
        <v>0</v>
      </c>
    </row>
    <row r="23" spans="1:7" x14ac:dyDescent="0.3">
      <c r="A23" s="40"/>
      <c r="B23" s="7"/>
      <c r="C23" s="43"/>
      <c r="D23" s="45" t="s">
        <v>274</v>
      </c>
      <c r="E23" s="43">
        <v>3479206.5900000003</v>
      </c>
      <c r="F23" s="45"/>
      <c r="G23" s="43">
        <v>4266888.34</v>
      </c>
    </row>
    <row r="24" spans="1:7" x14ac:dyDescent="0.3">
      <c r="A24" s="40"/>
      <c r="B24" s="7"/>
      <c r="C24" s="5" t="s">
        <v>275</v>
      </c>
      <c r="D24" s="41"/>
      <c r="E24" s="44">
        <v>3608301.5900000003</v>
      </c>
      <c r="F24" s="41"/>
      <c r="G24" s="44">
        <v>4266888.34</v>
      </c>
    </row>
    <row r="25" spans="1:7" x14ac:dyDescent="0.3">
      <c r="A25" s="7" t="s">
        <v>285</v>
      </c>
      <c r="B25" s="40"/>
      <c r="C25" s="43"/>
      <c r="D25" s="42"/>
      <c r="E25" s="42">
        <v>3608301.5900000003</v>
      </c>
      <c r="F25" s="42"/>
      <c r="G25" s="49">
        <v>4266888.34</v>
      </c>
    </row>
    <row r="26" spans="1:7" x14ac:dyDescent="0.3">
      <c r="A26" s="7" t="s">
        <v>286</v>
      </c>
      <c r="B26" s="40"/>
      <c r="C26" s="43"/>
      <c r="D26" s="42"/>
      <c r="E26" s="44">
        <v>-1683031.3800000006</v>
      </c>
      <c r="F26" s="42"/>
      <c r="G26" s="44">
        <v>-2071602.3199999998</v>
      </c>
    </row>
    <row r="27" spans="1:7" x14ac:dyDescent="0.3">
      <c r="A27" s="7" t="s">
        <v>287</v>
      </c>
      <c r="B27" s="40"/>
      <c r="C27" s="43"/>
      <c r="D27" s="42"/>
      <c r="E27" s="42"/>
      <c r="F27" s="42"/>
      <c r="G27" s="43"/>
    </row>
    <row r="28" spans="1:7" x14ac:dyDescent="0.3">
      <c r="A28" s="40"/>
      <c r="B28" s="7" t="s">
        <v>288</v>
      </c>
      <c r="C28" s="43"/>
      <c r="D28" s="42"/>
      <c r="E28" s="42"/>
      <c r="F28" s="42"/>
      <c r="G28" s="43"/>
    </row>
    <row r="29" spans="1:7" x14ac:dyDescent="0.3">
      <c r="A29" s="40"/>
      <c r="B29" s="7"/>
      <c r="C29" s="1" t="s">
        <v>303</v>
      </c>
      <c r="D29" s="42"/>
      <c r="E29" s="42">
        <v>1500000</v>
      </c>
      <c r="F29" s="42"/>
      <c r="G29" s="43">
        <v>1500000</v>
      </c>
    </row>
    <row r="30" spans="1:7" x14ac:dyDescent="0.3">
      <c r="A30" s="40"/>
      <c r="B30" s="40"/>
      <c r="C30" s="40"/>
      <c r="D30" s="48" t="s">
        <v>290</v>
      </c>
      <c r="E30" s="44">
        <v>1500000</v>
      </c>
      <c r="F30" s="48"/>
      <c r="G30" s="44">
        <v>1500000</v>
      </c>
    </row>
    <row r="31" spans="1:7" x14ac:dyDescent="0.3">
      <c r="A31" s="40"/>
      <c r="B31" s="7" t="s">
        <v>297</v>
      </c>
      <c r="C31" s="43"/>
      <c r="E31" s="3">
        <v>1500000</v>
      </c>
      <c r="G31" s="43">
        <v>1500000</v>
      </c>
    </row>
    <row r="32" spans="1:7" ht="16.2" thickBot="1" x14ac:dyDescent="0.35">
      <c r="A32" s="7" t="s">
        <v>300</v>
      </c>
      <c r="B32" s="7"/>
      <c r="C32" s="40"/>
      <c r="D32" s="41"/>
      <c r="E32" s="50">
        <v>-183031.38000000059</v>
      </c>
      <c r="F32" s="41"/>
      <c r="G32" s="50">
        <v>-571602.31999999983</v>
      </c>
    </row>
    <row r="33" ht="16.2" thickTop="1" x14ac:dyDescent="0.3"/>
  </sheetData>
  <sheetProtection algorithmName="SHA-512" hashValue="T+L1auZlgKgyMIMbi54clnyqsIQmCavJNpZy2krQXxlphuy0uFZZ9+v1CBiohKntOWtWQ4LLJ8X6eKYmVwmIJw==" saltValue="LgSRbs5sBWSZCg/+cE/SFg==" spinCount="100000" sheet="1" objects="1" scenarios="1" selectLockedCells="1" selectUnlockedCells="1"/>
  <printOptions horizontalCentered="1"/>
  <pageMargins left="1.4958333333333333" right="1" top="1" bottom="1" header="0.51181102362204722" footer="0.51181102362204722"/>
  <pageSetup scale="79" firstPageNumber="0" fitToHeight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  <pageSetUpPr fitToPage="1"/>
  </sheetPr>
  <dimension ref="A1:D20"/>
  <sheetViews>
    <sheetView zoomScaleNormal="100" zoomScaleSheetLayoutView="100" workbookViewId="0"/>
  </sheetViews>
  <sheetFormatPr defaultColWidth="9.109375" defaultRowHeight="15" x14ac:dyDescent="0.25"/>
  <cols>
    <col min="1" max="1" width="48.44140625" style="54" customWidth="1"/>
    <col min="2" max="2" width="16.6640625" style="54" bestFit="1" customWidth="1"/>
    <col min="3" max="3" width="2.33203125" style="54" customWidth="1"/>
    <col min="4" max="4" width="18.5546875" style="54" customWidth="1"/>
    <col min="5" max="16384" width="9.109375" style="54"/>
  </cols>
  <sheetData>
    <row r="1" spans="1:4" ht="15.6" x14ac:dyDescent="0.3">
      <c r="D1" s="4" t="s">
        <v>304</v>
      </c>
    </row>
    <row r="2" spans="1:4" ht="15.6" x14ac:dyDescent="0.3">
      <c r="A2" s="32" t="s">
        <v>2</v>
      </c>
      <c r="B2" s="32"/>
      <c r="C2" s="32"/>
    </row>
    <row r="3" spans="1:4" ht="15.6" x14ac:dyDescent="0.3">
      <c r="A3" s="32" t="s">
        <v>3</v>
      </c>
      <c r="B3" s="32"/>
      <c r="C3" s="32"/>
    </row>
    <row r="4" spans="1:4" ht="15.6" x14ac:dyDescent="0.3">
      <c r="A4" s="32" t="s">
        <v>4</v>
      </c>
      <c r="B4" s="32"/>
      <c r="C4" s="32"/>
    </row>
    <row r="5" spans="1:4" ht="15.6" x14ac:dyDescent="0.3">
      <c r="A5" s="32" t="s">
        <v>305</v>
      </c>
      <c r="B5" s="32"/>
      <c r="C5" s="32"/>
    </row>
    <row r="6" spans="1:4" ht="15.6" x14ac:dyDescent="0.3">
      <c r="A6" s="32" t="s">
        <v>6</v>
      </c>
      <c r="B6" s="32"/>
      <c r="C6" s="32"/>
    </row>
    <row r="7" spans="1:4" x14ac:dyDescent="0.25">
      <c r="A7" s="55" t="s">
        <v>466</v>
      </c>
      <c r="B7" s="55"/>
      <c r="C7" s="55"/>
    </row>
    <row r="8" spans="1:4" x14ac:dyDescent="0.25">
      <c r="A8" s="19" t="s">
        <v>463</v>
      </c>
      <c r="B8" s="19"/>
      <c r="C8" s="19"/>
    </row>
    <row r="9" spans="1:4" ht="15.6" x14ac:dyDescent="0.3">
      <c r="A9" s="32"/>
      <c r="B9" s="32"/>
      <c r="C9" s="32"/>
      <c r="D9" s="1"/>
    </row>
    <row r="10" spans="1:4" ht="15.6" x14ac:dyDescent="0.25">
      <c r="A10" s="56"/>
      <c r="B10" s="57">
        <v>2025</v>
      </c>
      <c r="C10" s="56"/>
      <c r="D10" s="57">
        <v>2024</v>
      </c>
    </row>
    <row r="11" spans="1:4" ht="15.6" x14ac:dyDescent="0.3">
      <c r="A11" s="56" t="s">
        <v>468</v>
      </c>
      <c r="B11" s="136">
        <v>731904700.20000005</v>
      </c>
      <c r="C11" s="56"/>
      <c r="D11" s="58">
        <v>737534791.74000001</v>
      </c>
    </row>
    <row r="12" spans="1:4" ht="15.6" x14ac:dyDescent="0.25">
      <c r="A12" s="59" t="s">
        <v>306</v>
      </c>
      <c r="B12" s="59"/>
      <c r="C12" s="59"/>
      <c r="D12" s="61"/>
    </row>
    <row r="13" spans="1:4" ht="15.6" x14ac:dyDescent="0.25">
      <c r="A13" s="59" t="s">
        <v>307</v>
      </c>
      <c r="B13" s="60">
        <v>0</v>
      </c>
      <c r="C13" s="59"/>
      <c r="D13" s="60">
        <v>0</v>
      </c>
    </row>
    <row r="14" spans="1:4" ht="15.6" x14ac:dyDescent="0.25">
      <c r="A14" s="59" t="s">
        <v>308</v>
      </c>
      <c r="B14" s="62">
        <v>197181399.19</v>
      </c>
      <c r="C14" s="59"/>
      <c r="D14" s="62">
        <v>386605.39</v>
      </c>
    </row>
    <row r="15" spans="1:4" ht="15.6" x14ac:dyDescent="0.25">
      <c r="A15" s="56" t="s">
        <v>309</v>
      </c>
      <c r="B15" s="64">
        <v>929086099.3900001</v>
      </c>
      <c r="C15" s="56"/>
      <c r="D15" s="64">
        <v>737921397.13</v>
      </c>
    </row>
    <row r="16" spans="1:4" ht="31.2" x14ac:dyDescent="0.25">
      <c r="A16" s="56" t="s">
        <v>310</v>
      </c>
      <c r="B16" s="56"/>
      <c r="C16" s="56"/>
      <c r="D16" s="61"/>
    </row>
    <row r="17" spans="1:4" ht="31.2" x14ac:dyDescent="0.25">
      <c r="A17" s="59" t="s">
        <v>311</v>
      </c>
      <c r="B17" s="65">
        <v>-3399682.08</v>
      </c>
      <c r="C17" s="59"/>
      <c r="D17" s="65">
        <v>0</v>
      </c>
    </row>
    <row r="18" spans="1:4" ht="15.6" x14ac:dyDescent="0.25">
      <c r="A18" s="59" t="s">
        <v>312</v>
      </c>
      <c r="B18" s="62">
        <v>32204852.699999969</v>
      </c>
      <c r="C18" s="59"/>
      <c r="D18" s="62">
        <v>-6016696.9299999997</v>
      </c>
    </row>
    <row r="19" spans="1:4" ht="31.2" x14ac:dyDescent="0.25">
      <c r="A19" s="56" t="s">
        <v>313</v>
      </c>
      <c r="B19" s="66">
        <v>28805170.619999968</v>
      </c>
      <c r="C19" s="56"/>
      <c r="D19" s="66">
        <v>-6016696.9299999997</v>
      </c>
    </row>
    <row r="20" spans="1:4" ht="15.6" x14ac:dyDescent="0.25">
      <c r="A20" s="56" t="s">
        <v>469</v>
      </c>
      <c r="B20" s="67">
        <v>957891270.01000011</v>
      </c>
      <c r="C20" s="56"/>
      <c r="D20" s="67">
        <v>731904700.20000005</v>
      </c>
    </row>
  </sheetData>
  <sheetProtection algorithmName="SHA-512" hashValue="hiCPoyzRgE0MvS8eLUbfumQvKpQwzFpZkEmqs1Zmo+2yyyR4LK2Rno3qTg7xJGOf4ed5RNvt/+avfP6WpPXgWg==" saltValue="3Eu/rXQ7Wx9dNNCJUS7Emg==" spinCount="100000" sheet="1" objects="1" scenarios="1" selectLockedCells="1" selectUnlockedCells="1"/>
  <printOptions horizontalCentered="1"/>
  <pageMargins left="1.4958333333333333" right="1" top="1" bottom="1" header="0.51181102362204722" footer="0.51181102362204722"/>
  <pageSetup scale="90" firstPageNumber="0" fitToHeight="0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  <pageSetUpPr fitToPage="1"/>
  </sheetPr>
  <dimension ref="A1:D20"/>
  <sheetViews>
    <sheetView zoomScaleNormal="100" zoomScaleSheetLayoutView="100" workbookViewId="0"/>
  </sheetViews>
  <sheetFormatPr defaultColWidth="9.109375" defaultRowHeight="15.6" x14ac:dyDescent="0.3"/>
  <cols>
    <col min="1" max="1" width="51.6640625" style="1" customWidth="1"/>
    <col min="2" max="2" width="14.33203125" style="1" bestFit="1" customWidth="1"/>
    <col min="3" max="3" width="2.33203125" style="1" customWidth="1"/>
    <col min="4" max="4" width="19.33203125" style="1" customWidth="1"/>
    <col min="5" max="16384" width="9.109375" style="1"/>
  </cols>
  <sheetData>
    <row r="1" spans="1:4" x14ac:dyDescent="0.3">
      <c r="D1" s="4" t="s">
        <v>314</v>
      </c>
    </row>
    <row r="2" spans="1:4" x14ac:dyDescent="0.3">
      <c r="A2" s="32" t="s">
        <v>2</v>
      </c>
      <c r="B2" s="32"/>
      <c r="C2" s="32"/>
    </row>
    <row r="3" spans="1:4" x14ac:dyDescent="0.3">
      <c r="A3" s="32" t="s">
        <v>3</v>
      </c>
      <c r="B3" s="32"/>
      <c r="C3" s="32"/>
    </row>
    <row r="4" spans="1:4" x14ac:dyDescent="0.3">
      <c r="A4" s="32" t="s">
        <v>4</v>
      </c>
      <c r="B4" s="32"/>
      <c r="C4" s="32"/>
    </row>
    <row r="5" spans="1:4" x14ac:dyDescent="0.3">
      <c r="A5" s="32" t="s">
        <v>305</v>
      </c>
      <c r="B5" s="32"/>
      <c r="C5" s="32"/>
    </row>
    <row r="6" spans="1:4" x14ac:dyDescent="0.3">
      <c r="A6" s="32" t="s">
        <v>152</v>
      </c>
      <c r="B6" s="32"/>
      <c r="C6" s="32"/>
    </row>
    <row r="7" spans="1:4" x14ac:dyDescent="0.3">
      <c r="A7" s="55" t="s">
        <v>466</v>
      </c>
      <c r="B7" s="55"/>
      <c r="C7" s="55"/>
    </row>
    <row r="8" spans="1:4" x14ac:dyDescent="0.3">
      <c r="A8" s="19" t="s">
        <v>463</v>
      </c>
      <c r="B8" s="19"/>
      <c r="C8" s="19"/>
    </row>
    <row r="9" spans="1:4" x14ac:dyDescent="0.3">
      <c r="A9" s="32"/>
      <c r="B9" s="32"/>
      <c r="C9" s="32"/>
    </row>
    <row r="10" spans="1:4" x14ac:dyDescent="0.3">
      <c r="A10" s="56"/>
      <c r="B10" s="57">
        <v>2025</v>
      </c>
      <c r="C10" s="56"/>
      <c r="D10" s="57">
        <v>2024</v>
      </c>
    </row>
    <row r="11" spans="1:4" x14ac:dyDescent="0.3">
      <c r="A11" s="56" t="s">
        <v>468</v>
      </c>
      <c r="B11" s="136">
        <v>2276169.02</v>
      </c>
      <c r="C11" s="56"/>
      <c r="D11" s="65">
        <v>2847771.34</v>
      </c>
    </row>
    <row r="12" spans="1:4" x14ac:dyDescent="0.3">
      <c r="A12" s="59" t="s">
        <v>306</v>
      </c>
      <c r="B12" s="59"/>
      <c r="C12" s="59"/>
      <c r="D12" s="65"/>
    </row>
    <row r="13" spans="1:4" x14ac:dyDescent="0.3">
      <c r="A13" s="59" t="s">
        <v>307</v>
      </c>
      <c r="B13" s="63">
        <v>0</v>
      </c>
      <c r="C13" s="59"/>
      <c r="D13" s="63">
        <v>0</v>
      </c>
    </row>
    <row r="14" spans="1:4" x14ac:dyDescent="0.3">
      <c r="A14" s="59" t="s">
        <v>308</v>
      </c>
      <c r="B14" s="62">
        <v>5000</v>
      </c>
      <c r="C14" s="59"/>
      <c r="D14" s="62">
        <v>0</v>
      </c>
    </row>
    <row r="15" spans="1:4" x14ac:dyDescent="0.3">
      <c r="A15" s="56" t="s">
        <v>309</v>
      </c>
      <c r="B15" s="64">
        <v>2281169.02</v>
      </c>
      <c r="C15" s="56"/>
      <c r="D15" s="64">
        <v>2847771.34</v>
      </c>
    </row>
    <row r="16" spans="1:4" ht="31.2" x14ac:dyDescent="0.3">
      <c r="A16" s="56" t="s">
        <v>310</v>
      </c>
      <c r="B16" s="56"/>
      <c r="C16" s="56"/>
      <c r="D16" s="61"/>
    </row>
    <row r="17" spans="1:4" ht="31.2" x14ac:dyDescent="0.3">
      <c r="A17" s="59" t="s">
        <v>311</v>
      </c>
      <c r="B17" s="63">
        <v>0</v>
      </c>
      <c r="C17" s="59"/>
      <c r="D17" s="63">
        <v>0</v>
      </c>
    </row>
    <row r="18" spans="1:4" x14ac:dyDescent="0.3">
      <c r="A18" s="59" t="s">
        <v>312</v>
      </c>
      <c r="B18" s="62">
        <v>-183031.38000000059</v>
      </c>
      <c r="C18" s="59"/>
      <c r="D18" s="62">
        <v>-571602.31999999995</v>
      </c>
    </row>
    <row r="19" spans="1:4" ht="31.2" x14ac:dyDescent="0.3">
      <c r="A19" s="56" t="s">
        <v>313</v>
      </c>
      <c r="B19" s="137">
        <v>-183031.38000000059</v>
      </c>
      <c r="C19" s="56"/>
      <c r="D19" s="137">
        <v>-571602.31999999995</v>
      </c>
    </row>
    <row r="20" spans="1:4" x14ac:dyDescent="0.3">
      <c r="A20" s="56" t="s">
        <v>469</v>
      </c>
      <c r="B20" s="66">
        <v>2098137.6399999997</v>
      </c>
      <c r="C20" s="56"/>
      <c r="D20" s="66">
        <v>2276169.02</v>
      </c>
    </row>
  </sheetData>
  <sheetProtection algorithmName="SHA-512" hashValue="5wc61PZ9/jmHiKPTPNBg0wGisP2zht/yw2mqNnn6u3PrDjAreVJL1DH6gwCG11FXdfKzXzcz//Chf1KkRmEdQg==" saltValue="Sv7z9ISbO1VNqgXwe/+msQ==" spinCount="100000" sheet="1" objects="1" scenarios="1" selectLockedCells="1" selectUnlockedCells="1"/>
  <printOptions horizontalCentered="1"/>
  <pageMargins left="1.4958333333333333" right="1" top="1" bottom="1" header="0.51181102362204722" footer="0.51181102362204722"/>
  <pageSetup scale="88" firstPageNumber="0" fitToHeight="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  <pageSetUpPr fitToPage="1"/>
  </sheetPr>
  <dimension ref="A1:D45"/>
  <sheetViews>
    <sheetView zoomScaleNormal="100" zoomScaleSheetLayoutView="100" workbookViewId="0"/>
  </sheetViews>
  <sheetFormatPr defaultRowHeight="13.2" x14ac:dyDescent="0.25"/>
  <cols>
    <col min="1" max="1" width="59.5546875" customWidth="1"/>
    <col min="2" max="2" width="17" style="138" bestFit="1" customWidth="1"/>
    <col min="3" max="3" width="2.109375" customWidth="1"/>
    <col min="4" max="4" width="17.6640625" customWidth="1"/>
  </cols>
  <sheetData>
    <row r="1" spans="1:4" ht="15.6" x14ac:dyDescent="0.3">
      <c r="D1" s="4" t="s">
        <v>315</v>
      </c>
    </row>
    <row r="2" spans="1:4" ht="13.8" x14ac:dyDescent="0.25">
      <c r="A2" s="55" t="s">
        <v>2</v>
      </c>
      <c r="B2" s="129"/>
      <c r="C2" s="55"/>
      <c r="D2" s="68"/>
    </row>
    <row r="3" spans="1:4" ht="13.8" x14ac:dyDescent="0.25">
      <c r="A3" s="55" t="s">
        <v>3</v>
      </c>
      <c r="B3" s="129"/>
      <c r="C3" s="55"/>
      <c r="D3" s="68"/>
    </row>
    <row r="4" spans="1:4" ht="13.8" x14ac:dyDescent="0.25">
      <c r="A4" s="55" t="s">
        <v>4</v>
      </c>
      <c r="B4" s="129"/>
      <c r="C4" s="55"/>
      <c r="D4" s="68"/>
    </row>
    <row r="5" spans="1:4" ht="13.8" x14ac:dyDescent="0.25">
      <c r="A5" s="55" t="s">
        <v>316</v>
      </c>
      <c r="B5" s="129"/>
      <c r="C5" s="55"/>
      <c r="D5" s="68"/>
    </row>
    <row r="6" spans="1:4" ht="13.8" x14ac:dyDescent="0.25">
      <c r="A6" s="55" t="s">
        <v>6</v>
      </c>
      <c r="B6" s="129"/>
      <c r="C6" s="55"/>
      <c r="D6" s="68"/>
    </row>
    <row r="7" spans="1:4" ht="13.8" x14ac:dyDescent="0.25">
      <c r="A7" s="55" t="s">
        <v>466</v>
      </c>
      <c r="B7" s="129"/>
      <c r="C7" s="55"/>
      <c r="D7" s="68"/>
    </row>
    <row r="8" spans="1:4" ht="13.8" x14ac:dyDescent="0.25">
      <c r="A8" s="19" t="s">
        <v>463</v>
      </c>
      <c r="B8" s="129"/>
      <c r="C8" s="19"/>
      <c r="D8" s="68"/>
    </row>
    <row r="9" spans="1:4" ht="13.8" x14ac:dyDescent="0.25">
      <c r="A9" s="55"/>
      <c r="B9" s="129"/>
      <c r="C9" s="55"/>
      <c r="D9" s="68"/>
    </row>
    <row r="10" spans="1:4" ht="13.8" x14ac:dyDescent="0.25">
      <c r="A10" s="55"/>
      <c r="B10" s="69">
        <v>2025</v>
      </c>
      <c r="C10" s="55"/>
      <c r="D10" s="69">
        <v>2024</v>
      </c>
    </row>
    <row r="11" spans="1:4" ht="15.6" x14ac:dyDescent="0.3">
      <c r="A11" s="70" t="s">
        <v>317</v>
      </c>
      <c r="B11" s="139"/>
      <c r="C11" s="70"/>
      <c r="D11" s="71"/>
    </row>
    <row r="12" spans="1:4" ht="16.2" x14ac:dyDescent="0.25">
      <c r="A12" s="72" t="s">
        <v>318</v>
      </c>
      <c r="B12" s="140"/>
      <c r="C12" s="72"/>
      <c r="D12" s="73"/>
    </row>
    <row r="13" spans="1:4" ht="15.6" x14ac:dyDescent="0.25">
      <c r="A13" s="74" t="s">
        <v>319</v>
      </c>
      <c r="B13" s="75">
        <v>8233571.8310000012</v>
      </c>
      <c r="C13" s="74"/>
      <c r="D13" s="75">
        <v>21758237.760000002</v>
      </c>
    </row>
    <row r="14" spans="1:4" ht="15.6" x14ac:dyDescent="0.25">
      <c r="A14" s="74" t="s">
        <v>320</v>
      </c>
      <c r="B14" s="75">
        <v>267630156</v>
      </c>
      <c r="C14" s="74"/>
      <c r="D14" s="75">
        <v>225475245</v>
      </c>
    </row>
    <row r="15" spans="1:4" ht="15.6" x14ac:dyDescent="0.25">
      <c r="A15" s="74" t="s">
        <v>321</v>
      </c>
      <c r="B15" s="75">
        <v>9847923.8580000047</v>
      </c>
      <c r="C15" s="74"/>
      <c r="D15" s="75">
        <v>6132528.2699999996</v>
      </c>
    </row>
    <row r="16" spans="1:4" ht="15.6" x14ac:dyDescent="0.25">
      <c r="A16" s="74" t="s">
        <v>322</v>
      </c>
      <c r="B16" s="75">
        <v>96569.71</v>
      </c>
      <c r="C16" s="74"/>
      <c r="D16" s="75">
        <v>102676.68</v>
      </c>
    </row>
    <row r="17" spans="1:4" ht="15.6" x14ac:dyDescent="0.25">
      <c r="A17" s="74" t="s">
        <v>323</v>
      </c>
      <c r="B17" s="75">
        <v>9426157.6049999967</v>
      </c>
      <c r="C17" s="74"/>
      <c r="D17" s="76">
        <v>28571408.690000001</v>
      </c>
    </row>
    <row r="18" spans="1:4" ht="15.6" x14ac:dyDescent="0.25">
      <c r="A18" s="70" t="s">
        <v>324</v>
      </c>
      <c r="B18" s="77">
        <v>295234379.00400001</v>
      </c>
      <c r="C18" s="70"/>
      <c r="D18" s="77">
        <v>282040096.40000004</v>
      </c>
    </row>
    <row r="19" spans="1:4" ht="16.2" x14ac:dyDescent="0.3">
      <c r="A19" s="78" t="s">
        <v>325</v>
      </c>
      <c r="B19" s="75"/>
      <c r="C19" s="78"/>
      <c r="D19" s="71"/>
    </row>
    <row r="20" spans="1:4" ht="15.6" x14ac:dyDescent="0.25">
      <c r="A20" s="70" t="s">
        <v>326</v>
      </c>
      <c r="B20" s="75">
        <v>15852096.390000014</v>
      </c>
      <c r="C20" s="70"/>
      <c r="D20" s="75">
        <v>10563089.15</v>
      </c>
    </row>
    <row r="21" spans="1:4" ht="15.6" x14ac:dyDescent="0.25">
      <c r="A21" s="70" t="s">
        <v>327</v>
      </c>
      <c r="B21" s="75">
        <v>40369456.041999996</v>
      </c>
      <c r="C21" s="70"/>
      <c r="D21" s="75">
        <v>58907039.729999997</v>
      </c>
    </row>
    <row r="22" spans="1:4" ht="15.6" x14ac:dyDescent="0.25">
      <c r="A22" s="74" t="s">
        <v>328</v>
      </c>
      <c r="B22" s="75">
        <v>85369685.120000005</v>
      </c>
      <c r="C22" s="74"/>
      <c r="D22" s="75">
        <v>63458480.170000002</v>
      </c>
    </row>
    <row r="23" spans="1:4" ht="15.6" x14ac:dyDescent="0.25">
      <c r="A23" s="74" t="s">
        <v>329</v>
      </c>
      <c r="B23" s="75">
        <v>90884088.549999982</v>
      </c>
      <c r="C23" s="74"/>
      <c r="D23" s="79">
        <v>101168488.58</v>
      </c>
    </row>
    <row r="24" spans="1:4" ht="15.6" x14ac:dyDescent="0.25">
      <c r="A24" s="70" t="s">
        <v>330</v>
      </c>
      <c r="B24" s="77">
        <v>232475326.102</v>
      </c>
      <c r="C24" s="70"/>
      <c r="D24" s="77">
        <v>234097097.63</v>
      </c>
    </row>
    <row r="25" spans="1:4" ht="15.6" x14ac:dyDescent="0.25">
      <c r="A25" s="70" t="s">
        <v>331</v>
      </c>
      <c r="B25" s="77">
        <v>62759052.90200001</v>
      </c>
      <c r="C25" s="70"/>
      <c r="D25" s="77">
        <v>47942998.770000041</v>
      </c>
    </row>
    <row r="26" spans="1:4" ht="15.6" x14ac:dyDescent="0.3">
      <c r="A26" s="70" t="s">
        <v>332</v>
      </c>
      <c r="B26" s="75"/>
      <c r="C26" s="70"/>
      <c r="D26" s="71"/>
    </row>
    <row r="27" spans="1:4" ht="16.2" x14ac:dyDescent="0.3">
      <c r="A27" s="78" t="s">
        <v>333</v>
      </c>
      <c r="B27" s="75"/>
      <c r="C27" s="78"/>
      <c r="D27" s="71"/>
    </row>
    <row r="28" spans="1:4" ht="15.6" x14ac:dyDescent="0.25">
      <c r="A28" s="74" t="s">
        <v>334</v>
      </c>
      <c r="B28" s="76">
        <v>0</v>
      </c>
      <c r="C28" s="74"/>
      <c r="D28" s="76">
        <v>0</v>
      </c>
    </row>
    <row r="29" spans="1:4" ht="15.6" x14ac:dyDescent="0.25">
      <c r="A29" s="70" t="s">
        <v>335</v>
      </c>
      <c r="B29" s="77">
        <v>0</v>
      </c>
      <c r="C29" s="70"/>
      <c r="D29" s="77">
        <v>0</v>
      </c>
    </row>
    <row r="30" spans="1:4" ht="16.2" x14ac:dyDescent="0.3">
      <c r="A30" s="78" t="s">
        <v>325</v>
      </c>
      <c r="B30" s="75"/>
      <c r="C30" s="78"/>
      <c r="D30" s="71"/>
    </row>
    <row r="31" spans="1:4" ht="15.6" x14ac:dyDescent="0.25">
      <c r="A31" s="74" t="s">
        <v>336</v>
      </c>
      <c r="B31" s="75"/>
      <c r="C31" s="74"/>
      <c r="D31" s="75"/>
    </row>
    <row r="32" spans="1:4" ht="15.6" x14ac:dyDescent="0.25">
      <c r="A32" s="80" t="s">
        <v>337</v>
      </c>
      <c r="B32" s="75">
        <v>71471384.070000008</v>
      </c>
      <c r="C32" s="80"/>
      <c r="D32" s="76">
        <v>103994165.89</v>
      </c>
    </row>
    <row r="33" spans="1:4" ht="15.6" x14ac:dyDescent="0.25">
      <c r="A33" s="70" t="s">
        <v>330</v>
      </c>
      <c r="B33" s="81">
        <v>71471384.070000008</v>
      </c>
      <c r="C33" s="70"/>
      <c r="D33" s="81">
        <v>103994165.89</v>
      </c>
    </row>
    <row r="34" spans="1:4" ht="15.6" x14ac:dyDescent="0.25">
      <c r="A34" s="80" t="s">
        <v>338</v>
      </c>
      <c r="B34" s="77">
        <v>-71471384.070000008</v>
      </c>
      <c r="C34" s="80"/>
      <c r="D34" s="77">
        <v>-103994165.89</v>
      </c>
    </row>
    <row r="35" spans="1:4" ht="15.6" x14ac:dyDescent="0.3">
      <c r="A35" s="70" t="s">
        <v>339</v>
      </c>
      <c r="B35" s="75"/>
      <c r="C35" s="70"/>
      <c r="D35" s="71"/>
    </row>
    <row r="36" spans="1:4" ht="16.2" x14ac:dyDescent="0.3">
      <c r="A36" s="82" t="s">
        <v>318</v>
      </c>
      <c r="B36" s="75"/>
      <c r="C36" s="82"/>
      <c r="D36" s="71"/>
    </row>
    <row r="37" spans="1:4" ht="15.6" x14ac:dyDescent="0.25">
      <c r="A37" s="74" t="s">
        <v>340</v>
      </c>
      <c r="B37" s="76">
        <v>0</v>
      </c>
      <c r="C37" s="74"/>
      <c r="D37" s="76">
        <v>0</v>
      </c>
    </row>
    <row r="38" spans="1:4" ht="15.6" x14ac:dyDescent="0.25">
      <c r="A38" s="83" t="s">
        <v>341</v>
      </c>
      <c r="B38" s="84">
        <v>0</v>
      </c>
      <c r="C38" s="83"/>
      <c r="D38" s="84">
        <v>0</v>
      </c>
    </row>
    <row r="39" spans="1:4" ht="16.2" x14ac:dyDescent="0.3">
      <c r="A39" s="78" t="s">
        <v>325</v>
      </c>
      <c r="B39" s="71"/>
      <c r="C39" s="78"/>
      <c r="D39" s="71"/>
    </row>
    <row r="40" spans="1:4" ht="15.6" x14ac:dyDescent="0.25">
      <c r="A40" s="80" t="s">
        <v>342</v>
      </c>
      <c r="B40" s="76">
        <v>0</v>
      </c>
      <c r="C40" s="80"/>
      <c r="D40" s="76">
        <v>0</v>
      </c>
    </row>
    <row r="41" spans="1:4" ht="15.6" x14ac:dyDescent="0.25">
      <c r="A41" s="70" t="s">
        <v>330</v>
      </c>
      <c r="B41" s="84">
        <v>0</v>
      </c>
      <c r="C41" s="70"/>
      <c r="D41" s="84">
        <v>0</v>
      </c>
    </row>
    <row r="42" spans="1:4" ht="15.6" x14ac:dyDescent="0.25">
      <c r="A42" s="70" t="s">
        <v>343</v>
      </c>
      <c r="B42" s="84">
        <v>0</v>
      </c>
      <c r="C42" s="70"/>
      <c r="D42" s="84">
        <v>0</v>
      </c>
    </row>
    <row r="43" spans="1:4" ht="31.2" x14ac:dyDescent="0.3">
      <c r="A43" s="80" t="s">
        <v>344</v>
      </c>
      <c r="B43" s="85">
        <v>-8712331.1679999977</v>
      </c>
      <c r="C43" s="80"/>
      <c r="D43" s="85">
        <v>-56051167.11999996</v>
      </c>
    </row>
    <row r="44" spans="1:4" ht="15.6" x14ac:dyDescent="0.3">
      <c r="A44" s="70" t="s">
        <v>345</v>
      </c>
      <c r="B44" s="86">
        <v>212479796.90000004</v>
      </c>
      <c r="C44" s="70"/>
      <c r="D44" s="86">
        <v>268530964.01999998</v>
      </c>
    </row>
    <row r="45" spans="1:4" ht="15.6" x14ac:dyDescent="0.25">
      <c r="A45" s="80" t="s">
        <v>346</v>
      </c>
      <c r="B45" s="77">
        <v>203767465.73200005</v>
      </c>
      <c r="C45" s="80"/>
      <c r="D45" s="77">
        <v>212479796.90000004</v>
      </c>
    </row>
  </sheetData>
  <sheetProtection algorithmName="SHA-512" hashValue="V1Hzp2Nm+IwVUpFr7jlAtzmgnu7TrmWcKtqdoU99mX0Kp0lZkBmWlhekYSkcAPyUeICecYO5Pf/gyfvR1o8ERg==" saltValue="9L6DFbfSe1lf2nSi4jb6Mw==" spinCount="100000" sheet="1" objects="1" scenarios="1" selectLockedCells="1" selectUnlockedCells="1"/>
  <pageMargins left="1.4958333333333333" right="1" top="1" bottom="1" header="0.51181102362204722" footer="0.51181102362204722"/>
  <pageSetup scale="80" firstPageNumber="0" fitToHeight="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  <pageSetUpPr fitToPage="1"/>
  </sheetPr>
  <dimension ref="A1:D46"/>
  <sheetViews>
    <sheetView zoomScaleNormal="100" zoomScaleSheetLayoutView="100" workbookViewId="0"/>
  </sheetViews>
  <sheetFormatPr defaultColWidth="9.109375" defaultRowHeight="15.6" x14ac:dyDescent="0.3"/>
  <cols>
    <col min="1" max="1" width="60.6640625" style="1" customWidth="1"/>
    <col min="2" max="2" width="14.6640625" style="1" bestFit="1" customWidth="1"/>
    <col min="3" max="3" width="2.109375" style="1" customWidth="1"/>
    <col min="4" max="4" width="17.6640625" style="1" customWidth="1"/>
    <col min="5" max="16384" width="9.109375" style="1"/>
  </cols>
  <sheetData>
    <row r="1" spans="1:4" x14ac:dyDescent="0.3">
      <c r="D1" s="4" t="s">
        <v>347</v>
      </c>
    </row>
    <row r="2" spans="1:4" x14ac:dyDescent="0.3">
      <c r="A2" s="32" t="s">
        <v>2</v>
      </c>
      <c r="B2" s="32"/>
      <c r="C2" s="32"/>
      <c r="D2" s="36"/>
    </row>
    <row r="3" spans="1:4" x14ac:dyDescent="0.3">
      <c r="A3" s="32" t="s">
        <v>3</v>
      </c>
      <c r="B3" s="32"/>
      <c r="C3" s="32"/>
      <c r="D3" s="36"/>
    </row>
    <row r="4" spans="1:4" x14ac:dyDescent="0.3">
      <c r="A4" s="32" t="s">
        <v>4</v>
      </c>
      <c r="B4" s="32"/>
      <c r="C4" s="32"/>
      <c r="D4" s="36"/>
    </row>
    <row r="5" spans="1:4" x14ac:dyDescent="0.3">
      <c r="A5" s="32" t="s">
        <v>316</v>
      </c>
      <c r="B5" s="32"/>
      <c r="C5" s="32"/>
      <c r="D5" s="36"/>
    </row>
    <row r="6" spans="1:4" x14ac:dyDescent="0.3">
      <c r="A6" s="32" t="s">
        <v>152</v>
      </c>
      <c r="B6" s="32"/>
      <c r="C6" s="32"/>
      <c r="D6" s="36"/>
    </row>
    <row r="7" spans="1:4" x14ac:dyDescent="0.3">
      <c r="A7" s="32" t="s">
        <v>466</v>
      </c>
      <c r="B7" s="32"/>
      <c r="C7" s="32"/>
      <c r="D7" s="36"/>
    </row>
    <row r="8" spans="1:4" x14ac:dyDescent="0.3">
      <c r="A8" s="33" t="s">
        <v>463</v>
      </c>
      <c r="B8" s="33"/>
      <c r="C8" s="33"/>
      <c r="D8" s="36"/>
    </row>
    <row r="9" spans="1:4" x14ac:dyDescent="0.3">
      <c r="A9" s="32"/>
      <c r="B9" s="32"/>
      <c r="C9" s="32"/>
      <c r="D9" s="36"/>
    </row>
    <row r="10" spans="1:4" x14ac:dyDescent="0.3">
      <c r="A10" s="32"/>
      <c r="B10" s="87">
        <v>2025</v>
      </c>
      <c r="C10" s="32"/>
      <c r="D10" s="87">
        <v>2024</v>
      </c>
    </row>
    <row r="11" spans="1:4" x14ac:dyDescent="0.3">
      <c r="A11" s="70" t="s">
        <v>317</v>
      </c>
      <c r="B11" s="70"/>
      <c r="C11" s="70"/>
      <c r="D11" s="88"/>
    </row>
    <row r="12" spans="1:4" ht="16.2" x14ac:dyDescent="0.3">
      <c r="A12" s="72" t="s">
        <v>318</v>
      </c>
      <c r="B12" s="72"/>
      <c r="C12" s="72"/>
      <c r="D12" s="73"/>
    </row>
    <row r="13" spans="1:4" x14ac:dyDescent="0.3">
      <c r="A13" s="74" t="s">
        <v>319</v>
      </c>
      <c r="B13" s="90">
        <v>3847963.48</v>
      </c>
      <c r="C13" s="74"/>
      <c r="D13" s="90">
        <v>4388178.8899999997</v>
      </c>
    </row>
    <row r="14" spans="1:4" x14ac:dyDescent="0.3">
      <c r="A14" s="74" t="s">
        <v>320</v>
      </c>
      <c r="B14" s="90">
        <v>0</v>
      </c>
      <c r="C14" s="74"/>
      <c r="D14" s="89">
        <v>0</v>
      </c>
    </row>
    <row r="15" spans="1:4" x14ac:dyDescent="0.3">
      <c r="A15" s="74" t="s">
        <v>321</v>
      </c>
      <c r="B15" s="90">
        <v>0</v>
      </c>
      <c r="C15" s="74"/>
      <c r="D15" s="89">
        <v>0</v>
      </c>
    </row>
    <row r="16" spans="1:4" x14ac:dyDescent="0.3">
      <c r="A16" s="74" t="s">
        <v>322</v>
      </c>
      <c r="B16" s="90">
        <v>1288.48</v>
      </c>
      <c r="C16" s="74"/>
      <c r="D16" s="36">
        <v>1196.57</v>
      </c>
    </row>
    <row r="17" spans="1:4" x14ac:dyDescent="0.3">
      <c r="A17" s="74" t="s">
        <v>323</v>
      </c>
      <c r="B17" s="90">
        <v>1508500</v>
      </c>
      <c r="C17" s="74"/>
      <c r="D17" s="91">
        <v>1504885</v>
      </c>
    </row>
    <row r="18" spans="1:4" x14ac:dyDescent="0.3">
      <c r="A18" s="70" t="s">
        <v>324</v>
      </c>
      <c r="B18" s="92">
        <v>5357751.96</v>
      </c>
      <c r="C18" s="70"/>
      <c r="D18" s="92">
        <v>5894260.46</v>
      </c>
    </row>
    <row r="19" spans="1:4" ht="16.2" x14ac:dyDescent="0.3">
      <c r="A19" s="78" t="s">
        <v>325</v>
      </c>
      <c r="B19" s="90"/>
      <c r="C19" s="78"/>
      <c r="D19" s="93"/>
    </row>
    <row r="20" spans="1:4" x14ac:dyDescent="0.3">
      <c r="A20" s="70" t="s">
        <v>326</v>
      </c>
      <c r="B20" s="90">
        <v>1923981.7599999995</v>
      </c>
      <c r="C20" s="70"/>
      <c r="D20" s="94">
        <v>2194089.44</v>
      </c>
    </row>
    <row r="21" spans="1:4" x14ac:dyDescent="0.3">
      <c r="A21" s="70" t="s">
        <v>327</v>
      </c>
      <c r="B21" s="90">
        <v>169201.35</v>
      </c>
      <c r="C21" s="70"/>
      <c r="D21" s="94">
        <v>888843.6</v>
      </c>
    </row>
    <row r="22" spans="1:4" x14ac:dyDescent="0.3">
      <c r="A22" s="74" t="s">
        <v>328</v>
      </c>
      <c r="B22" s="90">
        <v>0</v>
      </c>
      <c r="C22" s="74"/>
      <c r="D22" s="94">
        <v>0</v>
      </c>
    </row>
    <row r="23" spans="1:4" x14ac:dyDescent="0.3">
      <c r="A23" s="74" t="s">
        <v>329</v>
      </c>
      <c r="B23" s="90">
        <v>3091440.8699999996</v>
      </c>
      <c r="C23" s="74"/>
      <c r="D23" s="91">
        <v>3553312.19</v>
      </c>
    </row>
    <row r="24" spans="1:4" x14ac:dyDescent="0.3">
      <c r="A24" s="70" t="s">
        <v>330</v>
      </c>
      <c r="B24" s="92">
        <v>5184623.9799999995</v>
      </c>
      <c r="C24" s="70"/>
      <c r="D24" s="92">
        <v>6636245.2300000004</v>
      </c>
    </row>
    <row r="25" spans="1:4" x14ac:dyDescent="0.3">
      <c r="A25" s="70" t="s">
        <v>331</v>
      </c>
      <c r="B25" s="92">
        <v>173127.98000000045</v>
      </c>
      <c r="C25" s="70"/>
      <c r="D25" s="92">
        <v>-741984.77000000048</v>
      </c>
    </row>
    <row r="26" spans="1:4" x14ac:dyDescent="0.3">
      <c r="A26" s="70" t="s">
        <v>332</v>
      </c>
      <c r="B26" s="90"/>
      <c r="C26" s="70"/>
      <c r="D26" s="93"/>
    </row>
    <row r="27" spans="1:4" ht="16.2" x14ac:dyDescent="0.3">
      <c r="A27" s="78" t="s">
        <v>333</v>
      </c>
      <c r="B27" s="90"/>
      <c r="C27" s="78"/>
      <c r="D27" s="88"/>
    </row>
    <row r="28" spans="1:4" x14ac:dyDescent="0.3">
      <c r="A28" s="74" t="s">
        <v>334</v>
      </c>
      <c r="B28" s="94">
        <v>0</v>
      </c>
      <c r="C28" s="74"/>
      <c r="D28" s="94">
        <v>0</v>
      </c>
    </row>
    <row r="29" spans="1:4" x14ac:dyDescent="0.3">
      <c r="A29" s="70" t="s">
        <v>335</v>
      </c>
      <c r="B29" s="77">
        <v>0</v>
      </c>
      <c r="C29" s="70"/>
      <c r="D29" s="77">
        <v>0</v>
      </c>
    </row>
    <row r="30" spans="1:4" ht="16.2" x14ac:dyDescent="0.3">
      <c r="A30" s="78" t="s">
        <v>325</v>
      </c>
      <c r="B30" s="88"/>
      <c r="C30" s="78"/>
      <c r="D30" s="88"/>
    </row>
    <row r="31" spans="1:4" x14ac:dyDescent="0.3">
      <c r="A31" s="74" t="s">
        <v>336</v>
      </c>
      <c r="B31" s="94">
        <v>0</v>
      </c>
      <c r="C31" s="74"/>
      <c r="D31" s="94">
        <v>0</v>
      </c>
    </row>
    <row r="32" spans="1:4" x14ac:dyDescent="0.3">
      <c r="A32" s="70" t="s">
        <v>337</v>
      </c>
      <c r="B32" s="94">
        <v>0</v>
      </c>
      <c r="C32" s="70"/>
      <c r="D32" s="94">
        <v>0</v>
      </c>
    </row>
    <row r="33" spans="1:4" x14ac:dyDescent="0.3">
      <c r="A33" s="70" t="s">
        <v>330</v>
      </c>
      <c r="B33" s="76">
        <v>0</v>
      </c>
      <c r="C33" s="70"/>
      <c r="D33" s="76">
        <v>0</v>
      </c>
    </row>
    <row r="34" spans="1:4" x14ac:dyDescent="0.3">
      <c r="A34" s="80" t="s">
        <v>338</v>
      </c>
      <c r="B34" s="84">
        <v>0</v>
      </c>
      <c r="C34" s="80"/>
      <c r="D34" s="84">
        <v>0</v>
      </c>
    </row>
    <row r="35" spans="1:4" x14ac:dyDescent="0.3">
      <c r="A35" s="70" t="s">
        <v>339</v>
      </c>
      <c r="B35" s="88"/>
      <c r="C35" s="70"/>
      <c r="D35" s="88"/>
    </row>
    <row r="36" spans="1:4" ht="16.2" x14ac:dyDescent="0.3">
      <c r="A36" s="82" t="s">
        <v>318</v>
      </c>
      <c r="B36" s="88"/>
      <c r="C36" s="82"/>
      <c r="D36" s="88"/>
    </row>
    <row r="37" spans="1:4" x14ac:dyDescent="0.3">
      <c r="A37" s="70" t="s">
        <v>348</v>
      </c>
      <c r="B37" s="94">
        <v>0</v>
      </c>
      <c r="C37" s="70"/>
      <c r="D37" s="94">
        <v>0</v>
      </c>
    </row>
    <row r="38" spans="1:4" x14ac:dyDescent="0.3">
      <c r="A38" s="74" t="s">
        <v>340</v>
      </c>
      <c r="B38" s="94">
        <v>0</v>
      </c>
      <c r="C38" s="74"/>
      <c r="D38" s="94">
        <v>0</v>
      </c>
    </row>
    <row r="39" spans="1:4" x14ac:dyDescent="0.3">
      <c r="A39" s="83" t="s">
        <v>341</v>
      </c>
      <c r="B39" s="84">
        <v>0</v>
      </c>
      <c r="C39" s="83"/>
      <c r="D39" s="84">
        <v>0</v>
      </c>
    </row>
    <row r="40" spans="1:4" ht="16.2" x14ac:dyDescent="0.3">
      <c r="A40" s="78" t="s">
        <v>325</v>
      </c>
      <c r="B40" s="88"/>
      <c r="C40" s="78"/>
      <c r="D40" s="88"/>
    </row>
    <row r="41" spans="1:4" x14ac:dyDescent="0.3">
      <c r="A41" s="80" t="s">
        <v>342</v>
      </c>
      <c r="B41" s="76">
        <v>0</v>
      </c>
      <c r="C41" s="80"/>
      <c r="D41" s="76">
        <v>0</v>
      </c>
    </row>
    <row r="42" spans="1:4" x14ac:dyDescent="0.3">
      <c r="A42" s="70" t="s">
        <v>330</v>
      </c>
      <c r="B42" s="84">
        <v>0</v>
      </c>
      <c r="C42" s="70"/>
      <c r="D42" s="84">
        <v>0</v>
      </c>
    </row>
    <row r="43" spans="1:4" x14ac:dyDescent="0.3">
      <c r="A43" s="70" t="s">
        <v>343</v>
      </c>
      <c r="B43" s="84">
        <v>0</v>
      </c>
      <c r="C43" s="70"/>
      <c r="D43" s="84">
        <v>0</v>
      </c>
    </row>
    <row r="44" spans="1:4" ht="31.2" x14ac:dyDescent="0.3">
      <c r="A44" s="80" t="s">
        <v>349</v>
      </c>
      <c r="B44" s="95">
        <v>173127.98000000045</v>
      </c>
      <c r="C44" s="80"/>
      <c r="D44" s="95">
        <v>-741984.77000000048</v>
      </c>
    </row>
    <row r="45" spans="1:4" x14ac:dyDescent="0.3">
      <c r="A45" s="70" t="s">
        <v>345</v>
      </c>
      <c r="B45" s="90">
        <v>2480572.0199999996</v>
      </c>
      <c r="C45" s="70"/>
      <c r="D45" s="86">
        <v>3222556.79</v>
      </c>
    </row>
    <row r="46" spans="1:4" x14ac:dyDescent="0.3">
      <c r="A46" s="80" t="s">
        <v>346</v>
      </c>
      <c r="B46" s="77">
        <v>2653700</v>
      </c>
      <c r="C46" s="80"/>
      <c r="D46" s="77">
        <v>2480572.0199999996</v>
      </c>
    </row>
  </sheetData>
  <sheetProtection algorithmName="SHA-512" hashValue="P/wFD++1ujRUBKJLZIf2oOxREbzGs5URd71DBPnwDLA00lWBmX88nixMrzJJSVIbOpFUB+mF3xrgX8B+TKXhmw==" saltValue="d9YQ+tNxHoPuhVAgCkRixQ==" spinCount="100000" sheet="1" objects="1" scenarios="1" selectLockedCells="1" selectUnlockedCells="1"/>
  <pageMargins left="1.495832239720035" right="1" top="1" bottom="1" header="0.51180993000874886" footer="0.51180993000874886"/>
  <pageSetup scale="82" firstPageNumber="0" fitToHeight="0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  <pageSetUpPr fitToPage="1"/>
  </sheetPr>
  <dimension ref="A1:D47"/>
  <sheetViews>
    <sheetView zoomScaleNormal="100" zoomScaleSheetLayoutView="100" workbookViewId="0"/>
  </sheetViews>
  <sheetFormatPr defaultColWidth="9.109375" defaultRowHeight="15.6" x14ac:dyDescent="0.3"/>
  <cols>
    <col min="1" max="1" width="61.109375" style="1" customWidth="1"/>
    <col min="2" max="2" width="16.6640625" style="1" bestFit="1" customWidth="1"/>
    <col min="3" max="3" width="2.33203125" style="1" customWidth="1"/>
    <col min="4" max="4" width="18" style="1" customWidth="1"/>
    <col min="5" max="16384" width="9.109375" style="1"/>
  </cols>
  <sheetData>
    <row r="1" spans="1:4" x14ac:dyDescent="0.3">
      <c r="D1" s="4" t="s">
        <v>350</v>
      </c>
    </row>
    <row r="2" spans="1:4" x14ac:dyDescent="0.3">
      <c r="A2" s="32" t="s">
        <v>2</v>
      </c>
      <c r="B2" s="32"/>
      <c r="C2" s="32"/>
      <c r="D2" s="36"/>
    </row>
    <row r="3" spans="1:4" x14ac:dyDescent="0.3">
      <c r="A3" s="32" t="s">
        <v>3</v>
      </c>
      <c r="B3" s="32"/>
      <c r="C3" s="32"/>
      <c r="D3" s="36"/>
    </row>
    <row r="4" spans="1:4" x14ac:dyDescent="0.3">
      <c r="A4" s="32" t="s">
        <v>4</v>
      </c>
      <c r="B4" s="32"/>
      <c r="C4" s="32"/>
      <c r="D4" s="36"/>
    </row>
    <row r="5" spans="1:4" x14ac:dyDescent="0.3">
      <c r="A5" s="32" t="s">
        <v>316</v>
      </c>
      <c r="B5" s="32"/>
      <c r="C5" s="32"/>
      <c r="D5" s="36"/>
    </row>
    <row r="6" spans="1:4" x14ac:dyDescent="0.3">
      <c r="A6" s="32" t="s">
        <v>157</v>
      </c>
      <c r="B6" s="32"/>
      <c r="C6" s="32"/>
      <c r="D6" s="36"/>
    </row>
    <row r="7" spans="1:4" x14ac:dyDescent="0.3">
      <c r="A7" s="32" t="s">
        <v>466</v>
      </c>
      <c r="B7" s="32"/>
      <c r="C7" s="32"/>
      <c r="D7" s="36"/>
    </row>
    <row r="8" spans="1:4" x14ac:dyDescent="0.3">
      <c r="A8" s="33" t="s">
        <v>463</v>
      </c>
      <c r="B8" s="33"/>
      <c r="C8" s="33"/>
      <c r="D8" s="36"/>
    </row>
    <row r="9" spans="1:4" x14ac:dyDescent="0.3">
      <c r="A9" s="32"/>
      <c r="B9" s="32"/>
      <c r="C9" s="32"/>
      <c r="D9" s="36"/>
    </row>
    <row r="10" spans="1:4" x14ac:dyDescent="0.3">
      <c r="A10" s="32"/>
      <c r="B10" s="87">
        <v>2025</v>
      </c>
      <c r="C10" s="32"/>
      <c r="D10" s="87">
        <v>2024</v>
      </c>
    </row>
    <row r="11" spans="1:4" x14ac:dyDescent="0.3">
      <c r="A11" s="70" t="s">
        <v>317</v>
      </c>
      <c r="B11" s="70"/>
      <c r="C11" s="70"/>
      <c r="D11" s="88"/>
    </row>
    <row r="12" spans="1:4" ht="16.2" x14ac:dyDescent="0.3">
      <c r="A12" s="72" t="s">
        <v>318</v>
      </c>
      <c r="B12" s="72"/>
      <c r="C12" s="72"/>
      <c r="D12" s="73"/>
    </row>
    <row r="13" spans="1:4" x14ac:dyDescent="0.3">
      <c r="A13" s="74" t="s">
        <v>319</v>
      </c>
      <c r="B13" s="75">
        <v>0</v>
      </c>
      <c r="C13" s="74"/>
      <c r="D13" s="75">
        <v>0</v>
      </c>
    </row>
    <row r="14" spans="1:4" x14ac:dyDescent="0.3">
      <c r="A14" s="74" t="s">
        <v>320</v>
      </c>
      <c r="B14" s="75">
        <v>0</v>
      </c>
      <c r="C14" s="74"/>
      <c r="D14" s="75">
        <v>0</v>
      </c>
    </row>
    <row r="15" spans="1:4" x14ac:dyDescent="0.3">
      <c r="A15" s="74" t="s">
        <v>321</v>
      </c>
      <c r="B15" s="75">
        <v>0</v>
      </c>
      <c r="C15" s="74"/>
      <c r="D15" s="75">
        <v>0</v>
      </c>
    </row>
    <row r="16" spans="1:4" x14ac:dyDescent="0.3">
      <c r="A16" s="74" t="s">
        <v>322</v>
      </c>
      <c r="B16" s="75">
        <v>0</v>
      </c>
      <c r="C16" s="74"/>
      <c r="D16" s="34">
        <v>8157.12</v>
      </c>
    </row>
    <row r="17" spans="1:4" x14ac:dyDescent="0.3">
      <c r="A17" s="74" t="s">
        <v>323</v>
      </c>
      <c r="B17" s="91">
        <v>26612254.810000002</v>
      </c>
      <c r="C17" s="74"/>
      <c r="D17" s="91">
        <v>40366729.020000003</v>
      </c>
    </row>
    <row r="18" spans="1:4" x14ac:dyDescent="0.3">
      <c r="A18" s="70" t="s">
        <v>324</v>
      </c>
      <c r="B18" s="77">
        <v>26612254.810000002</v>
      </c>
      <c r="C18" s="70"/>
      <c r="D18" s="77">
        <v>40374886.140000001</v>
      </c>
    </row>
    <row r="19" spans="1:4" ht="16.2" x14ac:dyDescent="0.3">
      <c r="A19" s="78" t="s">
        <v>325</v>
      </c>
      <c r="B19" s="78"/>
      <c r="C19" s="78"/>
      <c r="D19" s="88"/>
    </row>
    <row r="20" spans="1:4" x14ac:dyDescent="0.3">
      <c r="A20" s="70" t="s">
        <v>326</v>
      </c>
      <c r="B20" s="70"/>
      <c r="C20" s="70"/>
      <c r="D20" s="75"/>
    </row>
    <row r="21" spans="1:4" x14ac:dyDescent="0.3">
      <c r="A21" s="70" t="s">
        <v>327</v>
      </c>
      <c r="B21" s="75">
        <v>12914763.110000003</v>
      </c>
      <c r="C21" s="70"/>
      <c r="D21" s="75">
        <v>15233123.35</v>
      </c>
    </row>
    <row r="22" spans="1:4" x14ac:dyDescent="0.3">
      <c r="A22" s="74" t="s">
        <v>328</v>
      </c>
      <c r="B22" s="75">
        <v>0</v>
      </c>
      <c r="C22" s="74"/>
      <c r="D22" s="75">
        <v>0</v>
      </c>
    </row>
    <row r="23" spans="1:4" x14ac:dyDescent="0.3">
      <c r="A23" s="74" t="s">
        <v>329</v>
      </c>
      <c r="B23" s="75">
        <v>25729825.210000001</v>
      </c>
      <c r="C23" s="74"/>
      <c r="D23" s="75">
        <v>23688518.969999999</v>
      </c>
    </row>
    <row r="24" spans="1:4" x14ac:dyDescent="0.3">
      <c r="A24" s="70" t="s">
        <v>330</v>
      </c>
      <c r="B24" s="77">
        <v>38644588.320000008</v>
      </c>
      <c r="C24" s="70"/>
      <c r="D24" s="77">
        <v>38921642.32</v>
      </c>
    </row>
    <row r="25" spans="1:4" x14ac:dyDescent="0.3">
      <c r="A25" s="70" t="s">
        <v>331</v>
      </c>
      <c r="B25" s="77">
        <v>-12032333.510000005</v>
      </c>
      <c r="C25" s="70"/>
      <c r="D25" s="77">
        <v>1453243.8200000003</v>
      </c>
    </row>
    <row r="26" spans="1:4" x14ac:dyDescent="0.3">
      <c r="A26" s="70" t="s">
        <v>332</v>
      </c>
      <c r="B26" s="70"/>
      <c r="C26" s="70"/>
      <c r="D26" s="88"/>
    </row>
    <row r="27" spans="1:4" ht="16.2" x14ac:dyDescent="0.3">
      <c r="A27" s="78" t="s">
        <v>333</v>
      </c>
      <c r="B27" s="78"/>
      <c r="C27" s="78"/>
      <c r="D27" s="88"/>
    </row>
    <row r="28" spans="1:4" x14ac:dyDescent="0.3">
      <c r="A28" s="74" t="s">
        <v>351</v>
      </c>
      <c r="B28" s="75">
        <v>0</v>
      </c>
      <c r="C28" s="74"/>
      <c r="D28" s="75">
        <v>0</v>
      </c>
    </row>
    <row r="29" spans="1:4" x14ac:dyDescent="0.3">
      <c r="A29" s="74" t="s">
        <v>334</v>
      </c>
      <c r="B29" s="75">
        <v>0</v>
      </c>
      <c r="C29" s="74"/>
      <c r="D29" s="75">
        <v>0</v>
      </c>
    </row>
    <row r="30" spans="1:4" x14ac:dyDescent="0.3">
      <c r="A30" s="70" t="s">
        <v>335</v>
      </c>
      <c r="B30" s="77">
        <v>0</v>
      </c>
      <c r="C30" s="70"/>
      <c r="D30" s="77">
        <v>0</v>
      </c>
    </row>
    <row r="31" spans="1:4" ht="16.2" x14ac:dyDescent="0.3">
      <c r="A31" s="78" t="s">
        <v>325</v>
      </c>
      <c r="B31" s="88"/>
      <c r="C31" s="78"/>
      <c r="D31" s="88"/>
    </row>
    <row r="32" spans="1:4" x14ac:dyDescent="0.3">
      <c r="A32" s="74" t="s">
        <v>336</v>
      </c>
      <c r="B32" s="75">
        <v>0</v>
      </c>
      <c r="C32" s="74"/>
      <c r="D32" s="75">
        <v>0</v>
      </c>
    </row>
    <row r="33" spans="1:4" x14ac:dyDescent="0.3">
      <c r="A33" s="70" t="s">
        <v>337</v>
      </c>
      <c r="B33" s="75">
        <v>0</v>
      </c>
      <c r="C33" s="70"/>
      <c r="D33" s="75">
        <v>0</v>
      </c>
    </row>
    <row r="34" spans="1:4" x14ac:dyDescent="0.3">
      <c r="A34" s="70" t="s">
        <v>330</v>
      </c>
      <c r="B34" s="76">
        <v>0</v>
      </c>
      <c r="C34" s="70"/>
      <c r="D34" s="76">
        <v>0</v>
      </c>
    </row>
    <row r="35" spans="1:4" x14ac:dyDescent="0.3">
      <c r="A35" s="80" t="s">
        <v>338</v>
      </c>
      <c r="B35" s="84">
        <v>0</v>
      </c>
      <c r="C35" s="80"/>
      <c r="D35" s="84">
        <v>0</v>
      </c>
    </row>
    <row r="36" spans="1:4" x14ac:dyDescent="0.3">
      <c r="A36" s="70" t="s">
        <v>339</v>
      </c>
      <c r="B36" s="88"/>
      <c r="C36" s="70"/>
      <c r="D36" s="88"/>
    </row>
    <row r="37" spans="1:4" ht="16.2" x14ac:dyDescent="0.3">
      <c r="A37" s="82" t="s">
        <v>318</v>
      </c>
      <c r="B37" s="88"/>
      <c r="C37" s="82"/>
      <c r="D37" s="88"/>
    </row>
    <row r="38" spans="1:4" x14ac:dyDescent="0.3">
      <c r="A38" s="70" t="s">
        <v>348</v>
      </c>
      <c r="B38" s="75">
        <v>0</v>
      </c>
      <c r="C38" s="70"/>
      <c r="D38" s="75">
        <v>0</v>
      </c>
    </row>
    <row r="39" spans="1:4" x14ac:dyDescent="0.3">
      <c r="A39" s="74" t="s">
        <v>340</v>
      </c>
      <c r="B39" s="75">
        <v>0</v>
      </c>
      <c r="C39" s="74"/>
      <c r="D39" s="75">
        <v>0</v>
      </c>
    </row>
    <row r="40" spans="1:4" ht="20.25" customHeight="1" x14ac:dyDescent="0.3">
      <c r="A40" s="83" t="s">
        <v>341</v>
      </c>
      <c r="B40" s="84">
        <v>0</v>
      </c>
      <c r="C40" s="83"/>
      <c r="D40" s="84">
        <v>0</v>
      </c>
    </row>
    <row r="41" spans="1:4" ht="16.2" x14ac:dyDescent="0.3">
      <c r="A41" s="78" t="s">
        <v>325</v>
      </c>
      <c r="B41" s="88"/>
      <c r="C41" s="78"/>
      <c r="D41" s="88"/>
    </row>
    <row r="42" spans="1:4" x14ac:dyDescent="0.3">
      <c r="A42" s="80" t="s">
        <v>342</v>
      </c>
      <c r="B42" s="75">
        <v>0</v>
      </c>
      <c r="C42" s="80"/>
      <c r="D42" s="75">
        <v>0</v>
      </c>
    </row>
    <row r="43" spans="1:4" x14ac:dyDescent="0.3">
      <c r="A43" s="70" t="s">
        <v>330</v>
      </c>
      <c r="B43" s="84">
        <v>0</v>
      </c>
      <c r="C43" s="70"/>
      <c r="D43" s="84">
        <v>0</v>
      </c>
    </row>
    <row r="44" spans="1:4" x14ac:dyDescent="0.3">
      <c r="A44" s="70" t="s">
        <v>343</v>
      </c>
      <c r="B44" s="84">
        <v>0</v>
      </c>
      <c r="C44" s="70"/>
      <c r="D44" s="84">
        <v>0</v>
      </c>
    </row>
    <row r="45" spans="1:4" ht="31.2" x14ac:dyDescent="0.3">
      <c r="A45" s="80" t="s">
        <v>352</v>
      </c>
      <c r="B45" s="85">
        <v>-12032333.510000005</v>
      </c>
      <c r="C45" s="80"/>
      <c r="D45" s="85">
        <v>1453243.8200000003</v>
      </c>
    </row>
    <row r="46" spans="1:4" x14ac:dyDescent="0.3">
      <c r="A46" s="70" t="s">
        <v>345</v>
      </c>
      <c r="B46" s="141">
        <v>34134615.620000005</v>
      </c>
      <c r="C46" s="70"/>
      <c r="D46" s="86">
        <v>32681371.800000001</v>
      </c>
    </row>
    <row r="47" spans="1:4" x14ac:dyDescent="0.3">
      <c r="A47" s="80" t="s">
        <v>346</v>
      </c>
      <c r="B47" s="77">
        <v>22102282.109999999</v>
      </c>
      <c r="C47" s="80"/>
      <c r="D47" s="77">
        <v>34134615.620000005</v>
      </c>
    </row>
  </sheetData>
  <sheetProtection algorithmName="SHA-512" hashValue="XnjNor1wfCiEIUWL8yoz9AA/oWi+xL0l87gxaN/EuN5NX1n+nCFGvRqhsPO3ox+px+EaeBhnWsbCaA1Xmcw55w==" saltValue="ltDO84wdbKg4vv6LaqATlQ==" spinCount="100000" sheet="1" objects="1" scenarios="1" selectLockedCells="1" selectUnlockedCells="1"/>
  <pageMargins left="1.4958333333333333" right="1" top="1" bottom="1" header="0.51181102362204722" footer="0.51181102362204722"/>
  <pageSetup scale="79" firstPageNumber="0" fitToHeight="0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  <pageSetUpPr fitToPage="1"/>
  </sheetPr>
  <dimension ref="A1:F91"/>
  <sheetViews>
    <sheetView zoomScaleNormal="100" zoomScaleSheetLayoutView="100" workbookViewId="0"/>
  </sheetViews>
  <sheetFormatPr defaultColWidth="9.44140625" defaultRowHeight="13.8" x14ac:dyDescent="0.25"/>
  <cols>
    <col min="1" max="1" width="61.5546875" style="96" customWidth="1"/>
    <col min="2" max="2" width="14" style="97" customWidth="1"/>
    <col min="3" max="5" width="18.6640625" style="68" customWidth="1"/>
    <col min="6" max="6" width="17.33203125" style="68" customWidth="1"/>
    <col min="7" max="16384" width="9.44140625" style="19"/>
  </cols>
  <sheetData>
    <row r="1" spans="1:6" x14ac:dyDescent="0.25">
      <c r="F1" s="98" t="s">
        <v>353</v>
      </c>
    </row>
    <row r="2" spans="1:6" x14ac:dyDescent="0.25">
      <c r="F2" s="99"/>
    </row>
    <row r="3" spans="1:6" ht="14.4" customHeight="1" x14ac:dyDescent="0.25">
      <c r="A3" s="188" t="s">
        <v>354</v>
      </c>
      <c r="B3" s="188"/>
      <c r="C3" s="188"/>
      <c r="D3" s="188"/>
      <c r="E3" s="188"/>
      <c r="F3" s="188"/>
    </row>
    <row r="4" spans="1:6" ht="13.95" customHeight="1" x14ac:dyDescent="0.25">
      <c r="A4" s="188" t="s">
        <v>470</v>
      </c>
      <c r="B4" s="188"/>
      <c r="C4" s="188"/>
      <c r="D4" s="188"/>
      <c r="E4" s="188"/>
      <c r="F4" s="188"/>
    </row>
    <row r="5" spans="1:6" ht="9" customHeight="1" x14ac:dyDescent="0.25"/>
    <row r="6" spans="1:6" x14ac:dyDescent="0.25">
      <c r="A6" s="189"/>
      <c r="B6" s="189"/>
      <c r="C6" s="189"/>
      <c r="D6" s="189"/>
      <c r="E6" s="189"/>
      <c r="F6" s="189"/>
    </row>
    <row r="7" spans="1:6" x14ac:dyDescent="0.25">
      <c r="A7" s="100" t="s">
        <v>355</v>
      </c>
      <c r="B7" s="101" t="s">
        <v>356</v>
      </c>
      <c r="C7" s="102" t="s">
        <v>357</v>
      </c>
      <c r="D7" s="102" t="s">
        <v>358</v>
      </c>
      <c r="E7" s="102" t="s">
        <v>359</v>
      </c>
      <c r="F7" s="102" t="s">
        <v>360</v>
      </c>
    </row>
    <row r="8" spans="1:6" x14ac:dyDescent="0.25">
      <c r="A8" s="103" t="s">
        <v>361</v>
      </c>
      <c r="B8" s="104"/>
      <c r="C8" s="105"/>
      <c r="D8" s="106"/>
      <c r="E8" s="106"/>
      <c r="F8" s="106"/>
    </row>
    <row r="9" spans="1:6" x14ac:dyDescent="0.25">
      <c r="A9" s="107" t="s">
        <v>362</v>
      </c>
      <c r="B9" s="108">
        <v>501</v>
      </c>
      <c r="C9" s="106"/>
      <c r="D9" s="106"/>
      <c r="E9" s="106"/>
      <c r="F9" s="106"/>
    </row>
    <row r="10" spans="1:6" x14ac:dyDescent="0.25">
      <c r="A10" s="109" t="s">
        <v>207</v>
      </c>
      <c r="B10" s="108" t="s">
        <v>363</v>
      </c>
      <c r="C10" s="106"/>
      <c r="D10" s="106"/>
      <c r="E10" s="106"/>
      <c r="F10" s="106"/>
    </row>
    <row r="11" spans="1:6" x14ac:dyDescent="0.25">
      <c r="A11" s="144" t="s">
        <v>480</v>
      </c>
      <c r="B11" s="108" t="s">
        <v>364</v>
      </c>
      <c r="C11" s="106">
        <v>46579004.460000001</v>
      </c>
      <c r="D11" s="106">
        <v>46579004.460000001</v>
      </c>
      <c r="E11" s="106">
        <v>46182888.090000004</v>
      </c>
      <c r="F11" s="106">
        <v>396116.36999999732</v>
      </c>
    </row>
    <row r="12" spans="1:6" x14ac:dyDescent="0.25">
      <c r="A12" s="144" t="s">
        <v>481</v>
      </c>
      <c r="B12" s="108" t="s">
        <v>365</v>
      </c>
      <c r="C12" s="106">
        <v>6531263.5</v>
      </c>
      <c r="D12" s="106">
        <v>6531263.5</v>
      </c>
      <c r="E12" s="106">
        <v>6291138.7999999998</v>
      </c>
      <c r="F12" s="106">
        <v>240124.70000000019</v>
      </c>
    </row>
    <row r="13" spans="1:6" x14ac:dyDescent="0.25">
      <c r="A13" s="144" t="s">
        <v>211</v>
      </c>
      <c r="B13" s="108" t="s">
        <v>366</v>
      </c>
      <c r="C13" s="106">
        <v>3364000</v>
      </c>
      <c r="D13" s="106">
        <v>3364000</v>
      </c>
      <c r="E13" s="106">
        <v>3157000</v>
      </c>
      <c r="F13" s="106">
        <v>207000</v>
      </c>
    </row>
    <row r="14" spans="1:6" x14ac:dyDescent="0.25">
      <c r="A14" s="144" t="s">
        <v>212</v>
      </c>
      <c r="B14" s="108" t="s">
        <v>367</v>
      </c>
      <c r="C14" s="106">
        <v>2413800</v>
      </c>
      <c r="D14" s="106">
        <v>2413800</v>
      </c>
      <c r="E14" s="106">
        <v>2225925</v>
      </c>
      <c r="F14" s="106">
        <v>187875</v>
      </c>
    </row>
    <row r="15" spans="1:6" x14ac:dyDescent="0.25">
      <c r="A15" s="144" t="s">
        <v>482</v>
      </c>
      <c r="B15" s="108" t="s">
        <v>368</v>
      </c>
      <c r="C15" s="106">
        <v>2203200</v>
      </c>
      <c r="D15" s="106">
        <v>2203200</v>
      </c>
      <c r="E15" s="106">
        <v>2019600</v>
      </c>
      <c r="F15" s="106">
        <v>183600</v>
      </c>
    </row>
    <row r="16" spans="1:6" x14ac:dyDescent="0.25">
      <c r="A16" s="144" t="s">
        <v>483</v>
      </c>
      <c r="B16" s="108" t="s">
        <v>369</v>
      </c>
      <c r="C16" s="106">
        <v>959000</v>
      </c>
      <c r="D16" s="106">
        <v>959000</v>
      </c>
      <c r="E16" s="106">
        <v>938000</v>
      </c>
      <c r="F16" s="106">
        <v>21000</v>
      </c>
    </row>
    <row r="17" spans="1:6" x14ac:dyDescent="0.25">
      <c r="A17" s="144" t="s">
        <v>215</v>
      </c>
      <c r="B17" s="108" t="s">
        <v>370</v>
      </c>
      <c r="C17" s="106">
        <v>403200</v>
      </c>
      <c r="D17" s="106">
        <v>403200</v>
      </c>
      <c r="E17" s="106">
        <v>310500</v>
      </c>
      <c r="F17" s="106">
        <v>92700</v>
      </c>
    </row>
    <row r="18" spans="1:6" x14ac:dyDescent="0.25">
      <c r="A18" s="144" t="s">
        <v>216</v>
      </c>
      <c r="B18" s="108" t="s">
        <v>371</v>
      </c>
      <c r="C18" s="106">
        <v>1687041.48</v>
      </c>
      <c r="D18" s="106">
        <v>1687041.48</v>
      </c>
      <c r="E18" s="106">
        <v>1473344.83</v>
      </c>
      <c r="F18" s="106">
        <v>213696.64999999991</v>
      </c>
    </row>
    <row r="19" spans="1:6" x14ac:dyDescent="0.25">
      <c r="A19" s="144" t="s">
        <v>217</v>
      </c>
      <c r="B19" s="108" t="s">
        <v>456</v>
      </c>
      <c r="C19" s="106">
        <v>150000</v>
      </c>
      <c r="D19" s="106">
        <v>150000</v>
      </c>
      <c r="E19" s="106">
        <v>86143.679999999993</v>
      </c>
      <c r="F19" s="106">
        <v>63856.320000000007</v>
      </c>
    </row>
    <row r="20" spans="1:6" x14ac:dyDescent="0.25">
      <c r="A20" s="144" t="s">
        <v>219</v>
      </c>
      <c r="B20" s="108" t="s">
        <v>372</v>
      </c>
      <c r="C20" s="106">
        <v>5196595.5</v>
      </c>
      <c r="D20" s="106">
        <v>5196595.5</v>
      </c>
      <c r="E20" s="106">
        <v>4807407.5999999996</v>
      </c>
      <c r="F20" s="106">
        <v>389187.90000000037</v>
      </c>
    </row>
    <row r="21" spans="1:6" x14ac:dyDescent="0.25">
      <c r="A21" s="144" t="s">
        <v>220</v>
      </c>
      <c r="B21" s="108" t="s">
        <v>373</v>
      </c>
      <c r="C21" s="106">
        <v>735000</v>
      </c>
      <c r="D21" s="106">
        <v>735000</v>
      </c>
      <c r="E21" s="106">
        <v>666000</v>
      </c>
      <c r="F21" s="106">
        <v>69000</v>
      </c>
    </row>
    <row r="22" spans="1:6" x14ac:dyDescent="0.25">
      <c r="A22" s="144" t="s">
        <v>484</v>
      </c>
      <c r="B22" s="108" t="s">
        <v>374</v>
      </c>
      <c r="C22" s="106">
        <v>4304635.51</v>
      </c>
      <c r="D22" s="106">
        <v>4304635.51</v>
      </c>
      <c r="E22" s="106">
        <v>4125141</v>
      </c>
      <c r="F22" s="106">
        <v>179494.50999999978</v>
      </c>
    </row>
    <row r="23" spans="1:6" x14ac:dyDescent="0.25">
      <c r="A23" s="144" t="s">
        <v>224</v>
      </c>
      <c r="B23" s="108" t="s">
        <v>375</v>
      </c>
      <c r="C23" s="106">
        <v>6512124.6799999997</v>
      </c>
      <c r="D23" s="106">
        <v>6512124.6799999997</v>
      </c>
      <c r="E23" s="106">
        <v>6144170.3200000003</v>
      </c>
      <c r="F23" s="106">
        <v>367954.3599999994</v>
      </c>
    </row>
    <row r="24" spans="1:6" x14ac:dyDescent="0.25">
      <c r="A24" s="144" t="s">
        <v>376</v>
      </c>
      <c r="B24" s="108" t="s">
        <v>377</v>
      </c>
      <c r="C24" s="106">
        <v>464800</v>
      </c>
      <c r="D24" s="106">
        <v>464800</v>
      </c>
      <c r="E24" s="106">
        <v>283751.53000000003</v>
      </c>
      <c r="F24" s="106">
        <v>181048.46999999997</v>
      </c>
    </row>
    <row r="25" spans="1:6" x14ac:dyDescent="0.25">
      <c r="A25" s="144" t="s">
        <v>378</v>
      </c>
      <c r="B25" s="108" t="s">
        <v>379</v>
      </c>
      <c r="C25" s="106">
        <v>1459410.98</v>
      </c>
      <c r="D25" s="106">
        <v>1459410.98</v>
      </c>
      <c r="E25" s="106">
        <v>1267112.73</v>
      </c>
      <c r="F25" s="106">
        <v>192298.25</v>
      </c>
    </row>
    <row r="26" spans="1:6" x14ac:dyDescent="0.25">
      <c r="A26" s="144" t="s">
        <v>227</v>
      </c>
      <c r="B26" s="108" t="s">
        <v>380</v>
      </c>
      <c r="C26" s="106">
        <v>168700</v>
      </c>
      <c r="D26" s="106">
        <v>168700</v>
      </c>
      <c r="E26" s="106">
        <v>155738.32</v>
      </c>
      <c r="F26" s="106">
        <v>12961.679999999993</v>
      </c>
    </row>
    <row r="27" spans="1:6" x14ac:dyDescent="0.25">
      <c r="A27" s="144" t="s">
        <v>381</v>
      </c>
      <c r="B27" s="108" t="s">
        <v>382</v>
      </c>
      <c r="C27" s="106">
        <v>3508927.71</v>
      </c>
      <c r="D27" s="106">
        <v>3508927.71</v>
      </c>
      <c r="E27" s="106">
        <v>3010582.7</v>
      </c>
      <c r="F27" s="106">
        <v>498345.00999999978</v>
      </c>
    </row>
    <row r="28" spans="1:6" x14ac:dyDescent="0.25">
      <c r="A28" s="144" t="s">
        <v>485</v>
      </c>
      <c r="B28" s="104" t="s">
        <v>383</v>
      </c>
      <c r="C28" s="106">
        <v>8980064.1199999992</v>
      </c>
      <c r="D28" s="106">
        <v>8980064.1199999992</v>
      </c>
      <c r="E28" s="106">
        <v>8812064.1300000008</v>
      </c>
      <c r="F28" s="106">
        <v>167999.98999999836</v>
      </c>
    </row>
    <row r="29" spans="1:6" s="55" customFormat="1" x14ac:dyDescent="0.25">
      <c r="A29" s="110" t="s">
        <v>384</v>
      </c>
      <c r="B29" s="107"/>
      <c r="C29" s="128">
        <v>95620767.939999998</v>
      </c>
      <c r="D29" s="128">
        <v>95620767.939999998</v>
      </c>
      <c r="E29" s="128">
        <v>91956508.729999989</v>
      </c>
      <c r="F29" s="128">
        <v>3664259.2099999948</v>
      </c>
    </row>
    <row r="30" spans="1:6" s="55" customFormat="1" ht="25.95" customHeight="1" x14ac:dyDescent="0.25">
      <c r="A30" s="111" t="s">
        <v>457</v>
      </c>
      <c r="B30" s="108">
        <v>502</v>
      </c>
      <c r="C30" s="106"/>
      <c r="D30" s="106"/>
      <c r="E30" s="112"/>
      <c r="F30" s="106"/>
    </row>
    <row r="31" spans="1:6" x14ac:dyDescent="0.25">
      <c r="A31" s="144" t="s">
        <v>385</v>
      </c>
      <c r="B31" s="108" t="s">
        <v>386</v>
      </c>
      <c r="C31" s="113">
        <v>1442130</v>
      </c>
      <c r="D31" s="113">
        <v>1442130</v>
      </c>
      <c r="E31" s="106">
        <v>1135729</v>
      </c>
      <c r="F31" s="106">
        <v>306401</v>
      </c>
    </row>
    <row r="32" spans="1:6" x14ac:dyDescent="0.25">
      <c r="A32" s="144" t="s">
        <v>235</v>
      </c>
      <c r="B32" s="108" t="s">
        <v>387</v>
      </c>
      <c r="C32" s="106">
        <v>3581530</v>
      </c>
      <c r="D32" s="106">
        <v>3581530</v>
      </c>
      <c r="E32" s="106">
        <v>2937587.76</v>
      </c>
      <c r="F32" s="106">
        <v>643942.24000000022</v>
      </c>
    </row>
    <row r="33" spans="1:6" x14ac:dyDescent="0.25">
      <c r="A33" s="144" t="s">
        <v>388</v>
      </c>
      <c r="B33" s="108" t="s">
        <v>389</v>
      </c>
      <c r="C33" s="114">
        <v>1362893.56</v>
      </c>
      <c r="D33" s="114">
        <v>1362893.56</v>
      </c>
      <c r="E33" s="106">
        <v>1043423.35</v>
      </c>
      <c r="F33" s="106">
        <v>319470.21000000008</v>
      </c>
    </row>
    <row r="34" spans="1:6" x14ac:dyDescent="0.25">
      <c r="A34" s="144" t="s">
        <v>390</v>
      </c>
      <c r="B34" s="108" t="s">
        <v>391</v>
      </c>
      <c r="C34" s="114">
        <v>150000</v>
      </c>
      <c r="D34" s="114">
        <v>150000</v>
      </c>
      <c r="E34" s="106">
        <v>145602.5</v>
      </c>
      <c r="F34" s="106">
        <v>4397.5</v>
      </c>
    </row>
    <row r="35" spans="1:6" x14ac:dyDescent="0.25">
      <c r="A35" s="144" t="s">
        <v>392</v>
      </c>
      <c r="B35" s="108" t="s">
        <v>393</v>
      </c>
      <c r="C35" s="114">
        <v>60000</v>
      </c>
      <c r="D35" s="114">
        <v>60000</v>
      </c>
      <c r="E35" s="106">
        <v>57400</v>
      </c>
      <c r="F35" s="106">
        <v>2600</v>
      </c>
    </row>
    <row r="36" spans="1:6" x14ac:dyDescent="0.25">
      <c r="A36" s="144" t="s">
        <v>241</v>
      </c>
      <c r="B36" s="108" t="s">
        <v>394</v>
      </c>
      <c r="C36" s="114">
        <v>2481650</v>
      </c>
      <c r="D36" s="114">
        <v>2481650</v>
      </c>
      <c r="E36" s="106">
        <v>2477440</v>
      </c>
      <c r="F36" s="106">
        <v>4210</v>
      </c>
    </row>
    <row r="37" spans="1:6" x14ac:dyDescent="0.25">
      <c r="A37" s="144" t="s">
        <v>395</v>
      </c>
      <c r="B37" s="108" t="s">
        <v>396</v>
      </c>
      <c r="C37" s="114">
        <v>1130800</v>
      </c>
      <c r="D37" s="114">
        <v>1130800</v>
      </c>
      <c r="E37" s="106">
        <v>1018920</v>
      </c>
      <c r="F37" s="106">
        <v>111880</v>
      </c>
    </row>
    <row r="38" spans="1:6" x14ac:dyDescent="0.25">
      <c r="A38" s="144" t="s">
        <v>397</v>
      </c>
      <c r="B38" s="108" t="s">
        <v>398</v>
      </c>
      <c r="C38" s="106">
        <v>3800000</v>
      </c>
      <c r="D38" s="106">
        <v>3800000</v>
      </c>
      <c r="E38" s="106">
        <v>3508913.84</v>
      </c>
      <c r="F38" s="106">
        <v>291086.16000000015</v>
      </c>
    </row>
    <row r="39" spans="1:6" x14ac:dyDescent="0.25">
      <c r="A39" s="144" t="s">
        <v>399</v>
      </c>
      <c r="B39" s="108" t="s">
        <v>400</v>
      </c>
      <c r="C39" s="106">
        <v>75000</v>
      </c>
      <c r="D39" s="106">
        <v>75000</v>
      </c>
      <c r="E39" s="106">
        <v>50846</v>
      </c>
      <c r="F39" s="106">
        <v>24154</v>
      </c>
    </row>
    <row r="40" spans="1:6" x14ac:dyDescent="0.25">
      <c r="A40" s="144" t="s">
        <v>401</v>
      </c>
      <c r="B40" s="108" t="s">
        <v>402</v>
      </c>
      <c r="C40" s="106">
        <v>590000</v>
      </c>
      <c r="D40" s="106">
        <v>590000</v>
      </c>
      <c r="E40" s="106">
        <v>570139.96</v>
      </c>
      <c r="F40" s="106">
        <v>19860.040000000037</v>
      </c>
    </row>
    <row r="41" spans="1:6" x14ac:dyDescent="0.25">
      <c r="A41" s="144" t="s">
        <v>471</v>
      </c>
      <c r="B41" s="108" t="s">
        <v>472</v>
      </c>
      <c r="C41" s="106">
        <v>306307.06</v>
      </c>
      <c r="D41" s="106">
        <v>306307.06</v>
      </c>
      <c r="E41" s="106">
        <v>34150</v>
      </c>
      <c r="F41" s="106">
        <v>272157.06</v>
      </c>
    </row>
    <row r="42" spans="1:6" x14ac:dyDescent="0.25">
      <c r="A42" s="144" t="s">
        <v>473</v>
      </c>
      <c r="B42" s="108" t="s">
        <v>474</v>
      </c>
      <c r="C42" s="106">
        <v>74000</v>
      </c>
      <c r="D42" s="106">
        <v>74000</v>
      </c>
      <c r="E42" s="106">
        <v>73000</v>
      </c>
      <c r="F42" s="106">
        <v>1000</v>
      </c>
    </row>
    <row r="43" spans="1:6" x14ac:dyDescent="0.25">
      <c r="A43" s="144" t="s">
        <v>403</v>
      </c>
      <c r="B43" s="108" t="s">
        <v>404</v>
      </c>
      <c r="C43" s="106">
        <v>401346.44</v>
      </c>
      <c r="D43" s="106">
        <v>401346.44</v>
      </c>
      <c r="E43" s="106">
        <v>369349</v>
      </c>
      <c r="F43" s="106">
        <v>31997.440000000002</v>
      </c>
    </row>
    <row r="44" spans="1:6" x14ac:dyDescent="0.25">
      <c r="A44" s="144" t="s">
        <v>248</v>
      </c>
      <c r="B44" s="108" t="s">
        <v>405</v>
      </c>
      <c r="C44" s="106">
        <v>700000</v>
      </c>
      <c r="D44" s="106">
        <v>700000</v>
      </c>
      <c r="E44" s="106">
        <v>431976.75</v>
      </c>
      <c r="F44" s="106">
        <v>268023.25</v>
      </c>
    </row>
    <row r="45" spans="1:6" x14ac:dyDescent="0.25">
      <c r="A45" s="144" t="s">
        <v>249</v>
      </c>
      <c r="B45" s="108" t="s">
        <v>406</v>
      </c>
      <c r="C45" s="106">
        <v>6240000</v>
      </c>
      <c r="D45" s="106">
        <v>6240000</v>
      </c>
      <c r="E45" s="106">
        <v>5107962.5199999996</v>
      </c>
      <c r="F45" s="106">
        <v>1132037.4800000004</v>
      </c>
    </row>
    <row r="46" spans="1:6" x14ac:dyDescent="0.25">
      <c r="A46" s="144" t="s">
        <v>407</v>
      </c>
      <c r="B46" s="108" t="s">
        <v>408</v>
      </c>
      <c r="C46" s="106">
        <v>6000</v>
      </c>
      <c r="D46" s="106">
        <v>6000</v>
      </c>
      <c r="E46" s="106">
        <v>1030</v>
      </c>
      <c r="F46" s="106">
        <v>4970</v>
      </c>
    </row>
    <row r="47" spans="1:6" x14ac:dyDescent="0.25">
      <c r="A47" s="144" t="s">
        <v>409</v>
      </c>
      <c r="B47" s="108" t="s">
        <v>410</v>
      </c>
      <c r="C47" s="106">
        <v>682000</v>
      </c>
      <c r="D47" s="106">
        <v>682000</v>
      </c>
      <c r="E47" s="106">
        <v>634000</v>
      </c>
      <c r="F47" s="106">
        <v>48000</v>
      </c>
    </row>
    <row r="48" spans="1:6" x14ac:dyDescent="0.25">
      <c r="A48" s="144" t="s">
        <v>253</v>
      </c>
      <c r="B48" s="108" t="s">
        <v>411</v>
      </c>
      <c r="C48" s="106">
        <v>459500</v>
      </c>
      <c r="D48" s="106">
        <v>459500</v>
      </c>
      <c r="E48" s="106">
        <v>447841</v>
      </c>
      <c r="F48" s="106">
        <v>11659</v>
      </c>
    </row>
    <row r="49" spans="1:6" x14ac:dyDescent="0.25">
      <c r="A49" s="144" t="s">
        <v>412</v>
      </c>
      <c r="B49" s="108" t="s">
        <v>413</v>
      </c>
      <c r="C49" s="106">
        <v>5000</v>
      </c>
      <c r="D49" s="106">
        <v>5000</v>
      </c>
      <c r="E49" s="106">
        <v>0</v>
      </c>
      <c r="F49" s="106">
        <v>5000</v>
      </c>
    </row>
    <row r="50" spans="1:6" x14ac:dyDescent="0.25">
      <c r="A50" s="144" t="s">
        <v>414</v>
      </c>
      <c r="B50" s="108" t="s">
        <v>415</v>
      </c>
      <c r="C50" s="106">
        <v>200000</v>
      </c>
      <c r="D50" s="106">
        <v>200000</v>
      </c>
      <c r="E50" s="106">
        <v>30000</v>
      </c>
      <c r="F50" s="106">
        <v>170000</v>
      </c>
    </row>
    <row r="51" spans="1:6" x14ac:dyDescent="0.25">
      <c r="A51" s="144" t="s">
        <v>416</v>
      </c>
      <c r="B51" s="108" t="s">
        <v>417</v>
      </c>
      <c r="C51" s="106">
        <v>150000</v>
      </c>
      <c r="D51" s="106">
        <v>150000</v>
      </c>
      <c r="E51" s="106">
        <v>110721</v>
      </c>
      <c r="F51" s="106">
        <v>39279</v>
      </c>
    </row>
    <row r="52" spans="1:6" x14ac:dyDescent="0.25">
      <c r="A52" s="144" t="s">
        <v>418</v>
      </c>
      <c r="B52" s="108" t="s">
        <v>419</v>
      </c>
      <c r="C52" s="106">
        <v>50000</v>
      </c>
      <c r="D52" s="106">
        <v>50000</v>
      </c>
      <c r="E52" s="106">
        <v>0</v>
      </c>
      <c r="F52" s="106">
        <v>50000</v>
      </c>
    </row>
    <row r="53" spans="1:6" x14ac:dyDescent="0.25">
      <c r="A53" s="144" t="s">
        <v>420</v>
      </c>
      <c r="B53" s="108" t="s">
        <v>421</v>
      </c>
      <c r="C53" s="106">
        <v>32766.15</v>
      </c>
      <c r="D53" s="106">
        <v>32766.15</v>
      </c>
      <c r="E53" s="106">
        <v>0</v>
      </c>
      <c r="F53" s="106">
        <v>32766.15</v>
      </c>
    </row>
    <row r="54" spans="1:6" x14ac:dyDescent="0.25">
      <c r="A54" s="144" t="s">
        <v>256</v>
      </c>
      <c r="B54" s="115" t="s">
        <v>422</v>
      </c>
      <c r="C54" s="116">
        <v>50000</v>
      </c>
      <c r="D54" s="116">
        <v>50000</v>
      </c>
      <c r="E54" s="116">
        <v>47900</v>
      </c>
      <c r="F54" s="106">
        <v>2100</v>
      </c>
    </row>
    <row r="55" spans="1:6" x14ac:dyDescent="0.25">
      <c r="A55" s="144" t="s">
        <v>258</v>
      </c>
      <c r="B55" s="108" t="s">
        <v>423</v>
      </c>
      <c r="C55" s="116">
        <v>26337849.399999999</v>
      </c>
      <c r="D55" s="116">
        <v>26337849.399999999</v>
      </c>
      <c r="E55" s="106">
        <v>25617104.75</v>
      </c>
      <c r="F55" s="106">
        <v>720744.64999999851</v>
      </c>
    </row>
    <row r="56" spans="1:6" x14ac:dyDescent="0.25">
      <c r="A56" s="144" t="s">
        <v>424</v>
      </c>
      <c r="B56" s="108" t="s">
        <v>425</v>
      </c>
      <c r="C56" s="106">
        <v>517900</v>
      </c>
      <c r="D56" s="106">
        <v>517900</v>
      </c>
      <c r="E56" s="106">
        <v>432399.66</v>
      </c>
      <c r="F56" s="106">
        <v>85500.340000000026</v>
      </c>
    </row>
    <row r="57" spans="1:6" x14ac:dyDescent="0.25">
      <c r="A57" s="144" t="s">
        <v>426</v>
      </c>
      <c r="B57" s="108" t="s">
        <v>427</v>
      </c>
      <c r="C57" s="116">
        <v>600000</v>
      </c>
      <c r="D57" s="116">
        <v>600000</v>
      </c>
      <c r="E57" s="106">
        <v>527341.21</v>
      </c>
      <c r="F57" s="106">
        <v>72658.790000000037</v>
      </c>
    </row>
    <row r="58" spans="1:6" x14ac:dyDescent="0.25">
      <c r="A58" s="144" t="s">
        <v>428</v>
      </c>
      <c r="B58" s="108" t="s">
        <v>429</v>
      </c>
      <c r="C58" s="106">
        <v>786000</v>
      </c>
      <c r="D58" s="106">
        <v>786000</v>
      </c>
      <c r="E58" s="106">
        <v>493546</v>
      </c>
      <c r="F58" s="106">
        <v>292454</v>
      </c>
    </row>
    <row r="59" spans="1:6" x14ac:dyDescent="0.25">
      <c r="A59" s="144" t="s">
        <v>430</v>
      </c>
      <c r="B59" s="108" t="s">
        <v>431</v>
      </c>
      <c r="C59" s="117">
        <v>1300000</v>
      </c>
      <c r="D59" s="117">
        <v>1300000</v>
      </c>
      <c r="E59" s="106">
        <v>1090819.3899999999</v>
      </c>
      <c r="F59" s="106">
        <v>209180.6100000001</v>
      </c>
    </row>
    <row r="60" spans="1:6" x14ac:dyDescent="0.25">
      <c r="A60" s="144" t="s">
        <v>432</v>
      </c>
      <c r="B60" s="108" t="s">
        <v>433</v>
      </c>
      <c r="C60" s="117">
        <v>45500</v>
      </c>
      <c r="D60" s="117">
        <v>45500</v>
      </c>
      <c r="E60" s="106">
        <v>44700</v>
      </c>
      <c r="F60" s="106">
        <v>800</v>
      </c>
    </row>
    <row r="61" spans="1:6" x14ac:dyDescent="0.25">
      <c r="A61" s="144" t="s">
        <v>434</v>
      </c>
      <c r="B61" s="108" t="s">
        <v>458</v>
      </c>
      <c r="C61" s="118">
        <v>8561200</v>
      </c>
      <c r="D61" s="118">
        <v>8561200</v>
      </c>
      <c r="E61" s="106">
        <v>7852790</v>
      </c>
      <c r="F61" s="106">
        <v>708410</v>
      </c>
    </row>
    <row r="62" spans="1:6" x14ac:dyDescent="0.25">
      <c r="A62" s="144" t="s">
        <v>435</v>
      </c>
      <c r="B62" s="108" t="s">
        <v>436</v>
      </c>
      <c r="C62" s="106">
        <v>1500000</v>
      </c>
      <c r="D62" s="106">
        <v>1500000</v>
      </c>
      <c r="E62" s="106">
        <v>1500000</v>
      </c>
      <c r="F62" s="106">
        <v>0</v>
      </c>
    </row>
    <row r="63" spans="1:6" x14ac:dyDescent="0.25">
      <c r="A63" s="144" t="s">
        <v>267</v>
      </c>
      <c r="B63" s="108" t="s">
        <v>437</v>
      </c>
      <c r="C63" s="106">
        <v>100000</v>
      </c>
      <c r="D63" s="106">
        <v>100000</v>
      </c>
      <c r="E63" s="106">
        <v>63837.03</v>
      </c>
      <c r="F63" s="106">
        <v>36162.97</v>
      </c>
    </row>
    <row r="64" spans="1:6" x14ac:dyDescent="0.25">
      <c r="A64" s="144" t="s">
        <v>438</v>
      </c>
      <c r="B64" s="108" t="s">
        <v>439</v>
      </c>
      <c r="C64" s="106">
        <v>150000</v>
      </c>
      <c r="D64" s="106">
        <v>150000</v>
      </c>
      <c r="E64" s="106">
        <v>145162.5</v>
      </c>
      <c r="F64" s="106">
        <v>4837.5</v>
      </c>
    </row>
    <row r="65" spans="1:6" x14ac:dyDescent="0.25">
      <c r="A65" s="144" t="s">
        <v>269</v>
      </c>
      <c r="B65" s="108" t="s">
        <v>440</v>
      </c>
      <c r="C65" s="106">
        <v>362300</v>
      </c>
      <c r="D65" s="106">
        <v>362300</v>
      </c>
      <c r="E65" s="106">
        <v>322595.73</v>
      </c>
      <c r="F65" s="106">
        <v>39704.270000000019</v>
      </c>
    </row>
    <row r="66" spans="1:6" x14ac:dyDescent="0.25">
      <c r="A66" s="144" t="s">
        <v>271</v>
      </c>
      <c r="B66" s="108" t="s">
        <v>441</v>
      </c>
      <c r="C66" s="106">
        <v>940000</v>
      </c>
      <c r="D66" s="106">
        <v>940000</v>
      </c>
      <c r="E66" s="106">
        <v>816210</v>
      </c>
      <c r="F66" s="106">
        <v>123790</v>
      </c>
    </row>
    <row r="67" spans="1:6" x14ac:dyDescent="0.25">
      <c r="A67" s="144" t="s">
        <v>459</v>
      </c>
      <c r="B67" s="108" t="s">
        <v>442</v>
      </c>
      <c r="C67" s="106">
        <v>163600</v>
      </c>
      <c r="D67" s="106">
        <v>163600</v>
      </c>
      <c r="E67" s="106">
        <v>131200</v>
      </c>
      <c r="F67" s="106">
        <v>32400</v>
      </c>
    </row>
    <row r="68" spans="1:6" s="55" customFormat="1" x14ac:dyDescent="0.25">
      <c r="A68" s="144" t="s">
        <v>273</v>
      </c>
      <c r="B68" s="108" t="s">
        <v>443</v>
      </c>
      <c r="C68" s="106">
        <v>41969914.799999997</v>
      </c>
      <c r="D68" s="106">
        <v>41969914.799999997</v>
      </c>
      <c r="E68" s="106">
        <v>36129010.409999996</v>
      </c>
      <c r="F68" s="106">
        <v>5840904.3900000006</v>
      </c>
    </row>
    <row r="69" spans="1:6" x14ac:dyDescent="0.25">
      <c r="A69" s="144" t="s">
        <v>444</v>
      </c>
      <c r="B69" s="108" t="s">
        <v>445</v>
      </c>
      <c r="C69" s="106">
        <v>19446670.949999999</v>
      </c>
      <c r="D69" s="106">
        <v>19446670.949999999</v>
      </c>
      <c r="E69" s="106">
        <v>14655391.84</v>
      </c>
      <c r="F69" s="106">
        <v>4791279.1099999994</v>
      </c>
    </row>
    <row r="70" spans="1:6" x14ac:dyDescent="0.25">
      <c r="A70" s="119" t="s">
        <v>446</v>
      </c>
      <c r="B70" s="108"/>
      <c r="C70" s="128">
        <v>126811858.36</v>
      </c>
      <c r="D70" s="128">
        <v>126811858.36</v>
      </c>
      <c r="E70" s="128">
        <v>110056041.19999999</v>
      </c>
      <c r="F70" s="128">
        <v>16755817.16</v>
      </c>
    </row>
    <row r="71" spans="1:6" x14ac:dyDescent="0.25">
      <c r="A71" s="120" t="s">
        <v>447</v>
      </c>
      <c r="B71" s="108" t="s">
        <v>448</v>
      </c>
      <c r="C71" s="106">
        <v>0</v>
      </c>
      <c r="D71" s="106">
        <v>0</v>
      </c>
      <c r="E71" s="106">
        <v>0</v>
      </c>
      <c r="F71" s="106">
        <v>0</v>
      </c>
    </row>
    <row r="72" spans="1:6" x14ac:dyDescent="0.25">
      <c r="A72" s="107" t="s">
        <v>449</v>
      </c>
      <c r="B72" s="121"/>
      <c r="C72" s="106"/>
      <c r="D72" s="106"/>
      <c r="E72" s="106"/>
      <c r="F72" s="106"/>
    </row>
    <row r="73" spans="1:6" x14ac:dyDescent="0.25">
      <c r="A73" s="144" t="s">
        <v>75</v>
      </c>
      <c r="B73" s="121" t="s">
        <v>475</v>
      </c>
      <c r="C73" s="106">
        <v>695890.49</v>
      </c>
      <c r="D73" s="106">
        <v>695890.49</v>
      </c>
      <c r="E73" s="106">
        <v>605988</v>
      </c>
      <c r="F73" s="106">
        <v>89902.489999999991</v>
      </c>
    </row>
    <row r="74" spans="1:6" x14ac:dyDescent="0.25">
      <c r="A74" s="144" t="s">
        <v>486</v>
      </c>
      <c r="B74" s="121" t="s">
        <v>452</v>
      </c>
      <c r="C74" s="106">
        <v>823000</v>
      </c>
      <c r="D74" s="106">
        <v>823000</v>
      </c>
      <c r="E74" s="106">
        <v>367480</v>
      </c>
      <c r="F74" s="106">
        <v>455520</v>
      </c>
    </row>
    <row r="75" spans="1:6" x14ac:dyDescent="0.25">
      <c r="A75" s="144" t="s">
        <v>487</v>
      </c>
      <c r="B75" s="121" t="s">
        <v>451</v>
      </c>
      <c r="C75" s="106">
        <v>150000</v>
      </c>
      <c r="D75" s="106">
        <v>150000</v>
      </c>
      <c r="E75" s="106">
        <v>149925</v>
      </c>
      <c r="F75" s="106">
        <v>75</v>
      </c>
    </row>
    <row r="76" spans="1:6" x14ac:dyDescent="0.25">
      <c r="A76" s="125" t="s">
        <v>453</v>
      </c>
      <c r="B76" s="121"/>
      <c r="C76" s="142">
        <v>1668890.49</v>
      </c>
      <c r="D76" s="142">
        <v>1668890.49</v>
      </c>
      <c r="E76" s="142">
        <v>1123393</v>
      </c>
      <c r="F76" s="142">
        <v>545497.49</v>
      </c>
    </row>
    <row r="77" spans="1:6" x14ac:dyDescent="0.25">
      <c r="A77" s="126" t="s">
        <v>461</v>
      </c>
      <c r="B77" s="121"/>
      <c r="C77" s="142"/>
      <c r="D77" s="143"/>
      <c r="E77" s="143"/>
      <c r="F77" s="142"/>
    </row>
    <row r="78" spans="1:6" x14ac:dyDescent="0.25">
      <c r="A78" s="119" t="s">
        <v>476</v>
      </c>
      <c r="B78" s="121"/>
      <c r="C78" s="122"/>
      <c r="D78" s="123"/>
      <c r="E78" s="123"/>
      <c r="F78" s="106">
        <v>0</v>
      </c>
    </row>
    <row r="79" spans="1:6" x14ac:dyDescent="0.25">
      <c r="A79" s="145" t="s">
        <v>477</v>
      </c>
      <c r="B79" s="108" t="s">
        <v>460</v>
      </c>
      <c r="C79" s="117">
        <v>848703.55</v>
      </c>
      <c r="D79" s="123">
        <v>848703.55</v>
      </c>
      <c r="E79" s="123">
        <v>845236.14</v>
      </c>
      <c r="F79" s="106">
        <v>3467.4100000000326</v>
      </c>
    </row>
    <row r="80" spans="1:6" x14ac:dyDescent="0.25">
      <c r="A80" s="145" t="s">
        <v>479</v>
      </c>
      <c r="B80" s="108" t="s">
        <v>478</v>
      </c>
      <c r="C80" s="117">
        <v>1490000</v>
      </c>
      <c r="D80" s="123">
        <v>1490000</v>
      </c>
      <c r="E80" s="123">
        <v>1486329.93</v>
      </c>
      <c r="F80" s="106">
        <v>3670.0700000000652</v>
      </c>
    </row>
    <row r="81" spans="1:6" x14ac:dyDescent="0.25">
      <c r="A81" s="145" t="s">
        <v>488</v>
      </c>
      <c r="B81" s="121" t="s">
        <v>489</v>
      </c>
      <c r="C81" s="117">
        <v>145000</v>
      </c>
      <c r="D81" s="124">
        <v>145000</v>
      </c>
      <c r="E81" s="124">
        <v>0</v>
      </c>
      <c r="F81" s="106">
        <v>145000</v>
      </c>
    </row>
    <row r="82" spans="1:6" x14ac:dyDescent="0.25">
      <c r="A82" s="145" t="s">
        <v>490</v>
      </c>
      <c r="B82" s="108" t="s">
        <v>491</v>
      </c>
      <c r="C82" s="117">
        <v>5900000</v>
      </c>
      <c r="D82" s="124">
        <v>5900000</v>
      </c>
      <c r="E82" s="124"/>
      <c r="F82" s="106">
        <v>5900000</v>
      </c>
    </row>
    <row r="83" spans="1:6" x14ac:dyDescent="0.25">
      <c r="A83" s="145" t="s">
        <v>492</v>
      </c>
      <c r="B83" s="108" t="s">
        <v>450</v>
      </c>
      <c r="C83" s="117">
        <v>3500000</v>
      </c>
      <c r="D83" s="124">
        <v>3500000</v>
      </c>
      <c r="E83" s="124">
        <v>2500000</v>
      </c>
      <c r="F83" s="106">
        <v>1000000</v>
      </c>
    </row>
    <row r="84" spans="1:6" x14ac:dyDescent="0.25">
      <c r="A84" s="145" t="s">
        <v>494</v>
      </c>
      <c r="B84" s="108" t="s">
        <v>495</v>
      </c>
      <c r="C84" s="117">
        <v>600000</v>
      </c>
      <c r="D84" s="117">
        <v>600000</v>
      </c>
      <c r="E84" s="124"/>
      <c r="F84" s="106">
        <v>600000</v>
      </c>
    </row>
    <row r="85" spans="1:6" x14ac:dyDescent="0.25">
      <c r="A85" s="145" t="s">
        <v>493</v>
      </c>
      <c r="B85" s="108" t="s">
        <v>478</v>
      </c>
      <c r="C85" s="117">
        <v>1226852.47</v>
      </c>
      <c r="D85" s="117">
        <v>1226852.47</v>
      </c>
      <c r="E85" s="124"/>
      <c r="F85" s="106">
        <v>1226852.47</v>
      </c>
    </row>
    <row r="86" spans="1:6" x14ac:dyDescent="0.25">
      <c r="A86" s="119" t="s">
        <v>496</v>
      </c>
      <c r="B86" s="107"/>
      <c r="C86" s="106">
        <v>53873547</v>
      </c>
      <c r="D86" s="106">
        <v>53873547</v>
      </c>
      <c r="E86" s="106">
        <v>34866869.899999999</v>
      </c>
      <c r="F86" s="106">
        <v>19006677.100000001</v>
      </c>
    </row>
    <row r="87" spans="1:6" x14ac:dyDescent="0.25">
      <c r="A87" s="119" t="s">
        <v>497</v>
      </c>
      <c r="B87" s="107"/>
      <c r="C87" s="106">
        <v>14643387</v>
      </c>
      <c r="D87" s="106">
        <v>14643387</v>
      </c>
      <c r="E87" s="106">
        <v>10871400.17</v>
      </c>
      <c r="F87" s="106">
        <v>3771986.83</v>
      </c>
    </row>
    <row r="88" spans="1:6" x14ac:dyDescent="0.25">
      <c r="A88" s="119" t="s">
        <v>498</v>
      </c>
      <c r="B88" s="107"/>
      <c r="C88" s="106">
        <v>47000</v>
      </c>
      <c r="D88" s="106">
        <v>47000</v>
      </c>
      <c r="E88" s="106">
        <v>47000</v>
      </c>
      <c r="F88" s="106">
        <v>0</v>
      </c>
    </row>
    <row r="89" spans="1:6" x14ac:dyDescent="0.25">
      <c r="A89" s="127" t="s">
        <v>454</v>
      </c>
      <c r="B89" s="107"/>
      <c r="C89" s="128">
        <v>82274490.019999996</v>
      </c>
      <c r="D89" s="128">
        <v>82274490.019999996</v>
      </c>
      <c r="E89" s="128">
        <v>50616836.140000001</v>
      </c>
      <c r="F89" s="128">
        <v>31657653.880000003</v>
      </c>
    </row>
    <row r="90" spans="1:6" x14ac:dyDescent="0.25">
      <c r="A90" s="127"/>
      <c r="B90" s="107"/>
      <c r="C90" s="106"/>
      <c r="D90" s="106"/>
      <c r="E90" s="106"/>
      <c r="F90" s="106"/>
    </row>
    <row r="91" spans="1:6" x14ac:dyDescent="0.25">
      <c r="A91" s="127" t="s">
        <v>455</v>
      </c>
      <c r="B91" s="107"/>
      <c r="C91" s="128">
        <v>306376006.81</v>
      </c>
      <c r="D91" s="128">
        <v>306376006.81</v>
      </c>
      <c r="E91" s="128">
        <v>253752779.06999999</v>
      </c>
      <c r="F91" s="128">
        <v>52623227.739999995</v>
      </c>
    </row>
  </sheetData>
  <sheetProtection algorithmName="SHA-512" hashValue="I17vKg7rgaMXe7WtimHGkGXAups/s1tZDiwYMwGcxBi7w5/q4rz1N7MOQUCwvMfC9dr/SUIPpn9fNjzwYDGjpg==" saltValue="Sn5RcwhoG9A0xx19cZGNDw==" spinCount="100000" sheet="1" objects="1" scenarios="1" selectLockedCells="1" selectUnlockedCells="1"/>
  <mergeCells count="3">
    <mergeCell ref="A3:F3"/>
    <mergeCell ref="A4:F4"/>
    <mergeCell ref="A6:F6"/>
  </mergeCells>
  <printOptions horizontalCentered="1"/>
  <pageMargins left="1.49" right="1" top="0.66" bottom="0.56999999999999995" header="0.51180993000874897" footer="0.51180993000874897"/>
  <pageSetup scale="52" firstPageNumber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22</vt:i4>
      </vt:variant>
    </vt:vector>
  </HeadingPairs>
  <TitlesOfParts>
    <vt:vector size="34" baseType="lpstr">
      <vt:lpstr>Flyleaf</vt:lpstr>
      <vt:lpstr>A-1.1</vt:lpstr>
      <vt:lpstr>A-1.2</vt:lpstr>
      <vt:lpstr>A-1.3</vt:lpstr>
      <vt:lpstr>A-2.1</vt:lpstr>
      <vt:lpstr>A-2.2</vt:lpstr>
      <vt:lpstr>A-3.1</vt:lpstr>
      <vt:lpstr>A-3.2</vt:lpstr>
      <vt:lpstr>A-4.1</vt:lpstr>
      <vt:lpstr>A-4.2</vt:lpstr>
      <vt:lpstr>A-4.3</vt:lpstr>
      <vt:lpstr>B</vt:lpstr>
      <vt:lpstr>'A-1.1'!Excel_BuiltIn_Print_Area</vt:lpstr>
      <vt:lpstr>'A-2.1'!Excel_BuiltIn_Print_Area</vt:lpstr>
      <vt:lpstr>'A-2.1'!Excel_BuiltIn_Print_Titles</vt:lpstr>
      <vt:lpstr>'A-4.2'!Excel_BuiltIn_Print_Titles</vt:lpstr>
      <vt:lpstr>B!Excel_BuiltIn_Print_Titles</vt:lpstr>
      <vt:lpstr>'A-1.1'!Print_Area</vt:lpstr>
      <vt:lpstr>'A-1.2'!Print_Area</vt:lpstr>
      <vt:lpstr>'A-1.3'!Print_Area</vt:lpstr>
      <vt:lpstr>'A-2.1'!Print_Area</vt:lpstr>
      <vt:lpstr>'A-2.2'!Print_Area</vt:lpstr>
      <vt:lpstr>'A-3.1'!Print_Area</vt:lpstr>
      <vt:lpstr>'A-3.2'!Print_Area</vt:lpstr>
      <vt:lpstr>'A-4.1'!Print_Area</vt:lpstr>
      <vt:lpstr>'A-4.2'!Print_Area</vt:lpstr>
      <vt:lpstr>'A-4.3'!Print_Area</vt:lpstr>
      <vt:lpstr>Flyleaf!Print_Area</vt:lpstr>
      <vt:lpstr>'A-1.1'!Print_Titles</vt:lpstr>
      <vt:lpstr>'A-1.2'!Print_Titles</vt:lpstr>
      <vt:lpstr>'A-1.3'!Print_Titles</vt:lpstr>
      <vt:lpstr>'A-2.1'!Print_Titles</vt:lpstr>
      <vt:lpstr>'A-4.2'!Print_Titles</vt:lpstr>
      <vt:lpstr>B!Print_Titles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Amulung, Cagayan</dc:creator>
  <cp:lastModifiedBy>Ben A. Lazo Jr.</cp:lastModifiedBy>
  <cp:lastPrinted>2026-10-15T03:34:22Z</cp:lastPrinted>
  <dcterms:created xsi:type="dcterms:W3CDTF">2026-04-08T07:59:01Z</dcterms:created>
  <dcterms:modified xsi:type="dcterms:W3CDTF">2026-10-15T03:34:39Z</dcterms:modified>
</cp:coreProperties>
</file>