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Net-drive-1\ito\Files WADAS\AARS\20-Ben\AARs\2025\AAR\Region II\10-15-2026\Amulung_Cagayan_aar2025\Amulung_Cagayan_aar2025\AAR\"/>
    </mc:Choice>
  </mc:AlternateContent>
  <xr:revisionPtr revIDLastSave="0" documentId="13_ncr:1_{3C2CD010-24EC-4F92-929D-E5A22936223B}" xr6:coauthVersionLast="36" xr6:coauthVersionMax="36" xr10:uidLastSave="{00000000-0000-0000-0000-000000000000}"/>
  <bookViews>
    <workbookView xWindow="0" yWindow="0" windowWidth="23040" windowHeight="8940" tabRatio="500" xr2:uid="{00000000-000D-0000-FFFF-FFFF00000000}"/>
  </bookViews>
  <sheets>
    <sheet name="SFPosition" sheetId="2" r:id="rId1"/>
    <sheet name="SFPerformance" sheetId="1" r:id="rId2"/>
    <sheet name="SCNAE" sheetId="3" r:id="rId3"/>
    <sheet name="SCashFlows" sheetId="4" r:id="rId4"/>
    <sheet name="SCBAA" sheetId="5" r:id="rId5"/>
  </sheets>
  <definedNames>
    <definedName name="_GoBack" localSheetId="4">SCBAA!#REF!</definedName>
    <definedName name="_xlnm.Print_Area" localSheetId="3">SCashFlows!$A$1:$E$39</definedName>
    <definedName name="_xlnm.Print_Area" localSheetId="4">SCBAA!$A$1:$H$84</definedName>
    <definedName name="_xlnm.Print_Area" localSheetId="2">SCNAE!$A$1:$E$52</definedName>
    <definedName name="_xlnm.Print_Area" localSheetId="1">SFPerformance!$A$1:$G$50</definedName>
    <definedName name="_xlnm.Print_Area" localSheetId="0">SFPosition!$A$1:$F$49</definedName>
  </definedNames>
  <calcPr calcId="191029"/>
</workbook>
</file>

<file path=xl/calcChain.xml><?xml version="1.0" encoding="utf-8"?>
<calcChain xmlns="http://schemas.openxmlformats.org/spreadsheetml/2006/main">
  <c r="Q38" i="4" l="1"/>
  <c r="J30" i="4" l="1"/>
  <c r="J29" i="4"/>
  <c r="J28" i="4"/>
  <c r="J27" i="4"/>
  <c r="J26" i="4"/>
  <c r="J25" i="4"/>
  <c r="J24" i="4"/>
  <c r="J23" i="4"/>
  <c r="J20" i="4"/>
  <c r="J19" i="4"/>
  <c r="J18" i="4"/>
  <c r="J17" i="4"/>
  <c r="J16" i="4"/>
  <c r="J10" i="4"/>
  <c r="J11" i="4"/>
  <c r="J12" i="4"/>
  <c r="J13" i="4"/>
  <c r="J14" i="4"/>
  <c r="G38" i="4" l="1"/>
  <c r="G36" i="4"/>
  <c r="G35" i="4"/>
  <c r="G34" i="4"/>
  <c r="G33" i="4"/>
  <c r="G32" i="4"/>
  <c r="G31" i="4"/>
  <c r="G28" i="4"/>
  <c r="G27" i="4"/>
  <c r="G26" i="4"/>
  <c r="G24" i="4"/>
  <c r="G23" i="4"/>
  <c r="G20" i="4"/>
  <c r="G19" i="4"/>
  <c r="G18" i="4"/>
  <c r="G17" i="4"/>
  <c r="G16" i="4"/>
  <c r="G14" i="4"/>
  <c r="G13" i="4"/>
  <c r="G12" i="4"/>
  <c r="G11" i="4"/>
  <c r="G10" i="4"/>
  <c r="L21" i="4"/>
  <c r="L22" i="4" s="1"/>
  <c r="O21" i="4"/>
  <c r="O15" i="4"/>
  <c r="O22" i="4" l="1"/>
  <c r="O37" i="4" s="1"/>
  <c r="O39" i="4" s="1"/>
  <c r="N21" i="4"/>
  <c r="N15" i="4"/>
  <c r="N22" i="4" s="1"/>
  <c r="N37" i="4" s="1"/>
  <c r="N39" i="4" s="1"/>
  <c r="M21" i="4" l="1"/>
  <c r="M15" i="4"/>
  <c r="M22" i="4" l="1"/>
  <c r="M37" i="4" s="1"/>
  <c r="M39" i="4" s="1"/>
  <c r="L37" i="4"/>
  <c r="K21" i="4"/>
  <c r="J21" i="4" s="1"/>
  <c r="K15" i="4"/>
  <c r="I21" i="4"/>
  <c r="I15" i="4"/>
  <c r="E35" i="4"/>
  <c r="E33" i="4"/>
  <c r="E36" i="4" s="1"/>
  <c r="C35" i="4"/>
  <c r="C33" i="4"/>
  <c r="C36" i="4" s="1"/>
  <c r="H25" i="4"/>
  <c r="H29" i="4"/>
  <c r="G29" i="4" s="1"/>
  <c r="H21" i="4"/>
  <c r="H15" i="4"/>
  <c r="H22" i="4" s="1"/>
  <c r="E25" i="4"/>
  <c r="C25" i="4"/>
  <c r="C29" i="4"/>
  <c r="E29" i="4"/>
  <c r="E21" i="4"/>
  <c r="E15" i="4"/>
  <c r="E22" i="4" s="1"/>
  <c r="K22" i="4" l="1"/>
  <c r="J15" i="4"/>
  <c r="E30" i="4"/>
  <c r="E37" i="4"/>
  <c r="E39" i="4" s="1"/>
  <c r="C38" i="4" s="1"/>
  <c r="I22" i="4"/>
  <c r="I37" i="4" s="1"/>
  <c r="I39" i="4" s="1"/>
  <c r="G21" i="4"/>
  <c r="H30" i="4"/>
  <c r="G30" i="4" s="1"/>
  <c r="G25" i="4"/>
  <c r="G15" i="4"/>
  <c r="L39" i="4"/>
  <c r="C30" i="4"/>
  <c r="K37" i="4" l="1"/>
  <c r="K39" i="4" s="1"/>
  <c r="J22" i="4"/>
  <c r="H37" i="4"/>
  <c r="G22" i="4"/>
  <c r="L42" i="4"/>
  <c r="H39" i="4" l="1"/>
  <c r="G39" i="4" s="1"/>
  <c r="G37" i="4"/>
  <c r="C21" i="4" l="1"/>
  <c r="C15" i="4"/>
  <c r="C22" i="4" l="1"/>
  <c r="C37" i="4" s="1"/>
  <c r="C39" i="4" s="1"/>
</calcChain>
</file>

<file path=xl/sharedStrings.xml><?xml version="1.0" encoding="utf-8"?>
<sst xmlns="http://schemas.openxmlformats.org/spreadsheetml/2006/main" count="224" uniqueCount="155">
  <si>
    <t>Republic of the Philippines</t>
  </si>
  <si>
    <t>Province of Cagayan</t>
  </si>
  <si>
    <t xml:space="preserve">Revenue </t>
  </si>
  <si>
    <t xml:space="preserve">     Tax Revenue</t>
  </si>
  <si>
    <t xml:space="preserve">     Share from National Taxes</t>
  </si>
  <si>
    <t xml:space="preserve">     Service and Business Income</t>
  </si>
  <si>
    <t xml:space="preserve">     Other Income</t>
  </si>
  <si>
    <t>Total Revenue</t>
  </si>
  <si>
    <t>Less: Current Operating Expenses</t>
  </si>
  <si>
    <t xml:space="preserve">      Personnel Services</t>
  </si>
  <si>
    <t xml:space="preserve">      Maintenance and Other Operating Expenses</t>
  </si>
  <si>
    <t xml:space="preserve">      Non-cash Expenses</t>
  </si>
  <si>
    <t>Total Current Operating Expenses</t>
  </si>
  <si>
    <t>Surplus (Deficit) from Current Operation</t>
  </si>
  <si>
    <t xml:space="preserve">      Add (Deduct):</t>
  </si>
  <si>
    <t xml:space="preserve"> Transfer, Assistance and Subsidy From</t>
  </si>
  <si>
    <t xml:space="preserve"> Transfer, Assistance and Subsidy To</t>
  </si>
  <si>
    <t>Surplus (Deficit) for the period</t>
  </si>
  <si>
    <t>(See accompanying Notes to Financial Statements)</t>
  </si>
  <si>
    <t>Note</t>
  </si>
  <si>
    <t>ASSETS</t>
  </si>
  <si>
    <r>
      <rPr>
        <i/>
        <sz val="12"/>
        <color theme="1"/>
        <rFont val="Times New Roman"/>
        <family val="1"/>
        <charset val="1"/>
      </rPr>
      <t xml:space="preserve">    </t>
    </r>
    <r>
      <rPr>
        <b/>
        <i/>
        <sz val="12"/>
        <color theme="1"/>
        <rFont val="Times New Roman"/>
        <family val="1"/>
        <charset val="1"/>
      </rPr>
      <t>Current Assets</t>
    </r>
  </si>
  <si>
    <t xml:space="preserve">    Cash and Cash Equivalents</t>
  </si>
  <si>
    <t xml:space="preserve">    Receivables</t>
  </si>
  <si>
    <t xml:space="preserve">    Inventories</t>
  </si>
  <si>
    <r>
      <rPr>
        <sz val="12"/>
        <color theme="1"/>
        <rFont val="Times New Roman"/>
        <family val="1"/>
        <charset val="1"/>
      </rPr>
      <t xml:space="preserve">    </t>
    </r>
    <r>
      <rPr>
        <b/>
        <sz val="12"/>
        <color theme="1"/>
        <rFont val="Times New Roman"/>
        <family val="1"/>
        <charset val="1"/>
      </rPr>
      <t>Total Current Assets</t>
    </r>
  </si>
  <si>
    <t xml:space="preserve">    Non-Current Assets</t>
  </si>
  <si>
    <r>
      <rPr>
        <b/>
        <i/>
        <sz val="12"/>
        <color theme="1"/>
        <rFont val="Times New Roman"/>
        <family val="1"/>
        <charset val="1"/>
      </rPr>
      <t xml:space="preserve">    </t>
    </r>
    <r>
      <rPr>
        <sz val="12"/>
        <color theme="1"/>
        <rFont val="Times New Roman"/>
        <family val="1"/>
        <charset val="1"/>
      </rPr>
      <t xml:space="preserve">Receivables </t>
    </r>
  </si>
  <si>
    <t xml:space="preserve">    Investment Property</t>
  </si>
  <si>
    <t xml:space="preserve">    Property, Plant and Equipment</t>
  </si>
  <si>
    <t xml:space="preserve">    Biological Assets</t>
  </si>
  <si>
    <t>Total Non-Current Assets</t>
  </si>
  <si>
    <t>Total Assets</t>
  </si>
  <si>
    <t>LIABILITIES</t>
  </si>
  <si>
    <r>
      <rPr>
        <i/>
        <sz val="12"/>
        <color theme="1"/>
        <rFont val="Times New Roman"/>
        <family val="1"/>
        <charset val="1"/>
      </rPr>
      <t xml:space="preserve">    </t>
    </r>
    <r>
      <rPr>
        <b/>
        <i/>
        <sz val="12"/>
        <color theme="1"/>
        <rFont val="Times New Roman"/>
        <family val="1"/>
        <charset val="1"/>
      </rPr>
      <t>Current Liabilities</t>
    </r>
  </si>
  <si>
    <t xml:space="preserve">    Financial Liabilities</t>
  </si>
  <si>
    <t xml:space="preserve">    Inter-Agency Payables</t>
  </si>
  <si>
    <t xml:space="preserve">    Intra-Agency Payables</t>
  </si>
  <si>
    <t xml:space="preserve">    Trust Liabilities</t>
  </si>
  <si>
    <r>
      <rPr>
        <sz val="12"/>
        <color theme="1"/>
        <rFont val="Times New Roman"/>
        <family val="1"/>
        <charset val="1"/>
      </rPr>
      <t xml:space="preserve">    </t>
    </r>
    <r>
      <rPr>
        <b/>
        <sz val="12"/>
        <color theme="1"/>
        <rFont val="Times New Roman"/>
        <family val="1"/>
        <charset val="1"/>
      </rPr>
      <t>Total Current Liabilities</t>
    </r>
  </si>
  <si>
    <r>
      <rPr>
        <i/>
        <sz val="12"/>
        <color theme="1"/>
        <rFont val="Times New Roman"/>
        <family val="1"/>
        <charset val="1"/>
      </rPr>
      <t xml:space="preserve">    </t>
    </r>
    <r>
      <rPr>
        <b/>
        <i/>
        <sz val="12"/>
        <color theme="1"/>
        <rFont val="Times New Roman"/>
        <family val="1"/>
        <charset val="1"/>
      </rPr>
      <t>Non-Current Liabilities</t>
    </r>
  </si>
  <si>
    <t xml:space="preserve">    Deferred Credits/Unearned Income</t>
  </si>
  <si>
    <t xml:space="preserve">    Other Payables</t>
  </si>
  <si>
    <r>
      <rPr>
        <sz val="12"/>
        <color theme="1"/>
        <rFont val="Times New Roman"/>
        <family val="1"/>
        <charset val="1"/>
      </rPr>
      <t xml:space="preserve">    </t>
    </r>
    <r>
      <rPr>
        <b/>
        <sz val="12"/>
        <color theme="1"/>
        <rFont val="Times New Roman"/>
        <family val="1"/>
        <charset val="1"/>
      </rPr>
      <t>Total Non-Current Liabilities</t>
    </r>
  </si>
  <si>
    <t>Total Liabilities</t>
  </si>
  <si>
    <t>NET ASSETS/EQUITY</t>
  </si>
  <si>
    <t>Government Equity</t>
  </si>
  <si>
    <t>Total Liabilities and Net Assets/Equity</t>
  </si>
  <si>
    <t>Balance at January 1, 2024</t>
  </si>
  <si>
    <t>Add (Deduct)</t>
  </si>
  <si>
    <t>Change in Accounting Policy</t>
  </si>
  <si>
    <t>Prior Period Errors</t>
  </si>
  <si>
    <t>Restated Balance</t>
  </si>
  <si>
    <t>Add/(Deduct)  Changes in Net Assets/Equity during the Year:</t>
  </si>
  <si>
    <t>Adjustment of net revenue recognized directly in net assets/equity</t>
  </si>
  <si>
    <t>Total recognized revenue and expenses for the period</t>
  </si>
  <si>
    <t>Balance at December 31, 2024</t>
  </si>
  <si>
    <t>Cash Flows from Operating Activities</t>
  </si>
  <si>
    <t>Cash Inflows</t>
  </si>
  <si>
    <t xml:space="preserve">     Collection from taxpayers</t>
  </si>
  <si>
    <t xml:space="preserve">     Share from Internal Revenue Allotment</t>
  </si>
  <si>
    <t xml:space="preserve">     Receipts from business/service income</t>
  </si>
  <si>
    <t xml:space="preserve">     Interest Income</t>
  </si>
  <si>
    <t xml:space="preserve">     Other Receipts</t>
  </si>
  <si>
    <t xml:space="preserve">    Total Cash Inflows</t>
  </si>
  <si>
    <t>Cash Outflows</t>
  </si>
  <si>
    <r>
      <rPr>
        <b/>
        <sz val="10.5"/>
        <color theme="1"/>
        <rFont val="Times New Roman"/>
        <family val="1"/>
        <charset val="1"/>
      </rPr>
      <t xml:space="preserve">    </t>
    </r>
    <r>
      <rPr>
        <sz val="10.5"/>
        <color theme="1"/>
        <rFont val="Times New Roman"/>
        <family val="1"/>
        <charset val="1"/>
      </rPr>
      <t>Payment of expenses</t>
    </r>
  </si>
  <si>
    <r>
      <rPr>
        <b/>
        <sz val="10.5"/>
        <color theme="1"/>
        <rFont val="Times New Roman"/>
        <family val="1"/>
        <charset val="1"/>
      </rPr>
      <t xml:space="preserve">    </t>
    </r>
    <r>
      <rPr>
        <sz val="10.5"/>
        <color theme="1"/>
        <rFont val="Times New Roman"/>
        <family val="1"/>
        <charset val="1"/>
      </rPr>
      <t>Payments to suppliers and creditors</t>
    </r>
  </si>
  <si>
    <t xml:space="preserve">    Payments to employees</t>
  </si>
  <si>
    <t xml:space="preserve">    Other Expenses</t>
  </si>
  <si>
    <t xml:space="preserve">    Total Cash Outflows</t>
  </si>
  <si>
    <t>Net Cash Flows from Operating Activities</t>
  </si>
  <si>
    <t>Cash Flows from Investing Activities</t>
  </si>
  <si>
    <t xml:space="preserve">Cash Inflows </t>
  </si>
  <si>
    <t xml:space="preserve">     Total Cash Inflows</t>
  </si>
  <si>
    <t>Net Cash Flows from Investing Activities</t>
  </si>
  <si>
    <t>Cash Flows from Financing Activities</t>
  </si>
  <si>
    <r>
      <rPr>
        <i/>
        <sz val="10.5"/>
        <color theme="1"/>
        <rFont val="Times New Roman"/>
        <family val="1"/>
        <charset val="1"/>
      </rPr>
      <t xml:space="preserve">     </t>
    </r>
    <r>
      <rPr>
        <b/>
        <sz val="10.5"/>
        <color theme="1"/>
        <rFont val="Times New Roman"/>
        <family val="1"/>
        <charset val="1"/>
      </rPr>
      <t>Total Cash Inflows</t>
    </r>
  </si>
  <si>
    <t>Net Cash Flows from Financing Activities</t>
  </si>
  <si>
    <t>Total Cash Provided by Operating, Investing and Financing Activities</t>
  </si>
  <si>
    <t>Add: Cash at the Beginning of the year</t>
  </si>
  <si>
    <t>Cash Balance at the End of the Year</t>
  </si>
  <si>
    <t>Particulars</t>
  </si>
  <si>
    <t>Notes</t>
  </si>
  <si>
    <t>Budgeted Amounts</t>
  </si>
  <si>
    <t>Difference Original and Final Budget</t>
  </si>
  <si>
    <t>Actual Amounts</t>
  </si>
  <si>
    <t xml:space="preserve">Difference Final Budget and Actual </t>
  </si>
  <si>
    <t>Original</t>
  </si>
  <si>
    <t>Final</t>
  </si>
  <si>
    <t xml:space="preserve"> </t>
  </si>
  <si>
    <t>Revenue</t>
  </si>
  <si>
    <t xml:space="preserve">A.      Local Sources </t>
  </si>
  <si>
    <t>1.       Tax Revenue</t>
  </si>
  <si>
    <t>a.       Tax Revenue- Property</t>
  </si>
  <si>
    <t>b.       Tax Revenue – Goods and Services</t>
  </si>
  <si>
    <t>c.        Other Local Taxes</t>
  </si>
  <si>
    <t>Total Tax Revenue</t>
  </si>
  <si>
    <t>2.       Non-Tax Revenue</t>
  </si>
  <si>
    <t>a.       Service Income</t>
  </si>
  <si>
    <t>b.       Business Income</t>
  </si>
  <si>
    <t>c.        Other Income and Receipts</t>
  </si>
  <si>
    <t>Total Non-Tax Revenue</t>
  </si>
  <si>
    <t>B.      External Sources</t>
  </si>
  <si>
    <t>1.       Share from the National Internal Revenue Taxes (IRA)</t>
  </si>
  <si>
    <t>2.       Share from GOCCs</t>
  </si>
  <si>
    <t>3.       Other Shares from National Tax Collections</t>
  </si>
  <si>
    <t>a.       Share from Ecozone</t>
  </si>
  <si>
    <t>b.       Share from EVAT</t>
  </si>
  <si>
    <t>c.        Share from National Wealth</t>
  </si>
  <si>
    <t>d.       Share from Tobacco Excise Tax</t>
  </si>
  <si>
    <t>4.       Other Receipts</t>
  </si>
  <si>
    <t>a.       Grants and Donations</t>
  </si>
  <si>
    <t>b.       Other Subsidy Income</t>
  </si>
  <si>
    <t>5.       Inter-local Transfer</t>
  </si>
  <si>
    <t>6.       Capital /Investment Receipts</t>
  </si>
  <si>
    <t>a.       Sale of Capital Assets</t>
  </si>
  <si>
    <t>b.       Sale of  Investments</t>
  </si>
  <si>
    <t>c.        Proceeds from Collections of Loans Receivable</t>
  </si>
  <si>
    <t>Total Revenues and Receipts</t>
  </si>
  <si>
    <t xml:space="preserve">Expenditures </t>
  </si>
  <si>
    <t>General Public Services</t>
  </si>
  <si>
    <t>Personnel Services</t>
  </si>
  <si>
    <t>Maintenance and Other Operating Expenses</t>
  </si>
  <si>
    <t>Capital Outlay</t>
  </si>
  <si>
    <t>Education</t>
  </si>
  <si>
    <t>Health, Nutrition and Population Control</t>
  </si>
  <si>
    <t>Labor and Employment</t>
  </si>
  <si>
    <t>Housing and Community Development</t>
  </si>
  <si>
    <t>Social Services and Social Welfare</t>
  </si>
  <si>
    <t>Economic Services</t>
  </si>
  <si>
    <t>Other Purposes:</t>
  </si>
  <si>
    <t xml:space="preserve">    Debt Service</t>
  </si>
  <si>
    <t>Financial Expense</t>
  </si>
  <si>
    <t>Amortization</t>
  </si>
  <si>
    <t>LDRRMF</t>
  </si>
  <si>
    <t>20% Development Fund</t>
  </si>
  <si>
    <t>Others</t>
  </si>
  <si>
    <t xml:space="preserve">Total </t>
  </si>
  <si>
    <t>P</t>
  </si>
  <si>
    <t>MUNICIPALITY OF AMULUNG</t>
  </si>
  <si>
    <t>CONSOLIDATED STATEMENT OF FINANCIAL POSITION</t>
  </si>
  <si>
    <t>CONSOLIDATED STATEMENT OF FINANCIAL PERFORMANCE</t>
  </si>
  <si>
    <t>CONSOLIDATED STATEMENT OF CHANGES IN NET ASSETS/EQUITY</t>
  </si>
  <si>
    <t>CONSOLIDATED STATEMENT OF CASH FLOWS</t>
  </si>
  <si>
    <t>STATEMENT OF COMPARISON OF BUDGET AND ACTUAL AMOUNTS</t>
  </si>
  <si>
    <t>Gen</t>
  </si>
  <si>
    <t>Trust</t>
  </si>
  <si>
    <t>SEF</t>
  </si>
  <si>
    <t>As at December 31, 2025</t>
  </si>
  <si>
    <t>(With Comparative Figures for CY 2024)</t>
  </si>
  <si>
    <r>
      <t xml:space="preserve">    </t>
    </r>
    <r>
      <rPr>
        <sz val="10.5"/>
        <color theme="1"/>
        <rFont val="Times New Roman"/>
        <family val="1"/>
        <charset val="1"/>
      </rPr>
      <t>Purchase/Construction of Property, Plant and Equipment</t>
    </r>
  </si>
  <si>
    <t xml:space="preserve">     Shares, Grants, and Donations</t>
  </si>
  <si>
    <t>-</t>
  </si>
  <si>
    <t>For the year ended December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</si>
</sst>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\-??_);_(@_)"/>
    <numFmt numFmtId="165" formatCode="_-* #,##0.00_-;\-* #,##0.00_-;_-* \-??_-;_-@_-"/>
  </numFmts>
  <fonts count="25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2"/>
      <color theme="1"/>
      <name val="Times New Roman"/>
      <family val="1"/>
      <charset val="1"/>
    </font>
    <font>
      <sz val="10"/>
      <color theme="1"/>
      <name val="Calibri"/>
      <family val="2"/>
      <charset val="1"/>
    </font>
    <font>
      <sz val="12"/>
      <color theme="1"/>
      <name val="Times New Roman"/>
      <family val="1"/>
      <charset val="1"/>
    </font>
    <font>
      <b/>
      <i/>
      <sz val="12"/>
      <color theme="1"/>
      <name val="Times New Roman"/>
      <family val="1"/>
      <charset val="1"/>
    </font>
    <font>
      <i/>
      <sz val="12"/>
      <color theme="1"/>
      <name val="Times New Roman"/>
      <family val="1"/>
      <charset val="1"/>
    </font>
    <font>
      <sz val="11"/>
      <color theme="1"/>
      <name val="Times New Roman"/>
      <family val="1"/>
      <charset val="1"/>
    </font>
    <font>
      <sz val="12"/>
      <name val="Times New Roman"/>
      <family val="1"/>
      <charset val="1"/>
    </font>
    <font>
      <b/>
      <sz val="10.5"/>
      <color theme="1"/>
      <name val="Times New Roman"/>
      <family val="1"/>
      <charset val="1"/>
    </font>
    <font>
      <sz val="10.5"/>
      <color theme="1"/>
      <name val="Times New Roman"/>
      <family val="1"/>
      <charset val="1"/>
    </font>
    <font>
      <b/>
      <i/>
      <sz val="10.5"/>
      <color theme="1"/>
      <name val="Times New Roman"/>
      <family val="1"/>
      <charset val="1"/>
    </font>
    <font>
      <b/>
      <sz val="12"/>
      <name val="Times New Roman"/>
      <family val="1"/>
      <charset val="1"/>
    </font>
    <font>
      <i/>
      <sz val="10.5"/>
      <color theme="1"/>
      <name val="Times New Roman"/>
      <family val="1"/>
      <charset val="1"/>
    </font>
    <font>
      <sz val="11"/>
      <color theme="1"/>
      <name val="Calibri"/>
      <family val="2"/>
      <charset val="1"/>
    </font>
    <font>
      <sz val="10"/>
      <name val="Calibri"/>
      <family val="2"/>
      <charset val="1"/>
    </font>
    <font>
      <sz val="12"/>
      <name val="Calibri"/>
      <family val="2"/>
      <charset val="1"/>
    </font>
    <font>
      <sz val="11"/>
      <name val="Calibri"/>
      <family val="2"/>
      <charset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0"/>
      <color theme="1"/>
      <name val="Calibri"/>
      <family val="2"/>
      <charset val="1"/>
    </font>
    <font>
      <sz val="10"/>
      <name val="Arial"/>
      <family val="2"/>
    </font>
    <font>
      <i/>
      <sz val="12"/>
      <color theme="1"/>
      <name val="Times New Roman"/>
      <family val="1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/>
      <bottom/>
      <diagonal/>
    </border>
  </borders>
  <cellStyleXfs count="11">
    <xf numFmtId="0" fontId="0" fillId="0" borderId="0"/>
    <xf numFmtId="165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5" fontId="15" fillId="0" borderId="0" applyBorder="0" applyProtection="0"/>
    <xf numFmtId="164" fontId="15" fillId="0" borderId="0" applyBorder="0" applyProtection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0" fontId="22" fillId="0" borderId="0"/>
    <xf numFmtId="43" fontId="1" fillId="0" borderId="0" applyFont="0" applyFill="0" applyBorder="0" applyAlignment="0" applyProtection="0"/>
  </cellStyleXfs>
  <cellXfs count="164">
    <xf numFmtId="0" fontId="0" fillId="0" borderId="0" xfId="0"/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top" wrapText="1"/>
    </xf>
    <xf numFmtId="0" fontId="4" fillId="0" borderId="0" xfId="0" applyFont="1"/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65" fontId="15" fillId="0" borderId="0" xfId="1" applyBorder="1" applyProtection="1"/>
    <xf numFmtId="165" fontId="4" fillId="0" borderId="0" xfId="1" applyFont="1" applyBorder="1" applyProtection="1"/>
    <xf numFmtId="0" fontId="3" fillId="0" borderId="0" xfId="0" applyFont="1" applyAlignment="1">
      <alignment horizontal="center" vertical="center" wrapText="1"/>
    </xf>
    <xf numFmtId="165" fontId="4" fillId="0" borderId="0" xfId="1" applyFont="1" applyBorder="1" applyAlignment="1" applyProtection="1">
      <alignment vertical="top" wrapText="1"/>
    </xf>
    <xf numFmtId="165" fontId="5" fillId="0" borderId="0" xfId="1" applyFont="1" applyBorder="1" applyAlignment="1" applyProtection="1">
      <alignment horizontal="justify" vertical="center" wrapText="1"/>
    </xf>
    <xf numFmtId="165" fontId="5" fillId="0" borderId="0" xfId="1" applyFont="1" applyBorder="1" applyAlignment="1" applyProtection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164" fontId="5" fillId="0" borderId="0" xfId="2" applyFont="1" applyBorder="1" applyProtection="1"/>
    <xf numFmtId="4" fontId="5" fillId="0" borderId="0" xfId="0" applyNumberFormat="1" applyFont="1"/>
    <xf numFmtId="165" fontId="5" fillId="0" borderId="0" xfId="1" applyFont="1" applyBorder="1" applyAlignment="1" applyProtection="1">
      <alignment horizontal="right" vertical="top" wrapText="1"/>
    </xf>
    <xf numFmtId="0" fontId="5" fillId="0" borderId="0" xfId="0" applyFont="1" applyAlignment="1">
      <alignment horizontal="center" vertical="top" wrapText="1"/>
    </xf>
    <xf numFmtId="164" fontId="5" fillId="0" borderId="1" xfId="2" applyFont="1" applyBorder="1" applyProtection="1"/>
    <xf numFmtId="165" fontId="3" fillId="0" borderId="2" xfId="1" applyFont="1" applyBorder="1" applyAlignment="1" applyProtection="1">
      <alignment horizontal="right" vertical="top" wrapText="1"/>
    </xf>
    <xf numFmtId="165" fontId="3" fillId="0" borderId="0" xfId="1" applyFont="1" applyBorder="1" applyAlignment="1" applyProtection="1">
      <alignment horizontal="right" vertical="top" wrapText="1"/>
    </xf>
    <xf numFmtId="164" fontId="5" fillId="0" borderId="0" xfId="2" applyFont="1" applyBorder="1" applyAlignment="1" applyProtection="1">
      <alignment wrapText="1"/>
    </xf>
    <xf numFmtId="165" fontId="3" fillId="0" borderId="3" xfId="1" applyFont="1" applyBorder="1" applyAlignment="1" applyProtection="1">
      <alignment horizontal="right" vertical="top" wrapText="1"/>
    </xf>
    <xf numFmtId="165" fontId="3" fillId="0" borderId="0" xfId="1" applyFont="1" applyBorder="1" applyAlignment="1" applyProtection="1">
      <alignment horizontal="right" vertical="center" wrapText="1"/>
    </xf>
    <xf numFmtId="164" fontId="5" fillId="0" borderId="0" xfId="1" applyNumberFormat="1" applyFont="1" applyBorder="1" applyAlignment="1" applyProtection="1">
      <alignment horizontal="right" vertical="top" wrapText="1"/>
    </xf>
    <xf numFmtId="0" fontId="5" fillId="0" borderId="0" xfId="0" applyFont="1" applyAlignment="1">
      <alignment horizontal="left" vertical="center" wrapText="1" indent="2"/>
    </xf>
    <xf numFmtId="164" fontId="4" fillId="0" borderId="0" xfId="1" applyNumberFormat="1" applyFont="1" applyBorder="1" applyAlignment="1" applyProtection="1">
      <alignment vertical="top" wrapText="1"/>
    </xf>
    <xf numFmtId="164" fontId="5" fillId="0" borderId="1" xfId="1" applyNumberFormat="1" applyFont="1" applyBorder="1" applyAlignment="1" applyProtection="1">
      <alignment horizontal="right" vertical="top" wrapText="1"/>
    </xf>
    <xf numFmtId="164" fontId="3" fillId="0" borderId="4" xfId="1" applyNumberFormat="1" applyFont="1" applyBorder="1" applyAlignment="1" applyProtection="1">
      <alignment horizontal="right" vertical="top" wrapText="1"/>
    </xf>
    <xf numFmtId="164" fontId="0" fillId="0" borderId="0" xfId="0" applyNumberFormat="1"/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5" fillId="0" borderId="0" xfId="0" applyFont="1" applyAlignment="1">
      <alignment horizontal="justify" vertical="center"/>
    </xf>
    <xf numFmtId="0" fontId="7" fillId="0" borderId="0" xfId="0" applyFont="1" applyAlignment="1">
      <alignment horizontal="justify" vertical="center"/>
    </xf>
    <xf numFmtId="4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165" fontId="3" fillId="0" borderId="2" xfId="1" applyFont="1" applyBorder="1" applyAlignment="1" applyProtection="1">
      <alignment horizontal="right" vertical="center"/>
    </xf>
    <xf numFmtId="0" fontId="6" fillId="0" borderId="0" xfId="0" applyFont="1" applyAlignment="1">
      <alignment horizontal="justify" vertical="center"/>
    </xf>
    <xf numFmtId="0" fontId="3" fillId="0" borderId="0" xfId="0" applyFont="1" applyAlignment="1">
      <alignment horizontal="justify" vertical="center"/>
    </xf>
    <xf numFmtId="165" fontId="3" fillId="0" borderId="4" xfId="1" applyFont="1" applyBorder="1" applyAlignment="1" applyProtection="1">
      <alignment horizontal="right" vertical="center" wrapText="1"/>
    </xf>
    <xf numFmtId="4" fontId="3" fillId="0" borderId="4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165" fontId="9" fillId="0" borderId="0" xfId="1" applyFont="1" applyBorder="1" applyAlignment="1" applyProtection="1">
      <alignment horizontal="right" vertical="center" wrapText="1"/>
    </xf>
    <xf numFmtId="165" fontId="3" fillId="0" borderId="1" xfId="1" applyFont="1" applyBorder="1" applyAlignment="1" applyProtection="1">
      <alignment horizontal="right" vertical="center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64" fontId="3" fillId="0" borderId="0" xfId="0" applyNumberFormat="1" applyFont="1" applyAlignment="1">
      <alignment vertical="center"/>
    </xf>
    <xf numFmtId="164" fontId="5" fillId="0" borderId="0" xfId="0" applyNumberFormat="1" applyFont="1" applyAlignment="1">
      <alignment vertical="center"/>
    </xf>
    <xf numFmtId="164" fontId="8" fillId="0" borderId="0" xfId="2" applyFont="1" applyBorder="1" applyProtection="1"/>
    <xf numFmtId="0" fontId="5" fillId="0" borderId="0" xfId="0" applyFont="1" applyAlignment="1">
      <alignment horizontal="left" vertical="center" indent="2"/>
    </xf>
    <xf numFmtId="164" fontId="5" fillId="0" borderId="0" xfId="4" applyNumberFormat="1" applyFont="1" applyBorder="1" applyAlignment="1" applyProtection="1">
      <alignment horizontal="center" vertical="center"/>
    </xf>
    <xf numFmtId="0" fontId="9" fillId="0" borderId="0" xfId="0" applyFont="1"/>
    <xf numFmtId="164" fontId="5" fillId="0" borderId="0" xfId="3" applyFont="1" applyBorder="1" applyAlignment="1" applyProtection="1">
      <alignment horizontal="center" vertical="center"/>
    </xf>
    <xf numFmtId="0" fontId="3" fillId="0" borderId="0" xfId="0" applyFont="1" applyAlignment="1">
      <alignment vertical="center" wrapText="1"/>
    </xf>
    <xf numFmtId="164" fontId="3" fillId="0" borderId="2" xfId="1" applyNumberFormat="1" applyFont="1" applyBorder="1" applyAlignment="1" applyProtection="1">
      <alignment vertical="center" wrapText="1"/>
    </xf>
    <xf numFmtId="165" fontId="3" fillId="0" borderId="4" xfId="1" applyFont="1" applyBorder="1" applyAlignment="1" applyProtection="1">
      <alignment horizontal="right" vertical="center"/>
    </xf>
    <xf numFmtId="0" fontId="5" fillId="0" borderId="0" xfId="0" applyFont="1"/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5" fillId="0" borderId="0" xfId="0" applyFont="1" applyAlignment="1">
      <alignment vertical="top" wrapText="1"/>
    </xf>
    <xf numFmtId="0" fontId="12" fillId="0" borderId="0" xfId="0" applyFont="1" applyAlignment="1">
      <alignment vertical="center"/>
    </xf>
    <xf numFmtId="0" fontId="5" fillId="0" borderId="0" xfId="0" applyFont="1" applyAlignment="1">
      <alignment horizontal="right" vertical="center" wrapText="1"/>
    </xf>
    <xf numFmtId="165" fontId="3" fillId="0" borderId="2" xfId="1" applyFont="1" applyBorder="1" applyAlignment="1" applyProtection="1">
      <alignment horizontal="right" vertical="center" wrapText="1"/>
    </xf>
    <xf numFmtId="164" fontId="9" fillId="0" borderId="0" xfId="2" applyFont="1" applyBorder="1" applyProtection="1"/>
    <xf numFmtId="165" fontId="5" fillId="0" borderId="2" xfId="1" applyFont="1" applyBorder="1" applyAlignment="1" applyProtection="1">
      <alignment horizontal="right" vertical="center" wrapText="1"/>
    </xf>
    <xf numFmtId="0" fontId="10" fillId="0" borderId="0" xfId="0" applyFont="1" applyAlignment="1">
      <alignment vertical="center" wrapText="1"/>
    </xf>
    <xf numFmtId="164" fontId="13" fillId="0" borderId="2" xfId="0" applyNumberFormat="1" applyFont="1" applyBorder="1"/>
    <xf numFmtId="0" fontId="12" fillId="0" borderId="0" xfId="0" applyFont="1" applyAlignment="1">
      <alignment vertical="center" wrapText="1"/>
    </xf>
    <xf numFmtId="165" fontId="5" fillId="0" borderId="1" xfId="1" applyFont="1" applyBorder="1" applyAlignment="1" applyProtection="1">
      <alignment horizontal="right" vertical="center" wrapText="1"/>
    </xf>
    <xf numFmtId="0" fontId="14" fillId="0" borderId="0" xfId="0" applyFont="1" applyAlignment="1">
      <alignment vertical="center" wrapText="1"/>
    </xf>
    <xf numFmtId="164" fontId="13" fillId="0" borderId="1" xfId="2" applyFont="1" applyBorder="1" applyProtection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top"/>
    </xf>
    <xf numFmtId="0" fontId="13" fillId="0" borderId="0" xfId="0" applyFont="1" applyAlignment="1">
      <alignment horizontal="center"/>
    </xf>
    <xf numFmtId="164" fontId="13" fillId="0" borderId="6" xfId="2" applyFont="1" applyBorder="1" applyAlignment="1" applyProtection="1">
      <alignment horizontal="center" vertical="top"/>
    </xf>
    <xf numFmtId="164" fontId="13" fillId="0" borderId="7" xfId="2" applyFont="1" applyBorder="1" applyAlignment="1" applyProtection="1">
      <alignment horizontal="center"/>
    </xf>
    <xf numFmtId="164" fontId="3" fillId="0" borderId="7" xfId="2" applyFont="1" applyBorder="1" applyAlignment="1" applyProtection="1">
      <alignment horizontal="center"/>
    </xf>
    <xf numFmtId="164" fontId="13" fillId="0" borderId="7" xfId="2" applyFont="1" applyBorder="1" applyAlignment="1" applyProtection="1">
      <alignment horizontal="center" vertical="top"/>
    </xf>
    <xf numFmtId="0" fontId="13" fillId="0" borderId="0" xfId="0" applyFont="1" applyAlignment="1">
      <alignment horizontal="left" vertical="top"/>
    </xf>
    <xf numFmtId="0" fontId="9" fillId="0" borderId="0" xfId="0" applyFont="1" applyAlignment="1">
      <alignment horizontal="justify" vertical="top"/>
    </xf>
    <xf numFmtId="164" fontId="9" fillId="0" borderId="0" xfId="2" applyFont="1" applyBorder="1" applyAlignment="1" applyProtection="1">
      <alignment horizontal="justify" vertical="top"/>
    </xf>
    <xf numFmtId="164" fontId="5" fillId="0" borderId="0" xfId="2" applyFont="1" applyBorder="1" applyAlignment="1" applyProtection="1">
      <alignment horizontal="justify" vertical="top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right" vertical="top"/>
    </xf>
    <xf numFmtId="164" fontId="9" fillId="0" borderId="0" xfId="2" applyFont="1" applyBorder="1" applyAlignment="1" applyProtection="1">
      <alignment horizontal="right" vertical="top"/>
    </xf>
    <xf numFmtId="164" fontId="9" fillId="0" borderId="2" xfId="2" applyFont="1" applyBorder="1" applyAlignment="1" applyProtection="1">
      <alignment horizontal="right" vertical="top"/>
    </xf>
    <xf numFmtId="164" fontId="5" fillId="0" borderId="0" xfId="2" applyFont="1" applyBorder="1" applyAlignment="1" applyProtection="1">
      <alignment horizontal="right" vertical="top"/>
    </xf>
    <xf numFmtId="0" fontId="13" fillId="0" borderId="0" xfId="0" applyFont="1"/>
    <xf numFmtId="0" fontId="13" fillId="0" borderId="0" xfId="0" applyFont="1" applyAlignment="1">
      <alignment horizontal="right" vertical="top"/>
    </xf>
    <xf numFmtId="164" fontId="13" fillId="0" borderId="2" xfId="2" applyFont="1" applyBorder="1" applyAlignment="1" applyProtection="1">
      <alignment horizontal="right" vertical="top"/>
    </xf>
    <xf numFmtId="164" fontId="13" fillId="0" borderId="8" xfId="2" applyFont="1" applyBorder="1" applyAlignment="1" applyProtection="1">
      <alignment horizontal="right" vertical="top"/>
    </xf>
    <xf numFmtId="164" fontId="3" fillId="0" borderId="8" xfId="2" applyFont="1" applyBorder="1" applyAlignment="1" applyProtection="1">
      <alignment horizontal="right" vertical="top"/>
    </xf>
    <xf numFmtId="0" fontId="6" fillId="0" borderId="0" xfId="0" applyFont="1" applyAlignment="1">
      <alignment vertical="center" wrapText="1"/>
    </xf>
    <xf numFmtId="0" fontId="16" fillId="0" borderId="0" xfId="0" applyFont="1"/>
    <xf numFmtId="0" fontId="13" fillId="0" borderId="0" xfId="0" applyFont="1" applyAlignment="1">
      <alignment horizontal="center" vertical="center" wrapText="1"/>
    </xf>
    <xf numFmtId="0" fontId="16" fillId="0" borderId="0" xfId="0" applyFont="1" applyAlignment="1">
      <alignment horizontal="right" vertical="center" wrapText="1"/>
    </xf>
    <xf numFmtId="0" fontId="16" fillId="0" borderId="0" xfId="0" applyFont="1" applyAlignment="1">
      <alignment horizontal="right" vertical="center"/>
    </xf>
    <xf numFmtId="165" fontId="9" fillId="0" borderId="0" xfId="1" applyFont="1" applyBorder="1" applyAlignment="1" applyProtection="1">
      <alignment horizontal="right" vertical="center"/>
    </xf>
    <xf numFmtId="165" fontId="13" fillId="0" borderId="2" xfId="1" applyFont="1" applyBorder="1" applyAlignment="1" applyProtection="1">
      <alignment horizontal="right" vertical="center"/>
    </xf>
    <xf numFmtId="165" fontId="17" fillId="0" borderId="0" xfId="1" applyFont="1" applyBorder="1" applyAlignment="1" applyProtection="1">
      <alignment horizontal="right" vertical="center" wrapText="1"/>
    </xf>
    <xf numFmtId="4" fontId="18" fillId="0" borderId="0" xfId="0" applyNumberFormat="1" applyFont="1"/>
    <xf numFmtId="0" fontId="18" fillId="0" borderId="0" xfId="0" applyFont="1"/>
    <xf numFmtId="0" fontId="17" fillId="0" borderId="0" xfId="0" applyFont="1" applyAlignment="1">
      <alignment vertical="center"/>
    </xf>
    <xf numFmtId="164" fontId="13" fillId="0" borderId="0" xfId="0" applyNumberFormat="1" applyFont="1" applyAlignment="1">
      <alignment vertical="center"/>
    </xf>
    <xf numFmtId="164" fontId="9" fillId="0" borderId="0" xfId="0" applyNumberFormat="1" applyFont="1" applyAlignment="1">
      <alignment vertical="center"/>
    </xf>
    <xf numFmtId="164" fontId="9" fillId="0" borderId="0" xfId="4" applyNumberFormat="1" applyFont="1" applyBorder="1" applyAlignment="1" applyProtection="1">
      <alignment horizontal="center" vertical="center"/>
    </xf>
    <xf numFmtId="0" fontId="13" fillId="0" borderId="0" xfId="0" applyFont="1" applyAlignment="1">
      <alignment vertical="center"/>
    </xf>
    <xf numFmtId="164" fontId="9" fillId="0" borderId="0" xfId="1" applyNumberFormat="1" applyFont="1" applyBorder="1" applyAlignment="1" applyProtection="1">
      <alignment horizontal="center" vertical="center"/>
    </xf>
    <xf numFmtId="164" fontId="9" fillId="0" borderId="1" xfId="1" applyNumberFormat="1" applyFont="1" applyBorder="1" applyAlignment="1" applyProtection="1">
      <alignment horizontal="center" vertical="center"/>
    </xf>
    <xf numFmtId="0" fontId="9" fillId="0" borderId="0" xfId="0" applyFont="1" applyAlignment="1">
      <alignment vertical="top" wrapText="1"/>
    </xf>
    <xf numFmtId="165" fontId="9" fillId="0" borderId="0" xfId="1" applyFont="1" applyBorder="1" applyAlignment="1" applyProtection="1">
      <alignment vertical="center" wrapText="1"/>
    </xf>
    <xf numFmtId="164" fontId="9" fillId="0" borderId="0" xfId="1" applyNumberFormat="1" applyFont="1" applyBorder="1" applyAlignment="1" applyProtection="1">
      <alignment horizontal="right" vertical="top" wrapText="1"/>
    </xf>
    <xf numFmtId="164" fontId="9" fillId="0" borderId="0" xfId="1" applyNumberFormat="1" applyFont="1" applyBorder="1" applyAlignment="1" applyProtection="1">
      <alignment horizontal="right"/>
    </xf>
    <xf numFmtId="165" fontId="9" fillId="0" borderId="2" xfId="1" applyFont="1" applyBorder="1" applyAlignment="1" applyProtection="1">
      <alignment horizontal="right" vertical="center" wrapText="1"/>
    </xf>
    <xf numFmtId="164" fontId="13" fillId="0" borderId="1" xfId="1" applyNumberFormat="1" applyFont="1" applyBorder="1" applyAlignment="1" applyProtection="1">
      <alignment horizontal="right" vertical="top" wrapText="1"/>
    </xf>
    <xf numFmtId="164" fontId="13" fillId="0" borderId="4" xfId="1" applyNumberFormat="1" applyFont="1" applyBorder="1" applyAlignment="1" applyProtection="1">
      <alignment horizontal="right" vertical="top" wrapText="1"/>
    </xf>
    <xf numFmtId="0" fontId="19" fillId="0" borderId="0" xfId="0" applyFont="1" applyAlignment="1">
      <alignment horizontal="center" vertical="center" wrapText="1"/>
    </xf>
    <xf numFmtId="4" fontId="19" fillId="0" borderId="4" xfId="0" applyNumberFormat="1" applyFont="1" applyBorder="1" applyAlignment="1">
      <alignment horizontal="right" vertical="center"/>
    </xf>
    <xf numFmtId="0" fontId="20" fillId="0" borderId="0" xfId="0" applyFont="1" applyAlignment="1">
      <alignment vertical="center"/>
    </xf>
    <xf numFmtId="0" fontId="19" fillId="0" borderId="0" xfId="0" applyFont="1" applyAlignment="1">
      <alignment vertical="top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65" fontId="15" fillId="0" borderId="0" xfId="1"/>
    <xf numFmtId="165" fontId="0" fillId="0" borderId="0" xfId="0" applyNumberFormat="1"/>
    <xf numFmtId="0" fontId="13" fillId="0" borderId="2" xfId="0" applyFont="1" applyBorder="1" applyAlignment="1">
      <alignment vertical="center"/>
    </xf>
    <xf numFmtId="165" fontId="15" fillId="0" borderId="2" xfId="1" applyBorder="1"/>
    <xf numFmtId="164" fontId="9" fillId="0" borderId="0" xfId="2" applyFont="1" applyBorder="1" applyAlignment="1" applyProtection="1">
      <alignment vertical="center"/>
    </xf>
    <xf numFmtId="164" fontId="9" fillId="0" borderId="0" xfId="1" applyNumberFormat="1" applyFont="1" applyBorder="1" applyAlignment="1" applyProtection="1">
      <alignment vertical="center" wrapText="1"/>
    </xf>
    <xf numFmtId="165" fontId="15" fillId="0" borderId="4" xfId="1" applyBorder="1" applyProtection="1"/>
    <xf numFmtId="43" fontId="0" fillId="0" borderId="0" xfId="0" applyNumberFormat="1"/>
    <xf numFmtId="165" fontId="15" fillId="2" borderId="0" xfId="1" applyFill="1"/>
    <xf numFmtId="43" fontId="5" fillId="2" borderId="0" xfId="0" applyNumberFormat="1" applyFont="1" applyFill="1"/>
    <xf numFmtId="0" fontId="23" fillId="0" borderId="0" xfId="0" applyFont="1" applyAlignment="1">
      <alignment horizontal="center" vertical="center"/>
    </xf>
    <xf numFmtId="4" fontId="0" fillId="0" borderId="0" xfId="0" applyNumberFormat="1" applyAlignment="1">
      <alignment horizontal="right"/>
    </xf>
    <xf numFmtId="43" fontId="0" fillId="0" borderId="0" xfId="0" applyNumberFormat="1" applyAlignment="1">
      <alignment horizontal="right"/>
    </xf>
    <xf numFmtId="0" fontId="24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164" fontId="0" fillId="0" borderId="0" xfId="0" applyNumberFormat="1" applyAlignment="1">
      <alignment horizontal="centerContinuous"/>
    </xf>
    <xf numFmtId="0" fontId="18" fillId="0" borderId="0" xfId="0" applyFont="1" applyAlignment="1">
      <alignment horizontal="centerContinuous"/>
    </xf>
    <xf numFmtId="165" fontId="3" fillId="0" borderId="0" xfId="1" applyFont="1" applyBorder="1" applyAlignment="1" applyProtection="1">
      <alignment horizontal="right" vertical="center"/>
    </xf>
    <xf numFmtId="0" fontId="7" fillId="0" borderId="0" xfId="0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center" wrapText="1"/>
    </xf>
    <xf numFmtId="164" fontId="13" fillId="0" borderId="5" xfId="2" applyFont="1" applyBorder="1" applyAlignment="1" applyProtection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164" fontId="3" fillId="0" borderId="5" xfId="2" applyFont="1" applyBorder="1" applyAlignment="1" applyProtection="1">
      <alignment horizontal="center" vertical="center" wrapText="1"/>
    </xf>
    <xf numFmtId="0" fontId="9" fillId="0" borderId="9" xfId="0" applyFont="1" applyBorder="1" applyAlignment="1">
      <alignment horizontal="center" vertical="center"/>
    </xf>
  </cellXfs>
  <cellStyles count="11">
    <cellStyle name="Comma" xfId="1" builtinId="3"/>
    <cellStyle name="Comma 2" xfId="2" xr:uid="{00000000-0005-0000-0000-000001000000}"/>
    <cellStyle name="Comma 23" xfId="3" xr:uid="{00000000-0005-0000-0000-000002000000}"/>
    <cellStyle name="Comma 23 2" xfId="4" xr:uid="{00000000-0005-0000-0000-000003000000}"/>
    <cellStyle name="Comma 23 3" xfId="10" xr:uid="{00000000-0005-0000-0000-000004000000}"/>
    <cellStyle name="Comma 3" xfId="5" xr:uid="{00000000-0005-0000-0000-000005000000}"/>
    <cellStyle name="Comma 4" xfId="8" xr:uid="{00000000-0005-0000-0000-000006000000}"/>
    <cellStyle name="Normal" xfId="0" builtinId="0"/>
    <cellStyle name="Normal 2" xfId="6" xr:uid="{00000000-0005-0000-0000-000008000000}"/>
    <cellStyle name="Normal 2 2" xfId="9" xr:uid="{00000000-0005-0000-0000-000009000000}"/>
    <cellStyle name="Normal 3" xfId="7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F48"/>
  <sheetViews>
    <sheetView tabSelected="1" zoomScaleNormal="100" zoomScaleSheetLayoutView="100" workbookViewId="0">
      <selection sqref="A1:F1"/>
    </sheetView>
  </sheetViews>
  <sheetFormatPr defaultColWidth="8.6640625" defaultRowHeight="15" customHeight="1" x14ac:dyDescent="0.3"/>
  <cols>
    <col min="1" max="1" width="40" customWidth="1"/>
    <col min="3" max="3" width="2.6640625" customWidth="1"/>
    <col min="4" max="4" width="19.33203125" style="29" customWidth="1"/>
    <col min="5" max="5" width="2.6640625" customWidth="1"/>
    <col min="6" max="6" width="16.6640625" style="107" customWidth="1"/>
  </cols>
  <sheetData>
    <row r="1" spans="1:6" ht="15" customHeight="1" x14ac:dyDescent="0.3">
      <c r="A1" s="152" t="s">
        <v>0</v>
      </c>
      <c r="B1" s="152"/>
      <c r="C1" s="152"/>
      <c r="D1" s="152"/>
      <c r="E1" s="152"/>
      <c r="F1" s="152"/>
    </row>
    <row r="2" spans="1:6" ht="15" customHeight="1" x14ac:dyDescent="0.3">
      <c r="A2" s="152" t="s">
        <v>1</v>
      </c>
      <c r="B2" s="152"/>
      <c r="C2" s="152"/>
      <c r="D2" s="152"/>
      <c r="E2" s="152"/>
      <c r="F2" s="152"/>
    </row>
    <row r="3" spans="1:6" ht="15" customHeight="1" x14ac:dyDescent="0.3">
      <c r="A3" s="151" t="s">
        <v>140</v>
      </c>
      <c r="B3" s="151"/>
      <c r="C3" s="151"/>
      <c r="D3" s="151"/>
      <c r="E3" s="151"/>
      <c r="F3" s="151"/>
    </row>
    <row r="4" spans="1:6" ht="15" customHeight="1" x14ac:dyDescent="0.3">
      <c r="A4" s="151" t="s">
        <v>141</v>
      </c>
      <c r="B4" s="151"/>
      <c r="C4" s="151"/>
      <c r="D4" s="151"/>
      <c r="E4" s="151"/>
      <c r="F4" s="151"/>
    </row>
    <row r="5" spans="1:6" ht="15" customHeight="1" x14ac:dyDescent="0.3">
      <c r="A5" s="152" t="s">
        <v>149</v>
      </c>
      <c r="B5" s="152"/>
      <c r="C5" s="152"/>
      <c r="D5" s="152"/>
      <c r="E5" s="152"/>
      <c r="F5" s="152"/>
    </row>
    <row r="6" spans="1:6" ht="15" customHeight="1" x14ac:dyDescent="0.3">
      <c r="A6" s="152" t="s">
        <v>150</v>
      </c>
      <c r="B6" s="152"/>
      <c r="C6" s="152"/>
      <c r="D6" s="152"/>
      <c r="E6" s="152"/>
      <c r="F6" s="152"/>
    </row>
    <row r="7" spans="1:6" ht="15" customHeight="1" x14ac:dyDescent="0.3">
      <c r="A7" s="32"/>
      <c r="B7" s="3"/>
      <c r="C7" s="3"/>
      <c r="D7" s="30"/>
      <c r="E7" s="3"/>
      <c r="F7" s="99"/>
    </row>
    <row r="8" spans="1:6" ht="15" customHeight="1" x14ac:dyDescent="0.3">
      <c r="A8" s="33"/>
      <c r="B8" s="8" t="s">
        <v>19</v>
      </c>
      <c r="C8" s="8"/>
      <c r="D8" s="34">
        <v>2025</v>
      </c>
      <c r="E8" s="8"/>
      <c r="F8" s="100">
        <v>2024</v>
      </c>
    </row>
    <row r="9" spans="1:6" ht="15" customHeight="1" x14ac:dyDescent="0.3">
      <c r="A9" s="35" t="s">
        <v>20</v>
      </c>
      <c r="B9" s="33"/>
      <c r="C9" s="33"/>
      <c r="D9" s="36"/>
      <c r="E9" s="33"/>
      <c r="F9" s="101"/>
    </row>
    <row r="10" spans="1:6" ht="15" customHeight="1" x14ac:dyDescent="0.3">
      <c r="A10" s="37" t="s">
        <v>21</v>
      </c>
      <c r="B10" s="32"/>
      <c r="C10" s="32"/>
      <c r="D10" s="36"/>
      <c r="E10" s="32"/>
      <c r="F10" s="102"/>
    </row>
    <row r="11" spans="1:6" ht="15" customHeight="1" x14ac:dyDescent="0.3">
      <c r="A11" s="36" t="s">
        <v>22</v>
      </c>
      <c r="B11" s="126">
        <v>4</v>
      </c>
      <c r="C11" s="12" t="s">
        <v>139</v>
      </c>
      <c r="D11" s="103">
        <v>228523447.84</v>
      </c>
      <c r="E11" s="12" t="s">
        <v>139</v>
      </c>
      <c r="F11" s="103">
        <v>249094984.53999999</v>
      </c>
    </row>
    <row r="12" spans="1:6" ht="15" customHeight="1" x14ac:dyDescent="0.3">
      <c r="A12" s="36" t="s">
        <v>23</v>
      </c>
      <c r="B12" s="127">
        <v>5</v>
      </c>
      <c r="C12" s="39"/>
      <c r="D12" s="103">
        <v>42300894.586624995</v>
      </c>
      <c r="E12" s="39"/>
      <c r="F12" s="103">
        <v>23171378.489999998</v>
      </c>
    </row>
    <row r="13" spans="1:6" ht="15" customHeight="1" x14ac:dyDescent="0.3">
      <c r="A13" s="36" t="s">
        <v>24</v>
      </c>
      <c r="B13" s="127">
        <v>6</v>
      </c>
      <c r="C13" s="39"/>
      <c r="D13" s="103">
        <v>2039602.34</v>
      </c>
      <c r="E13" s="39"/>
      <c r="F13" s="103">
        <v>9279258.6999999993</v>
      </c>
    </row>
    <row r="14" spans="1:6" ht="15" customHeight="1" x14ac:dyDescent="0.3">
      <c r="A14" s="36" t="s">
        <v>25</v>
      </c>
      <c r="B14" s="128"/>
      <c r="C14" s="32"/>
      <c r="D14" s="40">
        <v>272863944.76662499</v>
      </c>
      <c r="E14" s="32"/>
      <c r="F14" s="104">
        <v>281545621.72999996</v>
      </c>
    </row>
    <row r="15" spans="1:6" ht="15" customHeight="1" x14ac:dyDescent="0.3">
      <c r="A15" s="41" t="s">
        <v>26</v>
      </c>
      <c r="B15" s="129"/>
      <c r="C15" s="33"/>
      <c r="D15" s="31"/>
      <c r="E15" s="33"/>
      <c r="F15" s="46"/>
    </row>
    <row r="16" spans="1:6" ht="15" customHeight="1" x14ac:dyDescent="0.3">
      <c r="A16" s="41" t="s">
        <v>27</v>
      </c>
      <c r="B16" s="126">
        <v>5</v>
      </c>
      <c r="C16" s="12"/>
      <c r="D16" s="38">
        <v>18913929.942999993</v>
      </c>
      <c r="E16" s="12"/>
      <c r="F16" s="46">
        <v>4392350.6100000003</v>
      </c>
    </row>
    <row r="17" spans="1:6" ht="15" customHeight="1" x14ac:dyDescent="0.3">
      <c r="A17" s="36" t="s">
        <v>28</v>
      </c>
      <c r="B17" s="126">
        <v>7</v>
      </c>
      <c r="C17" s="12"/>
      <c r="D17" s="38" t="s">
        <v>153</v>
      </c>
      <c r="E17" s="12"/>
      <c r="F17" s="46">
        <v>17096906.420000002</v>
      </c>
    </row>
    <row r="18" spans="1:6" ht="15" customHeight="1" x14ac:dyDescent="0.3">
      <c r="A18" s="36" t="s">
        <v>29</v>
      </c>
      <c r="B18" s="126">
        <v>8</v>
      </c>
      <c r="C18" s="12"/>
      <c r="D18" s="38">
        <v>768851092.57799995</v>
      </c>
      <c r="E18" s="12"/>
      <c r="F18" s="46">
        <v>516740836.44999999</v>
      </c>
    </row>
    <row r="19" spans="1:6" ht="15" customHeight="1" x14ac:dyDescent="0.3">
      <c r="A19" s="36" t="s">
        <v>30</v>
      </c>
      <c r="B19" s="126">
        <v>9</v>
      </c>
      <c r="C19" s="12"/>
      <c r="D19" s="38">
        <v>848000</v>
      </c>
      <c r="E19" s="12"/>
      <c r="F19" s="46">
        <v>919450</v>
      </c>
    </row>
    <row r="20" spans="1:6" ht="15" customHeight="1" x14ac:dyDescent="0.3">
      <c r="A20" s="42" t="s">
        <v>31</v>
      </c>
      <c r="B20" s="129"/>
      <c r="C20" s="33"/>
      <c r="D20" s="40">
        <v>788613022.52099991</v>
      </c>
      <c r="E20" s="32"/>
      <c r="F20" s="40">
        <v>539149543.48000002</v>
      </c>
    </row>
    <row r="21" spans="1:6" ht="15" customHeight="1" thickBot="1" x14ac:dyDescent="0.35">
      <c r="A21" s="5" t="s">
        <v>32</v>
      </c>
      <c r="B21" s="129"/>
      <c r="C21" s="33"/>
      <c r="D21" s="44">
        <v>1061476967.2876248</v>
      </c>
      <c r="E21" s="33"/>
      <c r="F21" s="44">
        <v>820695165.21000004</v>
      </c>
    </row>
    <row r="22" spans="1:6" ht="16.2" thickTop="1" x14ac:dyDescent="0.3">
      <c r="A22" s="32"/>
      <c r="B22" s="129"/>
      <c r="C22" s="33"/>
      <c r="D22" s="31"/>
      <c r="E22" s="33"/>
      <c r="F22" s="105"/>
    </row>
    <row r="23" spans="1:6" ht="15.6" x14ac:dyDescent="0.3">
      <c r="A23" s="5" t="s">
        <v>33</v>
      </c>
      <c r="B23" s="129"/>
      <c r="C23" s="33"/>
      <c r="D23" s="31"/>
      <c r="E23" s="33"/>
      <c r="F23" s="105"/>
    </row>
    <row r="24" spans="1:6" ht="16.2" x14ac:dyDescent="0.3">
      <c r="A24" s="45" t="s">
        <v>34</v>
      </c>
      <c r="B24" s="129"/>
      <c r="C24" s="33"/>
      <c r="D24" s="31"/>
      <c r="E24" s="33"/>
      <c r="F24" s="105"/>
    </row>
    <row r="25" spans="1:6" ht="15.6" x14ac:dyDescent="0.3">
      <c r="A25" s="4" t="s">
        <v>35</v>
      </c>
      <c r="B25" s="126">
        <v>10</v>
      </c>
      <c r="C25" s="12"/>
      <c r="D25" s="38">
        <v>21994773.899999999</v>
      </c>
      <c r="E25" s="12"/>
      <c r="F25" s="38">
        <v>26598084.16</v>
      </c>
    </row>
    <row r="26" spans="1:6" ht="15.6" x14ac:dyDescent="0.3">
      <c r="A26" s="4" t="s">
        <v>36</v>
      </c>
      <c r="B26" s="126">
        <v>11</v>
      </c>
      <c r="C26" s="12"/>
      <c r="D26" s="38">
        <v>17213525.202785712</v>
      </c>
      <c r="E26" s="12"/>
      <c r="F26" s="46">
        <v>28882291.57</v>
      </c>
    </row>
    <row r="27" spans="1:6" ht="15.6" x14ac:dyDescent="0.3">
      <c r="A27" s="4" t="s">
        <v>37</v>
      </c>
      <c r="B27" s="126">
        <v>12</v>
      </c>
      <c r="C27" s="12"/>
      <c r="D27" s="38">
        <v>1000652.438999997</v>
      </c>
      <c r="E27" s="12"/>
      <c r="F27" s="46">
        <v>331640.65000000002</v>
      </c>
    </row>
    <row r="28" spans="1:6" ht="15.6" x14ac:dyDescent="0.3">
      <c r="A28" s="4" t="s">
        <v>38</v>
      </c>
      <c r="B28" s="126">
        <v>13</v>
      </c>
      <c r="C28" s="12"/>
      <c r="D28" s="38">
        <v>10779620.960000001</v>
      </c>
      <c r="E28" s="12"/>
      <c r="F28" s="46">
        <v>9072407.8900000006</v>
      </c>
    </row>
    <row r="29" spans="1:6" ht="15.6" x14ac:dyDescent="0.3">
      <c r="A29" s="4" t="s">
        <v>39</v>
      </c>
      <c r="B29" s="129"/>
      <c r="C29" s="33"/>
      <c r="D29" s="40">
        <v>50988572.501785703</v>
      </c>
      <c r="E29" s="32"/>
      <c r="F29" s="40">
        <v>64884424.270000003</v>
      </c>
    </row>
    <row r="30" spans="1:6" ht="16.2" x14ac:dyDescent="0.3">
      <c r="A30" s="45" t="s">
        <v>40</v>
      </c>
      <c r="B30" s="129"/>
      <c r="C30" s="33"/>
      <c r="D30" s="31"/>
      <c r="E30" s="33"/>
      <c r="F30" s="46"/>
    </row>
    <row r="31" spans="1:6" ht="15.6" x14ac:dyDescent="0.3">
      <c r="A31" s="4" t="s">
        <v>41</v>
      </c>
      <c r="B31" s="126">
        <v>14</v>
      </c>
      <c r="C31" s="12"/>
      <c r="D31" s="38">
        <v>35784261.209624998</v>
      </c>
      <c r="E31" s="12"/>
      <c r="F31" s="46">
        <v>3554947.92</v>
      </c>
    </row>
    <row r="32" spans="1:6" ht="15.6" x14ac:dyDescent="0.3">
      <c r="A32" s="4" t="s">
        <v>38</v>
      </c>
      <c r="B32" s="126">
        <v>13</v>
      </c>
      <c r="C32" s="12"/>
      <c r="D32" s="38">
        <v>8428314.8100000005</v>
      </c>
      <c r="E32" s="12"/>
      <c r="F32" s="46">
        <v>10540717.970000001</v>
      </c>
    </row>
    <row r="33" spans="1:6" ht="15.6" x14ac:dyDescent="0.3">
      <c r="A33" s="4" t="s">
        <v>42</v>
      </c>
      <c r="B33" s="126">
        <v>15</v>
      </c>
      <c r="C33" s="12"/>
      <c r="D33" s="38">
        <v>6291411.1268841885</v>
      </c>
      <c r="E33" s="12"/>
      <c r="F33" s="46">
        <v>7534205.8499999996</v>
      </c>
    </row>
    <row r="34" spans="1:6" ht="15.6" x14ac:dyDescent="0.3">
      <c r="A34" s="4" t="s">
        <v>43</v>
      </c>
      <c r="B34" s="129"/>
      <c r="C34" s="33"/>
      <c r="D34" s="40">
        <v>50503987.146509185</v>
      </c>
      <c r="E34" s="32"/>
      <c r="F34" s="40">
        <v>21629871.740000002</v>
      </c>
    </row>
    <row r="35" spans="1:6" ht="15.6" x14ac:dyDescent="0.3">
      <c r="A35" s="5" t="s">
        <v>44</v>
      </c>
      <c r="B35" s="129"/>
      <c r="C35" s="33"/>
      <c r="D35" s="47">
        <v>101492559.6482949</v>
      </c>
      <c r="E35" s="32"/>
      <c r="F35" s="47">
        <v>86514296.010000005</v>
      </c>
    </row>
    <row r="36" spans="1:6" ht="15.6" x14ac:dyDescent="0.3">
      <c r="A36" s="5" t="s">
        <v>45</v>
      </c>
      <c r="B36" s="129"/>
      <c r="C36" s="33"/>
      <c r="D36" s="31"/>
      <c r="E36" s="33"/>
      <c r="F36" s="46"/>
    </row>
    <row r="37" spans="1:6" ht="15.6" x14ac:dyDescent="0.3">
      <c r="A37" s="4" t="s">
        <v>46</v>
      </c>
      <c r="B37" s="129"/>
      <c r="C37" s="33"/>
      <c r="D37" s="40">
        <v>959984407.6400001</v>
      </c>
      <c r="E37" s="32"/>
      <c r="F37" s="104">
        <v>734180869.20000005</v>
      </c>
    </row>
    <row r="38" spans="1:6" ht="16.2" thickBot="1" x14ac:dyDescent="0.35">
      <c r="A38" s="5" t="s">
        <v>47</v>
      </c>
      <c r="B38" s="129"/>
      <c r="C38" s="122" t="s">
        <v>139</v>
      </c>
      <c r="D38" s="123">
        <v>1061476967.288295</v>
      </c>
      <c r="E38" s="122" t="s">
        <v>139</v>
      </c>
      <c r="F38" s="123">
        <v>820695165.21000004</v>
      </c>
    </row>
    <row r="39" spans="1:6" thickTop="1" x14ac:dyDescent="0.3">
      <c r="D39" s="48"/>
      <c r="F39" s="106"/>
    </row>
    <row r="40" spans="1:6" ht="14.4" x14ac:dyDescent="0.3">
      <c r="D40" s="48"/>
      <c r="F40" s="106"/>
    </row>
    <row r="41" spans="1:6" ht="14.4" x14ac:dyDescent="0.3">
      <c r="D41" s="48"/>
      <c r="F41" s="106"/>
    </row>
    <row r="42" spans="1:6" ht="14.4" x14ac:dyDescent="0.3">
      <c r="D42" s="48"/>
      <c r="F42" s="106"/>
    </row>
    <row r="43" spans="1:6" ht="14.4" x14ac:dyDescent="0.3">
      <c r="B43" s="49"/>
      <c r="C43" s="49"/>
    </row>
    <row r="45" spans="1:6" ht="15" customHeight="1" x14ac:dyDescent="0.3">
      <c r="D45" s="143"/>
    </row>
    <row r="46" spans="1:6" ht="15" customHeight="1" x14ac:dyDescent="0.3">
      <c r="D46" s="144"/>
      <c r="F46" s="106"/>
    </row>
    <row r="48" spans="1:6" ht="15" customHeight="1" x14ac:dyDescent="0.3">
      <c r="A48" s="150" t="s">
        <v>18</v>
      </c>
      <c r="B48" s="150"/>
      <c r="C48" s="150"/>
      <c r="D48" s="150"/>
      <c r="E48" s="150"/>
      <c r="F48" s="150"/>
    </row>
  </sheetData>
  <sheetProtection algorithmName="SHA-512" hashValue="XqY4n0PyOojYcQ6Hb3fuf+jcFp1r6oqJ6PU6PpVao5bBkFiiQ8Um1dQ23Mq/LrqQXROO8MdFnB7bc628SN2Wmw==" saltValue="5Vog4FM6herkTty3K7MkAA==" spinCount="100000" sheet="1" objects="1" scenarios="1" selectLockedCells="1" selectUnlockedCells="1"/>
  <mergeCells count="7">
    <mergeCell ref="A48:F48"/>
    <mergeCell ref="A4:F4"/>
    <mergeCell ref="A1:F1"/>
    <mergeCell ref="A2:F2"/>
    <mergeCell ref="A3:F3"/>
    <mergeCell ref="A5:F5"/>
    <mergeCell ref="A6:F6"/>
  </mergeCells>
  <printOptions horizontalCentered="1"/>
  <pageMargins left="1.5" right="1" top="1" bottom="1" header="0.511811023622047" footer="0.511811023622047"/>
  <pageSetup scale="86" firstPageNumber="5" fitToHeight="0" orientation="portrait" useFirstPageNumber="1" horizontalDpi="300" verticalDpi="300" r:id="rId1"/>
  <headerFooter scaleWithDoc="0">
    <oddFooter>&amp;C5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  <pageSetUpPr fitToPage="1"/>
  </sheetPr>
  <dimension ref="A1:G49"/>
  <sheetViews>
    <sheetView zoomScaleNormal="100" zoomScaleSheetLayoutView="100" workbookViewId="0">
      <selection sqref="A1:G1"/>
    </sheetView>
  </sheetViews>
  <sheetFormatPr defaultColWidth="8.6640625" defaultRowHeight="15" customHeight="1" x14ac:dyDescent="0.3"/>
  <cols>
    <col min="1" max="1" width="42.5546875" customWidth="1"/>
    <col min="2" max="2" width="3" customWidth="1"/>
    <col min="3" max="3" width="5.33203125" customWidth="1"/>
    <col min="4" max="4" width="3" customWidth="1"/>
    <col min="5" max="5" width="17.88671875" customWidth="1"/>
    <col min="6" max="6" width="3.109375" customWidth="1"/>
    <col min="7" max="7" width="17.5546875" style="6" bestFit="1" customWidth="1"/>
  </cols>
  <sheetData>
    <row r="1" spans="1:7" ht="15.6" x14ac:dyDescent="0.3">
      <c r="A1" s="152" t="s">
        <v>0</v>
      </c>
      <c r="B1" s="152"/>
      <c r="C1" s="152"/>
      <c r="D1" s="152"/>
      <c r="E1" s="152"/>
      <c r="F1" s="152"/>
      <c r="G1" s="152"/>
    </row>
    <row r="2" spans="1:7" ht="15.6" x14ac:dyDescent="0.3">
      <c r="A2" s="152" t="s">
        <v>1</v>
      </c>
      <c r="B2" s="152"/>
      <c r="C2" s="152"/>
      <c r="D2" s="152"/>
      <c r="E2" s="152"/>
      <c r="F2" s="152"/>
      <c r="G2" s="152"/>
    </row>
    <row r="3" spans="1:7" ht="15.6" x14ac:dyDescent="0.3">
      <c r="A3" s="151" t="s">
        <v>140</v>
      </c>
      <c r="B3" s="151"/>
      <c r="C3" s="151"/>
      <c r="D3" s="151"/>
      <c r="E3" s="151"/>
      <c r="F3" s="151"/>
      <c r="G3" s="151"/>
    </row>
    <row r="4" spans="1:7" ht="15.6" x14ac:dyDescent="0.3">
      <c r="A4" s="151" t="s">
        <v>142</v>
      </c>
      <c r="B4" s="151"/>
      <c r="C4" s="151"/>
      <c r="D4" s="151"/>
      <c r="E4" s="151"/>
      <c r="F4" s="151"/>
      <c r="G4" s="151"/>
    </row>
    <row r="5" spans="1:7" ht="15.6" x14ac:dyDescent="0.3">
      <c r="A5" s="152" t="s">
        <v>154</v>
      </c>
      <c r="B5" s="152"/>
      <c r="C5" s="152"/>
      <c r="D5" s="152"/>
      <c r="E5" s="152"/>
      <c r="F5" s="152"/>
      <c r="G5" s="152"/>
    </row>
    <row r="6" spans="1:7" ht="15.6" x14ac:dyDescent="0.3">
      <c r="A6" s="152" t="s">
        <v>150</v>
      </c>
      <c r="B6" s="152"/>
      <c r="C6" s="152"/>
      <c r="D6" s="152"/>
      <c r="E6" s="152"/>
      <c r="F6" s="152"/>
      <c r="G6" s="152"/>
    </row>
    <row r="7" spans="1:7" ht="14.4" x14ac:dyDescent="0.3">
      <c r="A7" s="157"/>
      <c r="B7" s="157"/>
      <c r="C7" s="3"/>
      <c r="D7" s="3"/>
      <c r="E7" s="3"/>
      <c r="F7" s="3"/>
      <c r="G7" s="7"/>
    </row>
    <row r="8" spans="1:7" ht="14.4" x14ac:dyDescent="0.3">
      <c r="A8" s="157"/>
      <c r="B8" s="157"/>
      <c r="C8" s="3"/>
      <c r="D8" s="3"/>
      <c r="E8" s="3"/>
      <c r="F8" s="3"/>
      <c r="G8" s="7"/>
    </row>
    <row r="9" spans="1:7" ht="15" customHeight="1" x14ac:dyDescent="0.3">
      <c r="A9" s="158"/>
      <c r="B9" s="158"/>
      <c r="C9" s="2"/>
      <c r="D9" s="2"/>
      <c r="E9" s="8">
        <v>2025</v>
      </c>
      <c r="F9" s="8"/>
      <c r="G9" s="8">
        <v>2024</v>
      </c>
    </row>
    <row r="10" spans="1:7" ht="15.75" customHeight="1" x14ac:dyDescent="0.3">
      <c r="A10" s="159" t="s">
        <v>2</v>
      </c>
      <c r="B10" s="159"/>
      <c r="C10" s="98"/>
      <c r="D10" s="98"/>
      <c r="E10" s="10"/>
      <c r="F10" s="2"/>
      <c r="G10" s="9"/>
    </row>
    <row r="11" spans="1:7" ht="15" customHeight="1" x14ac:dyDescent="0.3">
      <c r="A11" s="156" t="s">
        <v>3</v>
      </c>
      <c r="B11" s="156"/>
      <c r="C11" s="142">
        <v>16</v>
      </c>
      <c r="D11" s="4" t="s">
        <v>139</v>
      </c>
      <c r="E11" s="13">
        <v>11081051.208999999</v>
      </c>
      <c r="F11" s="12" t="s">
        <v>139</v>
      </c>
      <c r="G11" s="11">
        <v>10675886.029999999</v>
      </c>
    </row>
    <row r="12" spans="1:7" ht="15" customHeight="1" x14ac:dyDescent="0.3">
      <c r="A12" s="156" t="s">
        <v>4</v>
      </c>
      <c r="B12" s="156"/>
      <c r="C12" s="142">
        <v>17</v>
      </c>
      <c r="D12" s="4"/>
      <c r="E12" s="14">
        <v>267630156</v>
      </c>
      <c r="F12" s="12"/>
      <c r="G12" s="11">
        <v>239074833</v>
      </c>
    </row>
    <row r="13" spans="1:7" ht="15" customHeight="1" x14ac:dyDescent="0.3">
      <c r="A13" s="156" t="s">
        <v>5</v>
      </c>
      <c r="B13" s="156"/>
      <c r="C13" s="142">
        <v>18</v>
      </c>
      <c r="D13" s="4"/>
      <c r="E13" s="13">
        <v>9089682.879999999</v>
      </c>
      <c r="F13" s="12"/>
      <c r="G13" s="11">
        <v>6717515.8300000001</v>
      </c>
    </row>
    <row r="14" spans="1:7" ht="15" customHeight="1" x14ac:dyDescent="0.3">
      <c r="A14" s="155" t="s">
        <v>152</v>
      </c>
      <c r="B14" s="155"/>
      <c r="C14" s="142">
        <v>19</v>
      </c>
      <c r="D14" s="4"/>
      <c r="E14" s="13">
        <v>39820764.689999998</v>
      </c>
      <c r="F14" s="12"/>
      <c r="G14" s="11">
        <v>0</v>
      </c>
    </row>
    <row r="15" spans="1:7" ht="15.6" x14ac:dyDescent="0.3">
      <c r="A15" s="156" t="s">
        <v>6</v>
      </c>
      <c r="B15" s="156"/>
      <c r="C15" s="142">
        <v>20</v>
      </c>
      <c r="D15" s="4"/>
      <c r="E15" s="17">
        <v>504854.56</v>
      </c>
      <c r="F15" s="16"/>
      <c r="G15" s="15">
        <v>266909.46000000002</v>
      </c>
    </row>
    <row r="16" spans="1:7" ht="15.6" x14ac:dyDescent="0.3">
      <c r="A16" s="153" t="s">
        <v>7</v>
      </c>
      <c r="B16" s="153"/>
      <c r="C16" s="5"/>
      <c r="D16" s="5"/>
      <c r="E16" s="18">
        <v>328126509.33899999</v>
      </c>
      <c r="F16" s="2"/>
      <c r="G16" s="18">
        <v>256735144.32000002</v>
      </c>
    </row>
    <row r="17" spans="1:7" ht="15.6" x14ac:dyDescent="0.3">
      <c r="A17" s="5"/>
      <c r="B17" s="5"/>
      <c r="C17" s="5"/>
      <c r="D17" s="5"/>
      <c r="E17" s="19"/>
      <c r="F17" s="2"/>
      <c r="G17" s="19"/>
    </row>
    <row r="18" spans="1:7" ht="15.6" x14ac:dyDescent="0.3">
      <c r="A18" s="153" t="s">
        <v>8</v>
      </c>
      <c r="B18" s="153"/>
      <c r="C18" s="5"/>
      <c r="D18" s="5"/>
      <c r="E18" s="11"/>
      <c r="F18" s="2"/>
      <c r="G18" s="15"/>
    </row>
    <row r="19" spans="1:7" ht="15" customHeight="1" x14ac:dyDescent="0.3">
      <c r="A19" s="156" t="s">
        <v>9</v>
      </c>
      <c r="B19" s="156"/>
      <c r="C19" s="142">
        <v>21</v>
      </c>
      <c r="D19" s="4"/>
      <c r="E19" s="20">
        <v>91969084.291999996</v>
      </c>
      <c r="F19" s="12"/>
      <c r="G19" s="11">
        <v>71364984.670000002</v>
      </c>
    </row>
    <row r="20" spans="1:7" ht="15" customHeight="1" x14ac:dyDescent="0.3">
      <c r="A20" s="156" t="s">
        <v>10</v>
      </c>
      <c r="B20" s="156"/>
      <c r="C20" s="142">
        <v>22</v>
      </c>
      <c r="D20" s="4"/>
      <c r="E20" s="20">
        <v>149539859.98000002</v>
      </c>
      <c r="F20" s="12"/>
      <c r="G20" s="11">
        <v>116983265.05</v>
      </c>
    </row>
    <row r="21" spans="1:7" ht="15.6" x14ac:dyDescent="0.3">
      <c r="A21" s="156" t="s">
        <v>11</v>
      </c>
      <c r="B21" s="156"/>
      <c r="C21" s="142">
        <v>23</v>
      </c>
      <c r="D21" s="4"/>
      <c r="E21" s="20">
        <v>40766480.490000002</v>
      </c>
      <c r="F21" s="12"/>
      <c r="G21" s="11">
        <v>62129902.520000003</v>
      </c>
    </row>
    <row r="22" spans="1:7" ht="15.6" x14ac:dyDescent="0.3">
      <c r="A22" s="153" t="s">
        <v>12</v>
      </c>
      <c r="B22" s="153"/>
      <c r="C22" s="5"/>
      <c r="D22" s="5"/>
      <c r="E22" s="18">
        <v>282275424.76200002</v>
      </c>
      <c r="F22" s="2"/>
      <c r="G22" s="18">
        <v>250478152.24000001</v>
      </c>
    </row>
    <row r="23" spans="1:7" ht="15.6" x14ac:dyDescent="0.3">
      <c r="A23" s="5"/>
      <c r="B23" s="5"/>
      <c r="C23" s="5"/>
      <c r="D23" s="5"/>
      <c r="E23" s="21"/>
      <c r="F23" s="2"/>
      <c r="G23" s="21"/>
    </row>
    <row r="24" spans="1:7" ht="15.6" x14ac:dyDescent="0.3">
      <c r="A24" s="153" t="s">
        <v>13</v>
      </c>
      <c r="B24" s="153"/>
      <c r="C24" s="5"/>
      <c r="D24" s="5"/>
      <c r="E24" s="22">
        <v>45851084.576999962</v>
      </c>
      <c r="F24" s="5"/>
      <c r="G24" s="22">
        <v>6256992.0800000131</v>
      </c>
    </row>
    <row r="25" spans="1:7" ht="15" customHeight="1" x14ac:dyDescent="0.3">
      <c r="A25" s="154" t="s">
        <v>14</v>
      </c>
      <c r="B25" s="154"/>
      <c r="C25" s="1"/>
      <c r="D25" s="1"/>
      <c r="E25" s="11"/>
      <c r="F25" s="2"/>
      <c r="G25" s="23"/>
    </row>
    <row r="26" spans="1:7" ht="15" customHeight="1" x14ac:dyDescent="0.3">
      <c r="A26" s="24" t="s">
        <v>15</v>
      </c>
      <c r="B26" s="1"/>
      <c r="C26" s="142">
        <v>24</v>
      </c>
      <c r="D26" s="1"/>
      <c r="E26" s="20">
        <v>1800000</v>
      </c>
      <c r="F26" s="25"/>
      <c r="G26" s="23">
        <v>1500000</v>
      </c>
    </row>
    <row r="27" spans="1:7" ht="15" customHeight="1" x14ac:dyDescent="0.3">
      <c r="A27" s="24" t="s">
        <v>16</v>
      </c>
      <c r="B27" s="1"/>
      <c r="C27" s="142">
        <v>25</v>
      </c>
      <c r="D27" s="1"/>
      <c r="E27" s="26">
        <v>-15629263.27</v>
      </c>
      <c r="F27" s="25"/>
      <c r="G27" s="26">
        <v>-14345291.33</v>
      </c>
    </row>
    <row r="28" spans="1:7" ht="16.2" thickBot="1" x14ac:dyDescent="0.35">
      <c r="A28" s="153" t="s">
        <v>17</v>
      </c>
      <c r="B28" s="153"/>
      <c r="C28" s="5"/>
      <c r="D28" s="5" t="s">
        <v>139</v>
      </c>
      <c r="E28" s="27">
        <v>32021821.306999963</v>
      </c>
      <c r="F28" s="5" t="s">
        <v>139</v>
      </c>
      <c r="G28" s="27">
        <v>-6588299.249999987</v>
      </c>
    </row>
    <row r="29" spans="1:7" thickTop="1" x14ac:dyDescent="0.3">
      <c r="E29" s="28"/>
    </row>
    <row r="30" spans="1:7" ht="14.4" x14ac:dyDescent="0.3">
      <c r="E30" s="28"/>
    </row>
    <row r="31" spans="1:7" ht="14.4" x14ac:dyDescent="0.3">
      <c r="E31" s="28"/>
    </row>
    <row r="49" spans="1:7" ht="15" customHeight="1" x14ac:dyDescent="0.3">
      <c r="A49" s="150" t="s">
        <v>18</v>
      </c>
      <c r="B49" s="150"/>
      <c r="C49" s="150"/>
      <c r="D49" s="150"/>
      <c r="E49" s="150"/>
      <c r="F49" s="150"/>
      <c r="G49" s="150"/>
    </row>
  </sheetData>
  <sheetProtection algorithmName="SHA-512" hashValue="GG5BD/bh2a0P/BxR5zMKKpjdNLSDDcH1oZrT9r37Zvo5mqJ1UraFhgbFziHqWjrprN8dxqMUWotcpoZqpGlw+Q==" saltValue="+hWDzWq/6d9jfv02BKWH8Q==" spinCount="100000" sheet="1" objects="1" scenarios="1" selectLockedCells="1" selectUnlockedCells="1"/>
  <mergeCells count="25">
    <mergeCell ref="A49:G49"/>
    <mergeCell ref="A1:G1"/>
    <mergeCell ref="A2:G2"/>
    <mergeCell ref="A3:G3"/>
    <mergeCell ref="A4:G4"/>
    <mergeCell ref="A5:G5"/>
    <mergeCell ref="A7:B7"/>
    <mergeCell ref="A8:B8"/>
    <mergeCell ref="A6:G6"/>
    <mergeCell ref="A9:B9"/>
    <mergeCell ref="A10:B10"/>
    <mergeCell ref="A11:B11"/>
    <mergeCell ref="A12:B12"/>
    <mergeCell ref="A13:B13"/>
    <mergeCell ref="A15:B15"/>
    <mergeCell ref="A16:B16"/>
    <mergeCell ref="A22:B22"/>
    <mergeCell ref="A24:B24"/>
    <mergeCell ref="A25:B25"/>
    <mergeCell ref="A28:B28"/>
    <mergeCell ref="A14:B14"/>
    <mergeCell ref="A18:B18"/>
    <mergeCell ref="A19:B19"/>
    <mergeCell ref="A20:B20"/>
    <mergeCell ref="A21:B21"/>
  </mergeCells>
  <printOptions horizontalCentered="1"/>
  <pageMargins left="1.49606299212598" right="0.98425196850393704" top="0.98425196850393704" bottom="0.98425196850393704" header="0.511811023622047" footer="0.511811023622047"/>
  <pageSetup scale="84" fitToHeight="0" orientation="portrait" horizontalDpi="300" verticalDpi="300" r:id="rId1"/>
  <headerFooter scaleWithDoc="0">
    <oddFooter>&amp;C&amp;"Arial,Regular"&amp;10 6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  <pageSetUpPr fitToPage="1"/>
  </sheetPr>
  <dimension ref="A1:E51"/>
  <sheetViews>
    <sheetView zoomScaleNormal="100" zoomScaleSheetLayoutView="100" workbookViewId="0">
      <selection activeCell="A3" sqref="A3:E3"/>
    </sheetView>
  </sheetViews>
  <sheetFormatPr defaultColWidth="8.6640625" defaultRowHeight="15" customHeight="1" x14ac:dyDescent="0.3"/>
  <cols>
    <col min="1" max="1" width="60.33203125" customWidth="1"/>
    <col min="2" max="2" width="4.33203125" bestFit="1" customWidth="1"/>
    <col min="3" max="3" width="18.6640625" style="28" customWidth="1"/>
    <col min="4" max="4" width="2.6640625" customWidth="1"/>
    <col min="5" max="5" width="23.88671875" style="107" customWidth="1"/>
  </cols>
  <sheetData>
    <row r="1" spans="1:5" ht="15.6" x14ac:dyDescent="0.3">
      <c r="A1" s="152" t="s">
        <v>0</v>
      </c>
      <c r="B1" s="152"/>
      <c r="C1" s="152"/>
      <c r="D1" s="152"/>
      <c r="E1" s="152"/>
    </row>
    <row r="2" spans="1:5" ht="15.6" x14ac:dyDescent="0.3">
      <c r="A2" s="152" t="s">
        <v>1</v>
      </c>
      <c r="B2" s="152"/>
      <c r="C2" s="152"/>
      <c r="D2" s="152"/>
      <c r="E2" s="152"/>
    </row>
    <row r="3" spans="1:5" ht="15.6" x14ac:dyDescent="0.3">
      <c r="A3" s="151" t="s">
        <v>140</v>
      </c>
      <c r="B3" s="151"/>
      <c r="C3" s="151"/>
      <c r="D3" s="151"/>
      <c r="E3" s="151"/>
    </row>
    <row r="4" spans="1:5" ht="15.6" x14ac:dyDescent="0.3">
      <c r="A4" s="151" t="s">
        <v>143</v>
      </c>
      <c r="B4" s="151"/>
      <c r="C4" s="151"/>
      <c r="D4" s="151"/>
      <c r="E4" s="151"/>
    </row>
    <row r="5" spans="1:5" ht="15.6" x14ac:dyDescent="0.3">
      <c r="A5" s="152" t="s">
        <v>154</v>
      </c>
      <c r="B5" s="152"/>
      <c r="C5" s="152"/>
      <c r="D5" s="152"/>
      <c r="E5" s="152"/>
    </row>
    <row r="6" spans="1:5" ht="15.6" x14ac:dyDescent="0.3">
      <c r="A6" s="152" t="s">
        <v>150</v>
      </c>
      <c r="B6" s="152"/>
      <c r="C6" s="152"/>
      <c r="D6" s="152"/>
      <c r="E6" s="152"/>
    </row>
    <row r="7" spans="1:5" ht="15.6" x14ac:dyDescent="0.3">
      <c r="A7" s="4"/>
      <c r="B7" s="4"/>
      <c r="C7" s="51"/>
      <c r="D7" s="4"/>
      <c r="E7" s="108"/>
    </row>
    <row r="8" spans="1:5" ht="15.6" x14ac:dyDescent="0.3">
      <c r="A8" s="4"/>
      <c r="B8" s="4"/>
      <c r="C8" s="34">
        <v>2025</v>
      </c>
      <c r="D8" s="4"/>
      <c r="E8" s="34">
        <v>2024</v>
      </c>
    </row>
    <row r="9" spans="1:5" ht="15.6" x14ac:dyDescent="0.3">
      <c r="A9" s="5" t="s">
        <v>48</v>
      </c>
      <c r="B9" s="124" t="s">
        <v>139</v>
      </c>
      <c r="C9" s="50">
        <v>734180869.19999993</v>
      </c>
      <c r="D9" s="124" t="s">
        <v>139</v>
      </c>
      <c r="E9" s="109">
        <v>740382563.05999994</v>
      </c>
    </row>
    <row r="10" spans="1:5" ht="15.6" x14ac:dyDescent="0.3">
      <c r="A10" s="4" t="s">
        <v>49</v>
      </c>
      <c r="B10" s="4"/>
      <c r="C10" s="52"/>
      <c r="D10" s="4"/>
      <c r="E10" s="110"/>
    </row>
    <row r="11" spans="1:5" ht="15.6" x14ac:dyDescent="0.3">
      <c r="A11" s="53" t="s">
        <v>50</v>
      </c>
      <c r="B11" s="53"/>
      <c r="C11" s="52"/>
      <c r="D11" s="4"/>
      <c r="E11" s="110"/>
    </row>
    <row r="12" spans="1:5" ht="15.6" x14ac:dyDescent="0.3">
      <c r="A12" s="53" t="s">
        <v>51</v>
      </c>
      <c r="B12" s="142">
        <v>26</v>
      </c>
      <c r="C12" s="54">
        <v>197181399.19</v>
      </c>
      <c r="D12" s="4"/>
      <c r="E12" s="111">
        <v>386605.39</v>
      </c>
    </row>
    <row r="13" spans="1:5" ht="15.6" x14ac:dyDescent="0.3">
      <c r="A13" s="5" t="s">
        <v>52</v>
      </c>
      <c r="B13" s="5"/>
      <c r="C13" s="40">
        <v>931362268.38999987</v>
      </c>
      <c r="D13" s="5"/>
      <c r="E13" s="40">
        <v>740769168.44999993</v>
      </c>
    </row>
    <row r="14" spans="1:5" ht="15.6" x14ac:dyDescent="0.3">
      <c r="A14" s="5"/>
      <c r="B14" s="5"/>
      <c r="C14" s="5"/>
      <c r="D14" s="5"/>
      <c r="E14" s="112"/>
    </row>
    <row r="15" spans="1:5" ht="15.6" x14ac:dyDescent="0.3">
      <c r="A15" s="55" t="s">
        <v>53</v>
      </c>
      <c r="B15" s="55"/>
      <c r="C15" s="5"/>
      <c r="D15" s="5"/>
      <c r="E15" s="112"/>
    </row>
    <row r="16" spans="1:5" ht="15.6" x14ac:dyDescent="0.3">
      <c r="A16" s="53" t="s">
        <v>54</v>
      </c>
      <c r="B16" s="53"/>
      <c r="C16" s="56">
        <v>-3399682.06</v>
      </c>
      <c r="D16" s="1"/>
      <c r="E16" s="113">
        <v>0</v>
      </c>
    </row>
    <row r="17" spans="1:5" ht="15.6" x14ac:dyDescent="0.3">
      <c r="A17" s="53" t="s">
        <v>17</v>
      </c>
      <c r="B17" s="53"/>
      <c r="C17" s="56">
        <v>32021821.306999963</v>
      </c>
      <c r="D17" s="1"/>
      <c r="E17" s="114">
        <v>-6588299.25</v>
      </c>
    </row>
    <row r="18" spans="1:5" ht="15.6" x14ac:dyDescent="0.3">
      <c r="A18" s="57" t="s">
        <v>55</v>
      </c>
      <c r="B18" s="57"/>
      <c r="C18" s="58">
        <v>28622139.246999964</v>
      </c>
      <c r="D18" s="57"/>
      <c r="E18" s="58">
        <v>-6588299.25</v>
      </c>
    </row>
    <row r="19" spans="1:5" ht="16.2" thickBot="1" x14ac:dyDescent="0.35">
      <c r="A19" s="5" t="s">
        <v>56</v>
      </c>
      <c r="B19" s="5" t="s">
        <v>139</v>
      </c>
      <c r="C19" s="59">
        <v>959984407.63699985</v>
      </c>
      <c r="D19" s="5" t="s">
        <v>139</v>
      </c>
      <c r="E19" s="59">
        <v>734180869.19999993</v>
      </c>
    </row>
    <row r="20" spans="1:5" ht="16.2" thickTop="1" x14ac:dyDescent="0.3">
      <c r="A20" s="5"/>
      <c r="B20" s="5"/>
      <c r="C20" s="149"/>
      <c r="D20" s="5"/>
      <c r="E20" s="149"/>
    </row>
    <row r="21" spans="1:5" ht="15.6" x14ac:dyDescent="0.3">
      <c r="A21" s="5"/>
      <c r="B21" s="5"/>
      <c r="C21" s="149"/>
      <c r="D21" s="5"/>
      <c r="E21" s="149"/>
    </row>
    <row r="22" spans="1:5" ht="15.6" x14ac:dyDescent="0.3">
      <c r="A22" s="5"/>
      <c r="B22" s="5"/>
      <c r="C22" s="149"/>
      <c r="D22" s="5"/>
      <c r="E22" s="149"/>
    </row>
    <row r="24" spans="1:5" ht="15" customHeight="1" x14ac:dyDescent="0.3">
      <c r="A24" s="145"/>
      <c r="B24" s="146"/>
      <c r="C24" s="147"/>
      <c r="D24" s="146"/>
      <c r="E24" s="148"/>
    </row>
    <row r="25" spans="1:5" ht="15" customHeight="1" x14ac:dyDescent="0.3">
      <c r="E25" s="28"/>
    </row>
    <row r="51" spans="1:5" ht="15" customHeight="1" x14ac:dyDescent="0.3">
      <c r="A51" s="150" t="s">
        <v>18</v>
      </c>
      <c r="B51" s="150"/>
      <c r="C51" s="150"/>
      <c r="D51" s="150"/>
      <c r="E51" s="150"/>
    </row>
  </sheetData>
  <sheetProtection algorithmName="SHA-512" hashValue="KCa9LYm8jhfTAmx9tSqFo6W/EAHGKnfVvoSS7TlCcmPsPlz3CpY/98DgYOt29lu/Ft+UQrEy560O0wpbZnhgzA==" saltValue="QTClJAPVEXjR71ZZOzBYfw==" spinCount="100000" sheet="1" objects="1" scenarios="1" selectLockedCells="1" selectUnlockedCells="1"/>
  <mergeCells count="7">
    <mergeCell ref="A51:E51"/>
    <mergeCell ref="A1:E1"/>
    <mergeCell ref="A5:E5"/>
    <mergeCell ref="A6:E6"/>
    <mergeCell ref="A2:E2"/>
    <mergeCell ref="A3:E3"/>
    <mergeCell ref="A4:E4"/>
  </mergeCells>
  <printOptions horizontalCentered="1"/>
  <pageMargins left="1.05" right="0.52" top="0.98425196850393704" bottom="0.98425196850393704" header="0.511811023622047" footer="0.511811023622047"/>
  <pageSetup scale="82" fitToHeight="0" orientation="portrait" horizontalDpi="300" verticalDpi="300" r:id="rId1"/>
  <headerFooter scaleWithDoc="0">
    <oddFooter>&amp;C&amp;"Arial,Regular"&amp;10 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  <pageSetUpPr fitToPage="1"/>
  </sheetPr>
  <dimension ref="A1:Q42"/>
  <sheetViews>
    <sheetView zoomScaleNormal="100" zoomScaleSheetLayoutView="100" workbookViewId="0">
      <selection sqref="A1:E1"/>
    </sheetView>
  </sheetViews>
  <sheetFormatPr defaultColWidth="8.6640625" defaultRowHeight="15.75" customHeight="1" x14ac:dyDescent="0.3"/>
  <cols>
    <col min="1" max="1" width="49.33203125" customWidth="1"/>
    <col min="2" max="2" width="4" customWidth="1"/>
    <col min="3" max="3" width="18.88671875" style="60" customWidth="1"/>
    <col min="4" max="4" width="4" style="60" customWidth="1"/>
    <col min="5" max="5" width="17.88671875" style="55" customWidth="1"/>
    <col min="7" max="7" width="14.88671875" hidden="1" customWidth="1"/>
    <col min="8" max="8" width="16.33203125" style="132" hidden="1" customWidth="1"/>
    <col min="9" max="10" width="14" style="132" hidden="1" customWidth="1"/>
    <col min="11" max="11" width="16.33203125" style="132" hidden="1" customWidth="1"/>
    <col min="12" max="12" width="14" style="132" hidden="1" customWidth="1"/>
    <col min="13" max="13" width="12.33203125" style="132" hidden="1" customWidth="1"/>
    <col min="14" max="14" width="11.33203125" style="132" hidden="1" customWidth="1"/>
    <col min="15" max="15" width="10.33203125" style="132" hidden="1" customWidth="1"/>
    <col min="16" max="16" width="0" style="132" hidden="1" customWidth="1"/>
    <col min="17" max="17" width="13.88671875" hidden="1" customWidth="1"/>
    <col min="18" max="26" width="0" hidden="1" customWidth="1"/>
  </cols>
  <sheetData>
    <row r="1" spans="1:15" ht="15.6" x14ac:dyDescent="0.3">
      <c r="A1" s="152" t="s">
        <v>0</v>
      </c>
      <c r="B1" s="152"/>
      <c r="C1" s="152"/>
      <c r="D1" s="152"/>
      <c r="E1" s="152"/>
      <c r="F1" s="130"/>
    </row>
    <row r="2" spans="1:15" ht="15.6" x14ac:dyDescent="0.3">
      <c r="A2" s="152" t="s">
        <v>1</v>
      </c>
      <c r="B2" s="152"/>
      <c r="C2" s="152"/>
      <c r="D2" s="152"/>
      <c r="E2" s="152"/>
      <c r="F2" s="130"/>
    </row>
    <row r="3" spans="1:15" ht="15.6" x14ac:dyDescent="0.3">
      <c r="A3" s="151" t="s">
        <v>140</v>
      </c>
      <c r="B3" s="151"/>
      <c r="C3" s="151"/>
      <c r="D3" s="151"/>
      <c r="E3" s="151"/>
      <c r="F3" s="131"/>
    </row>
    <row r="4" spans="1:15" ht="15.6" x14ac:dyDescent="0.3">
      <c r="A4" s="151" t="s">
        <v>144</v>
      </c>
      <c r="B4" s="151"/>
      <c r="C4" s="151"/>
      <c r="D4" s="151"/>
      <c r="E4" s="151"/>
      <c r="F4" s="131"/>
    </row>
    <row r="5" spans="1:15" ht="15.6" x14ac:dyDescent="0.3">
      <c r="A5" s="152" t="s">
        <v>154</v>
      </c>
      <c r="B5" s="152"/>
      <c r="C5" s="152"/>
      <c r="D5" s="152"/>
      <c r="E5" s="152"/>
      <c r="F5" s="130"/>
    </row>
    <row r="6" spans="1:15" ht="15.6" x14ac:dyDescent="0.3">
      <c r="A6" s="152" t="s">
        <v>150</v>
      </c>
      <c r="B6" s="152"/>
      <c r="C6" s="152"/>
      <c r="D6" s="152"/>
      <c r="E6" s="152"/>
      <c r="F6" s="130"/>
    </row>
    <row r="7" spans="1:15" ht="15.6" x14ac:dyDescent="0.3">
      <c r="A7" s="2"/>
      <c r="B7" s="3"/>
      <c r="E7" s="115"/>
    </row>
    <row r="8" spans="1:15" ht="15.6" x14ac:dyDescent="0.3">
      <c r="A8" s="61" t="s">
        <v>57</v>
      </c>
      <c r="B8" s="2"/>
      <c r="C8" s="8">
        <v>2025</v>
      </c>
      <c r="D8" s="63"/>
      <c r="E8" s="8">
        <v>2024</v>
      </c>
      <c r="H8" s="132" t="s">
        <v>146</v>
      </c>
      <c r="I8" s="132" t="s">
        <v>148</v>
      </c>
      <c r="J8" s="132" t="s">
        <v>147</v>
      </c>
      <c r="K8" s="132" t="s">
        <v>147</v>
      </c>
    </row>
    <row r="9" spans="1:15" ht="15.6" x14ac:dyDescent="0.3">
      <c r="A9" s="64" t="s">
        <v>58</v>
      </c>
      <c r="B9" s="33"/>
      <c r="C9" s="65"/>
      <c r="D9" s="1"/>
      <c r="E9" s="116"/>
    </row>
    <row r="10" spans="1:15" ht="15.6" x14ac:dyDescent="0.3">
      <c r="A10" s="62" t="s">
        <v>59</v>
      </c>
      <c r="B10" s="63" t="s">
        <v>139</v>
      </c>
      <c r="C10" s="13">
        <v>12081535.311000001</v>
      </c>
      <c r="D10" s="63" t="s">
        <v>139</v>
      </c>
      <c r="E10" s="13">
        <v>26146416.649999999</v>
      </c>
      <c r="G10" s="133">
        <f>SUM(H10:O10)</f>
        <v>12081535.311000001</v>
      </c>
      <c r="H10" s="132">
        <v>8233571.8310000012</v>
      </c>
      <c r="I10" s="132">
        <v>3847963.48</v>
      </c>
      <c r="J10" s="132">
        <f>SUM(K10:O10)</f>
        <v>0</v>
      </c>
    </row>
    <row r="11" spans="1:15" ht="15.6" x14ac:dyDescent="0.3">
      <c r="A11" s="62" t="s">
        <v>60</v>
      </c>
      <c r="B11" s="2"/>
      <c r="C11" s="13">
        <v>267630156</v>
      </c>
      <c r="D11" s="63"/>
      <c r="E11" s="117">
        <v>225475245</v>
      </c>
      <c r="G11" s="133">
        <f t="shared" ref="G11:G39" si="0">SUM(H11:O11)</f>
        <v>267630156</v>
      </c>
      <c r="H11" s="132">
        <v>267630156</v>
      </c>
      <c r="J11" s="132">
        <f>SUM(K11:O11)</f>
        <v>0</v>
      </c>
    </row>
    <row r="12" spans="1:15" ht="15.6" x14ac:dyDescent="0.3">
      <c r="A12" s="62" t="s">
        <v>61</v>
      </c>
      <c r="B12" s="2"/>
      <c r="C12" s="13">
        <v>9847923.8580000047</v>
      </c>
      <c r="D12" s="63"/>
      <c r="E12" s="117">
        <v>6132528.2699999996</v>
      </c>
      <c r="G12" s="133">
        <f t="shared" si="0"/>
        <v>9847923.8580000047</v>
      </c>
      <c r="H12" s="132">
        <v>9847923.8580000047</v>
      </c>
      <c r="J12" s="132">
        <f>SUM(K12:O12)</f>
        <v>0</v>
      </c>
    </row>
    <row r="13" spans="1:15" ht="15.6" x14ac:dyDescent="0.3">
      <c r="A13" s="62" t="s">
        <v>62</v>
      </c>
      <c r="B13" s="2"/>
      <c r="C13" s="13">
        <v>97858.19</v>
      </c>
      <c r="D13" s="63"/>
      <c r="E13" s="13">
        <v>112030.37</v>
      </c>
      <c r="G13" s="133">
        <f t="shared" si="0"/>
        <v>97858.19</v>
      </c>
      <c r="H13" s="132">
        <v>96569.71</v>
      </c>
      <c r="I13" s="132">
        <v>1288.48</v>
      </c>
      <c r="J13" s="132">
        <f>SUM(K13:O13)</f>
        <v>0</v>
      </c>
    </row>
    <row r="14" spans="1:15" ht="15.6" x14ac:dyDescent="0.3">
      <c r="A14" s="62" t="s">
        <v>63</v>
      </c>
      <c r="B14" s="2"/>
      <c r="C14" s="13">
        <v>37546912.414999999</v>
      </c>
      <c r="D14" s="63"/>
      <c r="E14" s="118">
        <v>70443022.709999993</v>
      </c>
      <c r="G14" s="133">
        <f t="shared" si="0"/>
        <v>64159167.225000001</v>
      </c>
      <c r="H14" s="132">
        <v>9426157.6049999967</v>
      </c>
      <c r="I14" s="132">
        <v>1508500</v>
      </c>
      <c r="J14" s="132">
        <f>SUM(K14:O14)</f>
        <v>26612254.810000002</v>
      </c>
      <c r="K14" s="132">
        <v>26590534.810000002</v>
      </c>
      <c r="M14" s="132">
        <v>1000</v>
      </c>
      <c r="N14" s="132">
        <v>19720</v>
      </c>
      <c r="O14" s="132">
        <v>1000</v>
      </c>
    </row>
    <row r="15" spans="1:15" ht="15.6" x14ac:dyDescent="0.3">
      <c r="A15" s="61" t="s">
        <v>64</v>
      </c>
      <c r="B15" s="2"/>
      <c r="C15" s="66">
        <f>SUM(C10:C14)</f>
        <v>327204385.77399999</v>
      </c>
      <c r="D15" s="63"/>
      <c r="E15" s="66">
        <f>SUM(E10:E14)</f>
        <v>328309243</v>
      </c>
      <c r="G15" s="133">
        <f t="shared" si="0"/>
        <v>353816640.58399999</v>
      </c>
      <c r="H15" s="132">
        <f>SUM(H10:H14)</f>
        <v>295234379.00400001</v>
      </c>
      <c r="I15" s="132">
        <f>SUM(I10:I14)</f>
        <v>5357751.96</v>
      </c>
      <c r="J15" s="132">
        <f t="shared" ref="J15:J30" si="1">SUM(K15:O15)</f>
        <v>26612254.810000002</v>
      </c>
      <c r="K15" s="132">
        <f>SUM(K10:K14)</f>
        <v>26590534.810000002</v>
      </c>
      <c r="M15" s="132">
        <f>SUM(M10:M14)</f>
        <v>1000</v>
      </c>
      <c r="N15" s="132">
        <f>SUM(N10:N14)</f>
        <v>19720</v>
      </c>
      <c r="O15" s="132">
        <f>SUM(O10:O14)</f>
        <v>1000</v>
      </c>
    </row>
    <row r="16" spans="1:15" ht="15.6" x14ac:dyDescent="0.3">
      <c r="A16" s="64" t="s">
        <v>65</v>
      </c>
      <c r="B16" s="2"/>
      <c r="C16" s="11"/>
      <c r="D16" s="63"/>
      <c r="E16" s="117"/>
      <c r="G16" s="133">
        <f t="shared" si="0"/>
        <v>0</v>
      </c>
      <c r="J16" s="132">
        <f t="shared" si="1"/>
        <v>0</v>
      </c>
    </row>
    <row r="17" spans="1:15" ht="15.6" x14ac:dyDescent="0.3">
      <c r="A17" s="61" t="s">
        <v>66</v>
      </c>
      <c r="B17" s="2"/>
      <c r="C17" s="67">
        <v>17776078.150000013</v>
      </c>
      <c r="D17" s="63"/>
      <c r="E17" s="117">
        <v>12757178.59</v>
      </c>
      <c r="G17" s="133">
        <f t="shared" si="0"/>
        <v>17776078.150000013</v>
      </c>
      <c r="H17" s="132">
        <v>15852096.390000014</v>
      </c>
      <c r="I17" s="132">
        <v>1923981.7599999995</v>
      </c>
      <c r="J17" s="132">
        <f t="shared" si="1"/>
        <v>0</v>
      </c>
    </row>
    <row r="18" spans="1:15" ht="15.6" x14ac:dyDescent="0.3">
      <c r="A18" s="61" t="s">
        <v>67</v>
      </c>
      <c r="B18" s="2"/>
      <c r="C18" s="13">
        <v>53453420.502000004</v>
      </c>
      <c r="D18" s="63"/>
      <c r="E18" s="117">
        <v>75029006.680000007</v>
      </c>
      <c r="G18" s="133">
        <f t="shared" si="0"/>
        <v>66368183.612000003</v>
      </c>
      <c r="H18" s="132">
        <v>40369456.041999996</v>
      </c>
      <c r="I18" s="132">
        <v>169201.35</v>
      </c>
      <c r="J18" s="132">
        <f t="shared" si="1"/>
        <v>12914763.110000003</v>
      </c>
      <c r="K18" s="132">
        <v>12914763.110000003</v>
      </c>
    </row>
    <row r="19" spans="1:15" ht="15.6" x14ac:dyDescent="0.3">
      <c r="A19" s="62" t="s">
        <v>68</v>
      </c>
      <c r="B19" s="2"/>
      <c r="C19" s="13">
        <v>85369685.120000005</v>
      </c>
      <c r="D19" s="63"/>
      <c r="E19" s="117">
        <v>63458480.170000002</v>
      </c>
      <c r="G19" s="133">
        <f t="shared" si="0"/>
        <v>85369685.120000005</v>
      </c>
      <c r="H19" s="132">
        <v>85369685.120000005</v>
      </c>
      <c r="J19" s="132">
        <f t="shared" si="1"/>
        <v>0</v>
      </c>
    </row>
    <row r="20" spans="1:15" ht="15.6" x14ac:dyDescent="0.3">
      <c r="A20" s="62" t="s">
        <v>69</v>
      </c>
      <c r="B20" s="2"/>
      <c r="C20" s="13">
        <v>119705354.63</v>
      </c>
      <c r="D20" s="63"/>
      <c r="E20" s="117">
        <v>128410319.73999999</v>
      </c>
      <c r="G20" s="133">
        <f t="shared" si="0"/>
        <v>145435179.84</v>
      </c>
      <c r="H20" s="132">
        <v>90884088.549999982</v>
      </c>
      <c r="I20" s="132">
        <v>3091440.8699999996</v>
      </c>
      <c r="J20" s="132">
        <f t="shared" si="1"/>
        <v>25729825.210000001</v>
      </c>
      <c r="K20" s="132">
        <v>25714125.210000001</v>
      </c>
      <c r="L20" s="132">
        <v>15700</v>
      </c>
    </row>
    <row r="21" spans="1:15" ht="15.6" x14ac:dyDescent="0.3">
      <c r="A21" s="61" t="s">
        <v>70</v>
      </c>
      <c r="B21" s="2"/>
      <c r="C21" s="66">
        <f>SUM(C17:C20)</f>
        <v>276304538.40200001</v>
      </c>
      <c r="D21" s="63"/>
      <c r="E21" s="66">
        <f>SUM(E17:E20)</f>
        <v>279654985.18000001</v>
      </c>
      <c r="G21" s="133">
        <f t="shared" si="0"/>
        <v>314949126.722</v>
      </c>
      <c r="H21" s="132">
        <f t="shared" ref="H21:O21" si="2">SUM(H17:H20)</f>
        <v>232475326.102</v>
      </c>
      <c r="I21" s="132">
        <f t="shared" si="2"/>
        <v>5184623.9799999995</v>
      </c>
      <c r="J21" s="132">
        <f t="shared" si="1"/>
        <v>38644588.320000008</v>
      </c>
      <c r="K21" s="132">
        <f t="shared" si="2"/>
        <v>38628888.320000008</v>
      </c>
      <c r="L21" s="132">
        <f t="shared" si="2"/>
        <v>15700</v>
      </c>
      <c r="M21" s="132">
        <f t="shared" si="2"/>
        <v>0</v>
      </c>
      <c r="N21" s="132">
        <f t="shared" si="2"/>
        <v>0</v>
      </c>
      <c r="O21" s="132">
        <f t="shared" si="2"/>
        <v>0</v>
      </c>
    </row>
    <row r="22" spans="1:15" ht="15.6" x14ac:dyDescent="0.3">
      <c r="A22" s="61" t="s">
        <v>71</v>
      </c>
      <c r="B22" s="2"/>
      <c r="C22" s="66">
        <f>C15-C21</f>
        <v>50899847.371999979</v>
      </c>
      <c r="D22" s="63"/>
      <c r="E22" s="66">
        <f>E15-E21</f>
        <v>48654257.819999993</v>
      </c>
      <c r="G22" s="133">
        <f t="shared" si="0"/>
        <v>38867513.862000003</v>
      </c>
      <c r="H22" s="132">
        <f t="shared" ref="H22:O22" si="3">H15-H21</f>
        <v>62759052.90200001</v>
      </c>
      <c r="I22" s="132">
        <f t="shared" si="3"/>
        <v>173127.98000000045</v>
      </c>
      <c r="J22" s="132">
        <f t="shared" si="1"/>
        <v>-12032333.510000005</v>
      </c>
      <c r="K22" s="132">
        <f t="shared" si="3"/>
        <v>-12038353.510000005</v>
      </c>
      <c r="L22" s="132">
        <f t="shared" si="3"/>
        <v>-15700</v>
      </c>
      <c r="M22" s="132">
        <f t="shared" si="3"/>
        <v>1000</v>
      </c>
      <c r="N22" s="132">
        <f t="shared" si="3"/>
        <v>19720</v>
      </c>
      <c r="O22" s="132">
        <f t="shared" si="3"/>
        <v>1000</v>
      </c>
    </row>
    <row r="23" spans="1:15" ht="15.6" x14ac:dyDescent="0.3">
      <c r="A23" s="61" t="s">
        <v>72</v>
      </c>
      <c r="B23" s="2"/>
      <c r="C23" s="11"/>
      <c r="D23" s="63"/>
      <c r="E23" s="118"/>
      <c r="G23" s="133">
        <f t="shared" si="0"/>
        <v>0</v>
      </c>
      <c r="J23" s="132">
        <f t="shared" si="1"/>
        <v>0</v>
      </c>
    </row>
    <row r="24" spans="1:15" ht="15.6" x14ac:dyDescent="0.3">
      <c r="A24" s="64" t="s">
        <v>73</v>
      </c>
      <c r="B24" s="2"/>
      <c r="C24" s="68">
        <v>0</v>
      </c>
      <c r="D24" s="63"/>
      <c r="E24" s="119">
        <v>0</v>
      </c>
      <c r="G24" s="133">
        <f t="shared" si="0"/>
        <v>0</v>
      </c>
      <c r="H24" s="132">
        <v>0</v>
      </c>
      <c r="J24" s="132">
        <f t="shared" si="1"/>
        <v>0</v>
      </c>
    </row>
    <row r="25" spans="1:15" ht="15.6" x14ac:dyDescent="0.3">
      <c r="A25" s="61" t="s">
        <v>74</v>
      </c>
      <c r="B25" s="2"/>
      <c r="C25" s="68">
        <f>SUM(C24)</f>
        <v>0</v>
      </c>
      <c r="D25" s="63"/>
      <c r="E25" s="68">
        <f>SUM(E24)</f>
        <v>0</v>
      </c>
      <c r="G25" s="133">
        <f t="shared" si="0"/>
        <v>0</v>
      </c>
      <c r="H25" s="68">
        <f>SUM(H24)</f>
        <v>0</v>
      </c>
      <c r="J25" s="132">
        <f t="shared" si="1"/>
        <v>0</v>
      </c>
    </row>
    <row r="26" spans="1:15" ht="15.6" x14ac:dyDescent="0.3">
      <c r="A26" s="64" t="s">
        <v>65</v>
      </c>
      <c r="B26" s="2"/>
      <c r="C26" s="11"/>
      <c r="D26" s="63"/>
      <c r="E26" s="117"/>
      <c r="G26" s="133">
        <f t="shared" si="0"/>
        <v>0</v>
      </c>
      <c r="J26" s="132">
        <f t="shared" si="1"/>
        <v>0</v>
      </c>
    </row>
    <row r="27" spans="1:15" ht="15.6" x14ac:dyDescent="0.3">
      <c r="A27" s="61" t="s">
        <v>151</v>
      </c>
      <c r="B27" s="158"/>
      <c r="C27" s="136">
        <v>71471384.070000008</v>
      </c>
      <c r="D27" s="1"/>
      <c r="E27" s="137">
        <v>103994165.89</v>
      </c>
      <c r="G27" s="133">
        <f t="shared" si="0"/>
        <v>71471384.070000008</v>
      </c>
      <c r="H27" s="132">
        <v>71471384.070000008</v>
      </c>
      <c r="J27" s="132">
        <f t="shared" si="1"/>
        <v>0</v>
      </c>
    </row>
    <row r="28" spans="1:15" ht="15.6" x14ac:dyDescent="0.3">
      <c r="A28" s="62"/>
      <c r="B28" s="158"/>
      <c r="C28" s="136"/>
      <c r="D28" s="1"/>
      <c r="E28" s="137"/>
      <c r="G28" s="133">
        <f t="shared" si="0"/>
        <v>0</v>
      </c>
      <c r="J28" s="132">
        <f t="shared" si="1"/>
        <v>0</v>
      </c>
    </row>
    <row r="29" spans="1:15" ht="15.6" x14ac:dyDescent="0.3">
      <c r="A29" s="61" t="s">
        <v>70</v>
      </c>
      <c r="B29" s="2"/>
      <c r="C29" s="66">
        <f>SUM(C27:C28)</f>
        <v>71471384.070000008</v>
      </c>
      <c r="D29" s="63"/>
      <c r="E29" s="66">
        <f>SUM(E27)</f>
        <v>103994165.89</v>
      </c>
      <c r="G29" s="133">
        <f t="shared" si="0"/>
        <v>71471384.070000008</v>
      </c>
      <c r="H29" s="66">
        <f>SUM(H27:H28)</f>
        <v>71471384.070000008</v>
      </c>
      <c r="J29" s="132">
        <f t="shared" si="1"/>
        <v>0</v>
      </c>
    </row>
    <row r="30" spans="1:15" ht="15.6" x14ac:dyDescent="0.3">
      <c r="A30" s="69" t="s">
        <v>75</v>
      </c>
      <c r="B30" s="2"/>
      <c r="C30" s="70">
        <f>C25-C29</f>
        <v>-71471384.070000008</v>
      </c>
      <c r="D30" s="1"/>
      <c r="E30" s="70">
        <f>E25-E29</f>
        <v>-103994165.89</v>
      </c>
      <c r="G30" s="133">
        <f t="shared" si="0"/>
        <v>-71471384.070000008</v>
      </c>
      <c r="H30" s="134">
        <f>H25-H29</f>
        <v>-71471384.070000008</v>
      </c>
      <c r="J30" s="132">
        <f t="shared" si="1"/>
        <v>0</v>
      </c>
    </row>
    <row r="31" spans="1:15" ht="15.6" x14ac:dyDescent="0.3">
      <c r="A31" s="61" t="s">
        <v>76</v>
      </c>
      <c r="B31" s="2"/>
      <c r="C31" s="11"/>
      <c r="D31" s="63"/>
      <c r="E31" s="117"/>
      <c r="G31" s="133">
        <f t="shared" si="0"/>
        <v>0</v>
      </c>
    </row>
    <row r="32" spans="1:15" ht="15.6" x14ac:dyDescent="0.3">
      <c r="A32" s="71" t="s">
        <v>58</v>
      </c>
      <c r="B32" s="2"/>
      <c r="C32" s="72">
        <v>0</v>
      </c>
      <c r="D32" s="63"/>
      <c r="E32" s="72">
        <v>0</v>
      </c>
      <c r="G32" s="133">
        <f t="shared" si="0"/>
        <v>0</v>
      </c>
    </row>
    <row r="33" spans="1:17" ht="15.6" x14ac:dyDescent="0.3">
      <c r="A33" s="73" t="s">
        <v>77</v>
      </c>
      <c r="B33" s="2"/>
      <c r="C33" s="22">
        <f>SUM(C32)</f>
        <v>0</v>
      </c>
      <c r="D33" s="63"/>
      <c r="E33" s="22">
        <f>SUM(E32)</f>
        <v>0</v>
      </c>
      <c r="G33" s="133">
        <f t="shared" si="0"/>
        <v>0</v>
      </c>
    </row>
    <row r="34" spans="1:17" ht="15.6" x14ac:dyDescent="0.3">
      <c r="A34" s="64" t="s">
        <v>65</v>
      </c>
      <c r="B34" s="2"/>
      <c r="C34" s="68">
        <v>0</v>
      </c>
      <c r="D34" s="63"/>
      <c r="E34" s="68">
        <v>0</v>
      </c>
      <c r="G34" s="133">
        <f t="shared" si="0"/>
        <v>0</v>
      </c>
    </row>
    <row r="35" spans="1:17" ht="15.6" x14ac:dyDescent="0.3">
      <c r="A35" s="61" t="s">
        <v>70</v>
      </c>
      <c r="B35" s="2"/>
      <c r="C35" s="11">
        <f>SUM(C34)</f>
        <v>0</v>
      </c>
      <c r="D35" s="63"/>
      <c r="E35" s="11">
        <f>SUM(E34)</f>
        <v>0</v>
      </c>
      <c r="G35" s="133">
        <f t="shared" si="0"/>
        <v>0</v>
      </c>
    </row>
    <row r="36" spans="1:17" ht="15.6" x14ac:dyDescent="0.3">
      <c r="A36" s="61" t="s">
        <v>78</v>
      </c>
      <c r="B36" s="2"/>
      <c r="C36" s="66">
        <f>C33-C35</f>
        <v>0</v>
      </c>
      <c r="D36" s="63"/>
      <c r="E36" s="66">
        <f>E33-E35</f>
        <v>0</v>
      </c>
      <c r="G36" s="133">
        <f t="shared" si="0"/>
        <v>0</v>
      </c>
    </row>
    <row r="37" spans="1:17" ht="27.6" x14ac:dyDescent="0.3">
      <c r="A37" s="69" t="s">
        <v>79</v>
      </c>
      <c r="B37" s="2"/>
      <c r="C37" s="70">
        <f>SUM(C22,C30,C36)</f>
        <v>-20571536.698000029</v>
      </c>
      <c r="D37" s="63"/>
      <c r="E37" s="70">
        <f>SUM(E22,E30,E36)</f>
        <v>-55339908.070000008</v>
      </c>
      <c r="G37" s="133">
        <f t="shared" si="0"/>
        <v>-20571536.698000003</v>
      </c>
      <c r="H37" s="70">
        <f t="shared" ref="H37:O37" si="4">SUM(H22,H30,H36)</f>
        <v>-8712331.1679999977</v>
      </c>
      <c r="I37" s="70">
        <f t="shared" si="4"/>
        <v>173127.98000000045</v>
      </c>
      <c r="J37" s="70"/>
      <c r="K37" s="70">
        <f t="shared" si="4"/>
        <v>-12038353.510000005</v>
      </c>
      <c r="L37" s="70">
        <f t="shared" si="4"/>
        <v>-15700</v>
      </c>
      <c r="M37" s="135">
        <f t="shared" si="4"/>
        <v>1000</v>
      </c>
      <c r="N37" s="135">
        <f t="shared" si="4"/>
        <v>19720</v>
      </c>
      <c r="O37" s="135">
        <f t="shared" si="4"/>
        <v>1000</v>
      </c>
    </row>
    <row r="38" spans="1:17" ht="15.6" x14ac:dyDescent="0.3">
      <c r="A38" s="61" t="s">
        <v>80</v>
      </c>
      <c r="B38" s="2"/>
      <c r="C38" s="74">
        <f>E39</f>
        <v>249094984.54124999</v>
      </c>
      <c r="D38" s="63"/>
      <c r="E38" s="120">
        <v>304434892.61124998</v>
      </c>
      <c r="G38" s="133">
        <f t="shared" si="0"/>
        <v>249094984.53624997</v>
      </c>
      <c r="H38" s="132">
        <v>212479796.89624998</v>
      </c>
      <c r="I38" s="132">
        <v>2480572.0199999996</v>
      </c>
      <c r="K38" s="132">
        <v>29462513.139999993</v>
      </c>
      <c r="L38" s="132">
        <v>4186902.4800000004</v>
      </c>
      <c r="M38" s="132">
        <v>298150</v>
      </c>
      <c r="N38" s="132">
        <v>167050</v>
      </c>
      <c r="O38" s="132">
        <v>20000</v>
      </c>
      <c r="Q38" s="133">
        <f>SUM(K38:O38)</f>
        <v>34134615.61999999</v>
      </c>
    </row>
    <row r="39" spans="1:17" ht="16.2" thickBot="1" x14ac:dyDescent="0.35">
      <c r="A39" s="69" t="s">
        <v>81</v>
      </c>
      <c r="B39" s="125" t="s">
        <v>139</v>
      </c>
      <c r="C39" s="43">
        <f>SUM(C37:C38)</f>
        <v>228523447.84324998</v>
      </c>
      <c r="D39" s="125" t="s">
        <v>139</v>
      </c>
      <c r="E39" s="121">
        <f>SUM(E37:E38)</f>
        <v>249094984.54124999</v>
      </c>
      <c r="G39" s="133">
        <f t="shared" si="0"/>
        <v>228523447.83824995</v>
      </c>
      <c r="H39" s="43">
        <f t="shared" ref="H39:O39" si="5">SUM(H37:H38)</f>
        <v>203767465.72824997</v>
      </c>
      <c r="I39" s="43">
        <f t="shared" si="5"/>
        <v>2653700</v>
      </c>
      <c r="J39" s="43"/>
      <c r="K39" s="43">
        <f t="shared" si="5"/>
        <v>17424159.629999988</v>
      </c>
      <c r="L39" s="43">
        <f t="shared" si="5"/>
        <v>4171202.4800000004</v>
      </c>
      <c r="M39" s="138">
        <f t="shared" si="5"/>
        <v>299150</v>
      </c>
      <c r="N39" s="138">
        <f t="shared" si="5"/>
        <v>186770</v>
      </c>
      <c r="O39" s="138">
        <f t="shared" si="5"/>
        <v>21000</v>
      </c>
    </row>
    <row r="40" spans="1:17" ht="16.2" thickTop="1" x14ac:dyDescent="0.3"/>
    <row r="41" spans="1:17" ht="15.75" customHeight="1" x14ac:dyDescent="0.3">
      <c r="G41" s="139"/>
      <c r="L41" s="132">
        <v>4171202.4800000004</v>
      </c>
    </row>
    <row r="42" spans="1:17" ht="15.75" customHeight="1" x14ac:dyDescent="0.3">
      <c r="C42" s="141"/>
      <c r="L42" s="140">
        <f>L39-L41</f>
        <v>0</v>
      </c>
    </row>
  </sheetData>
  <sheetProtection algorithmName="SHA-512" hashValue="4VBviTjHqOPxAFwSRltW8RbLiNc8+outRmlYI0/qTwGXoJme+P/uGQ5YuVNS8ZiLdBe4bGDAr2EmmBjK9Z9hAw==" saltValue="Opur+2qPpsUvrOEGgY3Yeg==" spinCount="100000" sheet="1" objects="1" scenarios="1" selectLockedCells="1" selectUnlockedCells="1"/>
  <mergeCells count="7">
    <mergeCell ref="B27:B28"/>
    <mergeCell ref="A1:E1"/>
    <mergeCell ref="A2:E2"/>
    <mergeCell ref="A3:E3"/>
    <mergeCell ref="A4:E4"/>
    <mergeCell ref="A5:E5"/>
    <mergeCell ref="A6:E6"/>
  </mergeCells>
  <printOptions horizontalCentered="1"/>
  <pageMargins left="1.5" right="1" top="1" bottom="1" header="0.511811023622047" footer="0.5"/>
  <pageSetup scale="82" orientation="portrait" horizontalDpi="300" verticalDpi="300" r:id="rId1"/>
  <headerFooter scaleWithDoc="0">
    <oddFooter>&amp;C&amp;"Arial,Regular"&amp;10 8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85"/>
  <sheetViews>
    <sheetView zoomScaleNormal="100" zoomScaleSheetLayoutView="100" workbookViewId="0">
      <selection activeCell="A2" sqref="A2:H2"/>
    </sheetView>
  </sheetViews>
  <sheetFormatPr defaultColWidth="9.109375" defaultRowHeight="15.75" customHeight="1" x14ac:dyDescent="0.3"/>
  <cols>
    <col min="1" max="1" width="3.44140625" style="75" customWidth="1"/>
    <col min="2" max="2" width="45.109375" style="55" customWidth="1"/>
    <col min="3" max="3" width="8.44140625" style="55" customWidth="1"/>
    <col min="4" max="4" width="18.109375" style="67" bestFit="1" customWidth="1"/>
    <col min="5" max="6" width="18" style="67" customWidth="1"/>
    <col min="7" max="7" width="17.88671875" style="13" customWidth="1"/>
    <col min="8" max="8" width="18.109375" style="67" customWidth="1"/>
    <col min="9" max="16384" width="9.109375" style="55"/>
  </cols>
  <sheetData>
    <row r="1" spans="1:8" ht="15.6" x14ac:dyDescent="0.3">
      <c r="A1" s="152" t="s">
        <v>0</v>
      </c>
      <c r="B1" s="152"/>
      <c r="C1" s="152"/>
      <c r="D1" s="152"/>
      <c r="E1" s="152"/>
      <c r="F1" s="152"/>
      <c r="G1" s="152"/>
      <c r="H1" s="152"/>
    </row>
    <row r="2" spans="1:8" ht="15.6" x14ac:dyDescent="0.3">
      <c r="A2" s="152" t="s">
        <v>1</v>
      </c>
      <c r="B2" s="152"/>
      <c r="C2" s="152"/>
      <c r="D2" s="152"/>
      <c r="E2" s="152"/>
      <c r="F2" s="152"/>
      <c r="G2" s="152"/>
      <c r="H2" s="152"/>
    </row>
    <row r="3" spans="1:8" ht="15.6" x14ac:dyDescent="0.3">
      <c r="A3" s="151" t="s">
        <v>140</v>
      </c>
      <c r="B3" s="151"/>
      <c r="C3" s="151"/>
      <c r="D3" s="151"/>
      <c r="E3" s="151"/>
      <c r="F3" s="151"/>
      <c r="G3" s="151"/>
      <c r="H3" s="151"/>
    </row>
    <row r="4" spans="1:8" ht="15.6" x14ac:dyDescent="0.3">
      <c r="A4" s="151" t="s">
        <v>145</v>
      </c>
      <c r="B4" s="151"/>
      <c r="C4" s="151"/>
      <c r="D4" s="151"/>
      <c r="E4" s="151"/>
      <c r="F4" s="151"/>
      <c r="G4" s="151"/>
      <c r="H4" s="151"/>
    </row>
    <row r="5" spans="1:8" ht="15.6" x14ac:dyDescent="0.3">
      <c r="A5" s="152" t="s">
        <v>154</v>
      </c>
      <c r="B5" s="152"/>
      <c r="C5" s="152"/>
      <c r="D5" s="152"/>
      <c r="E5" s="152"/>
      <c r="F5" s="152"/>
      <c r="G5" s="152"/>
      <c r="H5" s="152"/>
    </row>
    <row r="6" spans="1:8" ht="15.6" x14ac:dyDescent="0.3">
      <c r="A6" s="152"/>
      <c r="B6" s="152"/>
      <c r="C6" s="152"/>
      <c r="D6" s="152"/>
      <c r="E6" s="152"/>
      <c r="F6" s="152"/>
      <c r="G6" s="152"/>
      <c r="H6" s="152"/>
    </row>
    <row r="8" spans="1:8" s="76" customFormat="1" ht="27.75" customHeight="1" thickBot="1" x14ac:dyDescent="0.35">
      <c r="A8" s="163"/>
      <c r="B8" s="161" t="s">
        <v>82</v>
      </c>
      <c r="C8" s="161" t="s">
        <v>83</v>
      </c>
      <c r="D8" s="160" t="s">
        <v>84</v>
      </c>
      <c r="E8" s="160"/>
      <c r="F8" s="160" t="s">
        <v>85</v>
      </c>
      <c r="G8" s="162" t="s">
        <v>86</v>
      </c>
      <c r="H8" s="160" t="s">
        <v>87</v>
      </c>
    </row>
    <row r="9" spans="1:8" s="76" customFormat="1" ht="27.75" customHeight="1" thickBot="1" x14ac:dyDescent="0.35">
      <c r="A9" s="163"/>
      <c r="B9" s="161"/>
      <c r="C9" s="161"/>
      <c r="D9" s="160"/>
      <c r="E9" s="160"/>
      <c r="F9" s="160"/>
      <c r="G9" s="162"/>
      <c r="H9" s="160"/>
    </row>
    <row r="10" spans="1:8" s="77" customFormat="1" ht="16.2" thickBot="1" x14ac:dyDescent="0.35">
      <c r="A10" s="78"/>
      <c r="B10" s="79"/>
      <c r="C10" s="79"/>
      <c r="D10" s="80" t="s">
        <v>88</v>
      </c>
      <c r="E10" s="80" t="s">
        <v>89</v>
      </c>
      <c r="F10" s="81"/>
      <c r="G10" s="82" t="s">
        <v>90</v>
      </c>
      <c r="H10" s="83"/>
    </row>
    <row r="11" spans="1:8" ht="15.6" x14ac:dyDescent="0.3">
      <c r="A11" s="84" t="s">
        <v>91</v>
      </c>
      <c r="B11" s="85"/>
      <c r="C11" s="78"/>
      <c r="D11" s="86"/>
      <c r="E11" s="86"/>
      <c r="F11" s="86"/>
      <c r="G11" s="87"/>
      <c r="H11" s="86"/>
    </row>
    <row r="12" spans="1:8" ht="15.6" x14ac:dyDescent="0.3">
      <c r="A12" s="88" t="s">
        <v>92</v>
      </c>
      <c r="B12" s="85"/>
      <c r="C12" s="85"/>
      <c r="D12" s="86"/>
      <c r="E12" s="86"/>
      <c r="F12" s="86"/>
      <c r="G12" s="87"/>
      <c r="H12" s="86"/>
    </row>
    <row r="13" spans="1:8" ht="15.6" x14ac:dyDescent="0.3">
      <c r="A13" s="88" t="s">
        <v>93</v>
      </c>
      <c r="B13" s="85"/>
      <c r="C13" s="85"/>
      <c r="D13" s="86"/>
      <c r="E13" s="86"/>
      <c r="F13" s="86"/>
      <c r="G13" s="87"/>
      <c r="H13" s="86"/>
    </row>
    <row r="14" spans="1:8" ht="15.6" x14ac:dyDescent="0.3">
      <c r="B14" s="88" t="s">
        <v>94</v>
      </c>
      <c r="C14" s="89"/>
      <c r="D14" s="90">
        <v>1500000</v>
      </c>
      <c r="E14" s="90">
        <v>1500000</v>
      </c>
      <c r="F14" s="90">
        <v>0</v>
      </c>
      <c r="G14" s="90">
        <v>1755199.2200000002</v>
      </c>
      <c r="H14" s="90">
        <v>255199.2200000002</v>
      </c>
    </row>
    <row r="15" spans="1:8" ht="15.6" x14ac:dyDescent="0.3">
      <c r="B15" s="88" t="s">
        <v>95</v>
      </c>
      <c r="C15" s="89"/>
      <c r="D15" s="90">
        <v>5000000</v>
      </c>
      <c r="E15" s="90">
        <v>5000000</v>
      </c>
      <c r="F15" s="90">
        <v>0</v>
      </c>
      <c r="G15" s="90">
        <v>6336297.4799999986</v>
      </c>
      <c r="H15" s="90">
        <v>1336297.4799999986</v>
      </c>
    </row>
    <row r="16" spans="1:8" ht="15.6" x14ac:dyDescent="0.3">
      <c r="B16" s="88" t="s">
        <v>96</v>
      </c>
      <c r="C16" s="89"/>
      <c r="D16" s="90">
        <v>300000</v>
      </c>
      <c r="E16" s="90">
        <v>300000</v>
      </c>
      <c r="F16" s="90">
        <v>0</v>
      </c>
      <c r="G16" s="90">
        <v>390299.88199999998</v>
      </c>
      <c r="H16" s="90">
        <v>90299.881999999983</v>
      </c>
    </row>
    <row r="17" spans="1:8" ht="15.6" x14ac:dyDescent="0.3">
      <c r="A17" s="88" t="s">
        <v>97</v>
      </c>
      <c r="B17" s="89"/>
      <c r="C17" s="89"/>
      <c r="D17" s="91">
        <v>6800000</v>
      </c>
      <c r="E17" s="91">
        <v>6800000</v>
      </c>
      <c r="F17" s="91">
        <v>0</v>
      </c>
      <c r="G17" s="91">
        <v>8481796.5819999985</v>
      </c>
      <c r="H17" s="91">
        <v>1681796.5819999988</v>
      </c>
    </row>
    <row r="18" spans="1:8" ht="15.6" x14ac:dyDescent="0.3">
      <c r="A18" s="88" t="s">
        <v>98</v>
      </c>
      <c r="B18" s="85"/>
      <c r="C18" s="85"/>
      <c r="D18" s="86"/>
      <c r="E18" s="86"/>
      <c r="F18" s="86"/>
      <c r="G18" s="87"/>
      <c r="H18" s="86"/>
    </row>
    <row r="19" spans="1:8" ht="15.6" x14ac:dyDescent="0.3">
      <c r="B19" s="88" t="s">
        <v>99</v>
      </c>
      <c r="C19" s="85"/>
      <c r="D19" s="86">
        <v>350000</v>
      </c>
      <c r="E19" s="86">
        <v>350000</v>
      </c>
      <c r="F19" s="90">
        <v>0</v>
      </c>
      <c r="G19" s="86">
        <v>3316355.9280000003</v>
      </c>
      <c r="H19" s="90">
        <v>2966355.9280000003</v>
      </c>
    </row>
    <row r="20" spans="1:8" ht="15.6" x14ac:dyDescent="0.3">
      <c r="B20" s="88" t="s">
        <v>100</v>
      </c>
      <c r="C20" s="89"/>
      <c r="D20" s="90">
        <v>4500000</v>
      </c>
      <c r="E20" s="90">
        <v>4500000</v>
      </c>
      <c r="F20" s="90">
        <v>0</v>
      </c>
      <c r="G20" s="90">
        <v>3399963.3299999996</v>
      </c>
      <c r="H20" s="90">
        <v>-1100036.6700000004</v>
      </c>
    </row>
    <row r="21" spans="1:8" ht="15.6" x14ac:dyDescent="0.3">
      <c r="B21" s="88" t="s">
        <v>101</v>
      </c>
      <c r="C21" s="89"/>
      <c r="D21" s="90">
        <v>200000</v>
      </c>
      <c r="E21" s="90">
        <v>200000</v>
      </c>
      <c r="F21" s="90">
        <v>0</v>
      </c>
      <c r="G21" s="90">
        <v>266909.45999999996</v>
      </c>
      <c r="H21" s="90">
        <v>66909.459999999963</v>
      </c>
    </row>
    <row r="22" spans="1:8" ht="15.6" x14ac:dyDescent="0.3">
      <c r="A22" s="88" t="s">
        <v>102</v>
      </c>
      <c r="B22" s="89"/>
      <c r="C22" s="89"/>
      <c r="D22" s="91">
        <v>5050000</v>
      </c>
      <c r="E22" s="91">
        <v>5050000</v>
      </c>
      <c r="F22" s="91">
        <v>0</v>
      </c>
      <c r="G22" s="91">
        <v>6983228.7179999994</v>
      </c>
      <c r="H22" s="91">
        <v>1933228.7179999999</v>
      </c>
    </row>
    <row r="23" spans="1:8" ht="15.6" x14ac:dyDescent="0.3">
      <c r="A23" s="88" t="s">
        <v>103</v>
      </c>
      <c r="B23" s="85"/>
      <c r="C23" s="85"/>
      <c r="D23" s="86"/>
      <c r="E23" s="86"/>
      <c r="F23" s="86"/>
      <c r="G23" s="87"/>
      <c r="H23" s="86"/>
    </row>
    <row r="24" spans="1:8" ht="15.6" x14ac:dyDescent="0.3">
      <c r="A24" s="88" t="s">
        <v>104</v>
      </c>
      <c r="B24" s="89"/>
      <c r="C24" s="89"/>
      <c r="D24" s="90">
        <v>225460270</v>
      </c>
      <c r="E24" s="90">
        <v>225460270</v>
      </c>
      <c r="F24" s="90">
        <v>0</v>
      </c>
      <c r="G24" s="90">
        <v>225475245</v>
      </c>
      <c r="H24" s="90">
        <v>14975</v>
      </c>
    </row>
    <row r="25" spans="1:8" ht="15.6" x14ac:dyDescent="0.3">
      <c r="A25" s="88" t="s">
        <v>105</v>
      </c>
      <c r="B25" s="89"/>
      <c r="C25" s="89"/>
      <c r="D25" s="90"/>
      <c r="E25" s="90"/>
      <c r="F25" s="90"/>
      <c r="G25" s="92"/>
      <c r="H25" s="90"/>
    </row>
    <row r="26" spans="1:8" ht="15.6" x14ac:dyDescent="0.3">
      <c r="A26" s="88" t="s">
        <v>106</v>
      </c>
      <c r="B26" s="89"/>
      <c r="C26" s="89"/>
      <c r="D26" s="90"/>
      <c r="E26" s="90"/>
      <c r="F26" s="90"/>
      <c r="G26" s="92"/>
      <c r="H26" s="90"/>
    </row>
    <row r="27" spans="1:8" ht="15.6" x14ac:dyDescent="0.3">
      <c r="B27" s="88" t="s">
        <v>107</v>
      </c>
      <c r="C27" s="89"/>
      <c r="D27" s="90"/>
      <c r="E27" s="90"/>
      <c r="F27" s="90"/>
      <c r="G27" s="92"/>
      <c r="H27" s="90"/>
    </row>
    <row r="28" spans="1:8" ht="15.6" x14ac:dyDescent="0.3">
      <c r="B28" s="88" t="s">
        <v>108</v>
      </c>
      <c r="C28" s="89"/>
      <c r="D28" s="90"/>
      <c r="E28" s="90"/>
      <c r="F28" s="90"/>
      <c r="G28" s="92"/>
      <c r="H28" s="90"/>
    </row>
    <row r="29" spans="1:8" ht="15.6" x14ac:dyDescent="0.3">
      <c r="B29" s="88" t="s">
        <v>109</v>
      </c>
      <c r="C29" s="89"/>
      <c r="D29" s="90"/>
      <c r="E29" s="90"/>
      <c r="F29" s="90"/>
      <c r="G29" s="92"/>
      <c r="H29" s="90"/>
    </row>
    <row r="30" spans="1:8" ht="15.6" x14ac:dyDescent="0.3">
      <c r="B30" s="88" t="s">
        <v>110</v>
      </c>
      <c r="C30" s="89"/>
      <c r="D30" s="90"/>
      <c r="E30" s="90">
        <v>21110638</v>
      </c>
      <c r="F30" s="90">
        <v>21110638</v>
      </c>
      <c r="G30" s="90">
        <v>13599588</v>
      </c>
      <c r="H30" s="90">
        <v>-7511050</v>
      </c>
    </row>
    <row r="31" spans="1:8" ht="15.6" x14ac:dyDescent="0.3">
      <c r="A31" s="88" t="s">
        <v>111</v>
      </c>
      <c r="B31" s="85"/>
      <c r="C31" s="85"/>
      <c r="D31" s="86"/>
      <c r="E31" s="86"/>
      <c r="F31" s="90"/>
      <c r="G31" s="87"/>
      <c r="H31" s="90"/>
    </row>
    <row r="32" spans="1:8" ht="15.6" x14ac:dyDescent="0.3">
      <c r="B32" s="88" t="s">
        <v>112</v>
      </c>
      <c r="C32" s="89"/>
      <c r="D32" s="90"/>
      <c r="E32" s="90"/>
      <c r="F32" s="90"/>
      <c r="G32" s="92"/>
      <c r="H32" s="90"/>
    </row>
    <row r="33" spans="1:8" ht="15.6" x14ac:dyDescent="0.3">
      <c r="B33" s="88" t="s">
        <v>113</v>
      </c>
      <c r="C33" s="89"/>
      <c r="D33" s="90"/>
      <c r="E33" s="90"/>
      <c r="F33" s="90"/>
      <c r="G33" s="92"/>
      <c r="H33" s="90"/>
    </row>
    <row r="34" spans="1:8" ht="15.6" x14ac:dyDescent="0.3">
      <c r="A34" s="88" t="s">
        <v>114</v>
      </c>
      <c r="B34" s="85"/>
      <c r="C34" s="85"/>
      <c r="D34" s="90"/>
      <c r="E34" s="90"/>
      <c r="F34" s="90"/>
      <c r="G34" s="92"/>
      <c r="H34" s="90"/>
    </row>
    <row r="35" spans="1:8" ht="15.6" x14ac:dyDescent="0.3">
      <c r="A35" s="88" t="s">
        <v>115</v>
      </c>
      <c r="B35" s="85"/>
      <c r="C35" s="85"/>
      <c r="D35" s="90"/>
      <c r="E35" s="90"/>
      <c r="F35" s="90"/>
      <c r="G35" s="87"/>
      <c r="H35" s="90"/>
    </row>
    <row r="36" spans="1:8" ht="15.6" x14ac:dyDescent="0.3">
      <c r="B36" s="88" t="s">
        <v>116</v>
      </c>
      <c r="C36" s="89"/>
      <c r="D36" s="90"/>
      <c r="E36" s="90"/>
      <c r="F36" s="90"/>
      <c r="G36" s="92">
        <v>11155.37</v>
      </c>
      <c r="H36" s="90">
        <v>11155.37</v>
      </c>
    </row>
    <row r="37" spans="1:8" ht="15.6" x14ac:dyDescent="0.3">
      <c r="B37" s="88" t="s">
        <v>117</v>
      </c>
      <c r="C37" s="89"/>
      <c r="D37" s="90"/>
      <c r="E37" s="90"/>
      <c r="F37" s="90"/>
      <c r="G37" s="92"/>
      <c r="H37" s="90"/>
    </row>
    <row r="38" spans="1:8" ht="15.6" x14ac:dyDescent="0.3">
      <c r="B38" s="88" t="s">
        <v>118</v>
      </c>
      <c r="C38" s="89"/>
      <c r="D38" s="90"/>
      <c r="E38" s="90"/>
      <c r="F38" s="90"/>
      <c r="G38" s="92"/>
      <c r="H38" s="90"/>
    </row>
    <row r="39" spans="1:8" s="93" customFormat="1" ht="15.6" x14ac:dyDescent="0.3">
      <c r="A39" s="84" t="s">
        <v>119</v>
      </c>
      <c r="B39" s="94"/>
      <c r="C39" s="94"/>
      <c r="D39" s="95">
        <v>237310270</v>
      </c>
      <c r="E39" s="95">
        <v>258420908</v>
      </c>
      <c r="F39" s="95">
        <v>21110638</v>
      </c>
      <c r="G39" s="95">
        <v>254539858.30000001</v>
      </c>
      <c r="H39" s="95">
        <v>3630000.2999999989</v>
      </c>
    </row>
    <row r="40" spans="1:8" ht="15.6" x14ac:dyDescent="0.3">
      <c r="A40" s="84" t="s">
        <v>120</v>
      </c>
      <c r="B40" s="85"/>
      <c r="C40" s="85"/>
      <c r="D40" s="86"/>
      <c r="E40" s="86"/>
      <c r="F40" s="86"/>
      <c r="G40" s="87"/>
      <c r="H40" s="86"/>
    </row>
    <row r="41" spans="1:8" ht="15.6" x14ac:dyDescent="0.3">
      <c r="A41" s="84" t="s">
        <v>121</v>
      </c>
      <c r="B41" s="85"/>
      <c r="C41" s="85"/>
      <c r="D41" s="86"/>
      <c r="E41" s="86"/>
      <c r="F41" s="86"/>
      <c r="G41" s="87"/>
      <c r="H41" s="86"/>
    </row>
    <row r="42" spans="1:8" ht="15.6" x14ac:dyDescent="0.3">
      <c r="B42" s="88" t="s">
        <v>122</v>
      </c>
      <c r="C42" s="85"/>
      <c r="D42" s="90">
        <v>46543593</v>
      </c>
      <c r="E42" s="90">
        <v>51493270.230000004</v>
      </c>
      <c r="F42" s="90">
        <v>4949677.2300000042</v>
      </c>
      <c r="G42" s="92">
        <v>43849105.470000006</v>
      </c>
      <c r="H42" s="90">
        <v>7644164.7599999979</v>
      </c>
    </row>
    <row r="43" spans="1:8" ht="15.6" x14ac:dyDescent="0.3">
      <c r="B43" s="88" t="s">
        <v>123</v>
      </c>
      <c r="C43" s="85"/>
      <c r="D43" s="90">
        <v>50692902</v>
      </c>
      <c r="E43" s="90">
        <v>60627123.549999997</v>
      </c>
      <c r="F43" s="90">
        <v>9934221.549999997</v>
      </c>
      <c r="G43" s="92">
        <v>56399812.249999993</v>
      </c>
      <c r="H43" s="90">
        <v>4227311.3000000045</v>
      </c>
    </row>
    <row r="44" spans="1:8" ht="15.6" x14ac:dyDescent="0.3">
      <c r="B44" s="88" t="s">
        <v>124</v>
      </c>
      <c r="C44" s="85"/>
      <c r="D44" s="90"/>
      <c r="E44" s="90">
        <v>20206688.379999999</v>
      </c>
      <c r="F44" s="90">
        <v>20206688.379999999</v>
      </c>
      <c r="G44" s="92">
        <v>7707003.7199999997</v>
      </c>
      <c r="H44" s="90">
        <v>12499684.66</v>
      </c>
    </row>
    <row r="45" spans="1:8" ht="15.6" x14ac:dyDescent="0.3">
      <c r="A45" s="84" t="s">
        <v>125</v>
      </c>
      <c r="B45" s="85"/>
      <c r="C45" s="85"/>
      <c r="D45" s="86"/>
      <c r="E45" s="86"/>
      <c r="F45" s="90"/>
      <c r="G45" s="87"/>
      <c r="H45" s="90"/>
    </row>
    <row r="46" spans="1:8" ht="15.6" x14ac:dyDescent="0.3">
      <c r="B46" s="88" t="s">
        <v>122</v>
      </c>
      <c r="C46" s="85"/>
      <c r="D46" s="90"/>
      <c r="E46" s="90"/>
      <c r="F46" s="90"/>
      <c r="G46" s="92"/>
      <c r="H46" s="90"/>
    </row>
    <row r="47" spans="1:8" ht="15.6" x14ac:dyDescent="0.3">
      <c r="B47" s="88" t="s">
        <v>123</v>
      </c>
      <c r="C47" s="85"/>
      <c r="D47" s="90">
        <v>15424000</v>
      </c>
      <c r="E47" s="90">
        <v>20276808.18</v>
      </c>
      <c r="F47" s="90">
        <v>4852808.18</v>
      </c>
      <c r="G47" s="92">
        <v>18445832.800000001</v>
      </c>
      <c r="H47" s="90">
        <v>1830975.379999999</v>
      </c>
    </row>
    <row r="48" spans="1:8" ht="15.6" x14ac:dyDescent="0.3">
      <c r="B48" s="88" t="s">
        <v>124</v>
      </c>
      <c r="C48" s="85"/>
      <c r="D48" s="90"/>
      <c r="E48" s="90"/>
      <c r="F48" s="90"/>
      <c r="G48" s="92"/>
      <c r="H48" s="90"/>
    </row>
    <row r="49" spans="1:8" ht="15.6" x14ac:dyDescent="0.3">
      <c r="A49" s="84" t="s">
        <v>126</v>
      </c>
      <c r="B49" s="85"/>
      <c r="C49" s="85"/>
      <c r="D49" s="86"/>
      <c r="E49" s="86"/>
      <c r="F49" s="90"/>
      <c r="G49" s="87"/>
      <c r="H49" s="90"/>
    </row>
    <row r="50" spans="1:8" ht="15.6" x14ac:dyDescent="0.3">
      <c r="B50" s="88" t="s">
        <v>122</v>
      </c>
      <c r="C50" s="85"/>
      <c r="D50" s="90">
        <v>9644380</v>
      </c>
      <c r="E50" s="90">
        <v>9644380</v>
      </c>
      <c r="F50" s="90">
        <v>0</v>
      </c>
      <c r="G50" s="92">
        <v>9733547</v>
      </c>
      <c r="H50" s="90">
        <v>-89167</v>
      </c>
    </row>
    <row r="51" spans="1:8" ht="15.6" x14ac:dyDescent="0.3">
      <c r="B51" s="88" t="s">
        <v>123</v>
      </c>
      <c r="C51" s="85"/>
      <c r="D51" s="90">
        <v>14059550</v>
      </c>
      <c r="E51" s="90">
        <v>14800057</v>
      </c>
      <c r="F51" s="90">
        <v>740507</v>
      </c>
      <c r="G51" s="92">
        <v>12393254.629999999</v>
      </c>
      <c r="H51" s="90">
        <v>2406802.370000001</v>
      </c>
    </row>
    <row r="52" spans="1:8" ht="15.6" x14ac:dyDescent="0.3">
      <c r="B52" s="88" t="s">
        <v>124</v>
      </c>
      <c r="C52" s="89"/>
      <c r="D52" s="90"/>
      <c r="E52" s="90"/>
      <c r="F52" s="90">
        <v>0</v>
      </c>
      <c r="G52" s="92"/>
      <c r="H52" s="90">
        <v>0</v>
      </c>
    </row>
    <row r="53" spans="1:8" ht="15.6" x14ac:dyDescent="0.3">
      <c r="A53" s="84" t="s">
        <v>127</v>
      </c>
      <c r="B53" s="89"/>
      <c r="C53" s="89"/>
      <c r="D53" s="90"/>
      <c r="E53" s="90"/>
      <c r="F53" s="90">
        <v>0</v>
      </c>
      <c r="G53" s="92"/>
      <c r="H53" s="90">
        <v>0</v>
      </c>
    </row>
    <row r="54" spans="1:8" ht="15.6" x14ac:dyDescent="0.3">
      <c r="B54" s="88" t="s">
        <v>122</v>
      </c>
      <c r="C54" s="89"/>
      <c r="D54" s="90"/>
      <c r="E54" s="90"/>
      <c r="F54" s="90">
        <v>0</v>
      </c>
      <c r="G54" s="92"/>
      <c r="H54" s="90">
        <v>0</v>
      </c>
    </row>
    <row r="55" spans="1:8" ht="15.6" x14ac:dyDescent="0.3">
      <c r="B55" s="88" t="s">
        <v>123</v>
      </c>
      <c r="C55" s="89"/>
      <c r="D55" s="90">
        <v>425000</v>
      </c>
      <c r="E55" s="90">
        <v>425000</v>
      </c>
      <c r="F55" s="90">
        <v>0</v>
      </c>
      <c r="G55" s="92"/>
      <c r="H55" s="90">
        <v>425000</v>
      </c>
    </row>
    <row r="56" spans="1:8" ht="15.6" x14ac:dyDescent="0.3">
      <c r="B56" s="88" t="s">
        <v>124</v>
      </c>
      <c r="C56" s="89"/>
      <c r="D56" s="90"/>
      <c r="E56" s="90"/>
      <c r="F56" s="90">
        <v>0</v>
      </c>
      <c r="G56" s="92"/>
      <c r="H56" s="90">
        <v>0</v>
      </c>
    </row>
    <row r="57" spans="1:8" ht="15.6" x14ac:dyDescent="0.3">
      <c r="A57" s="84" t="s">
        <v>128</v>
      </c>
      <c r="B57" s="89"/>
      <c r="C57" s="89"/>
      <c r="D57" s="90"/>
      <c r="E57" s="90"/>
      <c r="F57" s="90">
        <v>0</v>
      </c>
      <c r="G57" s="92"/>
      <c r="H57" s="90">
        <v>0</v>
      </c>
    </row>
    <row r="58" spans="1:8" ht="15.6" x14ac:dyDescent="0.3">
      <c r="B58" s="88" t="s">
        <v>122</v>
      </c>
      <c r="C58" s="89"/>
      <c r="D58" s="90">
        <v>5579586</v>
      </c>
      <c r="E58" s="90">
        <v>5579586</v>
      </c>
      <c r="F58" s="90">
        <v>0</v>
      </c>
      <c r="G58" s="92">
        <v>5333539.68</v>
      </c>
      <c r="H58" s="90">
        <v>246046.3200000003</v>
      </c>
    </row>
    <row r="59" spans="1:8" ht="15.6" x14ac:dyDescent="0.3">
      <c r="B59" s="88" t="s">
        <v>123</v>
      </c>
      <c r="C59" s="89"/>
      <c r="D59" s="90">
        <v>2903500</v>
      </c>
      <c r="E59" s="90">
        <v>2903500</v>
      </c>
      <c r="F59" s="90">
        <v>0</v>
      </c>
      <c r="G59" s="92">
        <v>448617.73</v>
      </c>
      <c r="H59" s="90">
        <v>2454882.27</v>
      </c>
    </row>
    <row r="60" spans="1:8" ht="15.6" x14ac:dyDescent="0.3">
      <c r="B60" s="88" t="s">
        <v>124</v>
      </c>
      <c r="C60" s="89"/>
      <c r="D60" s="90"/>
      <c r="E60" s="90"/>
      <c r="F60" s="90">
        <v>0</v>
      </c>
      <c r="G60" s="92"/>
      <c r="H60" s="90">
        <v>0</v>
      </c>
    </row>
    <row r="61" spans="1:8" ht="15.6" x14ac:dyDescent="0.3">
      <c r="A61" s="84" t="s">
        <v>129</v>
      </c>
      <c r="B61" s="89"/>
      <c r="C61" s="89"/>
      <c r="D61" s="90"/>
      <c r="E61" s="90"/>
      <c r="F61" s="90">
        <v>0</v>
      </c>
      <c r="G61" s="92"/>
      <c r="H61" s="90">
        <v>0</v>
      </c>
    </row>
    <row r="62" spans="1:8" ht="15.6" x14ac:dyDescent="0.3">
      <c r="B62" s="88" t="s">
        <v>122</v>
      </c>
      <c r="C62" s="89"/>
      <c r="D62" s="90">
        <v>4230455</v>
      </c>
      <c r="E62" s="90">
        <v>4433362.25</v>
      </c>
      <c r="F62" s="90">
        <v>202907.25</v>
      </c>
      <c r="G62" s="92">
        <v>4031432.24</v>
      </c>
      <c r="H62" s="90">
        <v>401930.00999999978</v>
      </c>
    </row>
    <row r="63" spans="1:8" ht="15.6" x14ac:dyDescent="0.3">
      <c r="B63" s="88" t="s">
        <v>123</v>
      </c>
      <c r="C63" s="89"/>
      <c r="D63" s="90">
        <v>19677300</v>
      </c>
      <c r="E63" s="90">
        <v>34297450</v>
      </c>
      <c r="F63" s="90">
        <v>14620150</v>
      </c>
      <c r="G63" s="92">
        <v>30782819.5</v>
      </c>
      <c r="H63" s="90">
        <v>3514630.5</v>
      </c>
    </row>
    <row r="64" spans="1:8" ht="15.6" x14ac:dyDescent="0.3">
      <c r="B64" s="88" t="s">
        <v>124</v>
      </c>
      <c r="C64" s="89"/>
      <c r="D64" s="90"/>
      <c r="E64" s="90"/>
      <c r="F64" s="90">
        <v>0</v>
      </c>
      <c r="G64" s="92"/>
      <c r="H64" s="90">
        <v>0</v>
      </c>
    </row>
    <row r="65" spans="1:8" ht="15.6" x14ac:dyDescent="0.3">
      <c r="A65" s="84" t="s">
        <v>130</v>
      </c>
      <c r="B65" s="89"/>
      <c r="C65" s="89"/>
      <c r="D65" s="90"/>
      <c r="E65" s="90"/>
      <c r="F65" s="90">
        <v>0</v>
      </c>
      <c r="G65" s="92"/>
      <c r="H65" s="90">
        <v>0</v>
      </c>
    </row>
    <row r="66" spans="1:8" ht="15.6" x14ac:dyDescent="0.3">
      <c r="B66" s="88" t="s">
        <v>122</v>
      </c>
      <c r="C66" s="89"/>
      <c r="D66" s="90">
        <v>9578436</v>
      </c>
      <c r="E66" s="90">
        <v>9578436</v>
      </c>
      <c r="F66" s="90">
        <v>0</v>
      </c>
      <c r="G66" s="92">
        <v>8847267.5300000012</v>
      </c>
      <c r="H66" s="90">
        <v>731168.46999999881</v>
      </c>
    </row>
    <row r="67" spans="1:8" ht="15.6" x14ac:dyDescent="0.3">
      <c r="B67" s="88" t="s">
        <v>123</v>
      </c>
      <c r="C67" s="89"/>
      <c r="D67" s="90">
        <v>1527000</v>
      </c>
      <c r="E67" s="90">
        <v>1527000</v>
      </c>
      <c r="F67" s="90">
        <v>0</v>
      </c>
      <c r="G67" s="92">
        <v>1191429.3999999999</v>
      </c>
      <c r="H67" s="90">
        <v>335570.60000000009</v>
      </c>
    </row>
    <row r="68" spans="1:8" ht="15.6" x14ac:dyDescent="0.3">
      <c r="B68" s="88" t="s">
        <v>124</v>
      </c>
      <c r="C68" s="89"/>
      <c r="D68" s="90"/>
      <c r="E68" s="90"/>
      <c r="F68" s="90">
        <v>0</v>
      </c>
      <c r="G68" s="92"/>
      <c r="H68" s="90">
        <v>0</v>
      </c>
    </row>
    <row r="69" spans="1:8" ht="15.6" x14ac:dyDescent="0.3">
      <c r="A69" s="84" t="s">
        <v>131</v>
      </c>
      <c r="B69" s="89"/>
      <c r="C69" s="89"/>
      <c r="D69" s="90"/>
      <c r="E69" s="90"/>
      <c r="F69" s="90">
        <v>0</v>
      </c>
      <c r="G69" s="92"/>
      <c r="H69" s="90">
        <v>0</v>
      </c>
    </row>
    <row r="70" spans="1:8" ht="15.6" x14ac:dyDescent="0.3">
      <c r="A70" s="88" t="s">
        <v>132</v>
      </c>
      <c r="B70" s="89"/>
      <c r="C70" s="89"/>
      <c r="D70" s="90"/>
      <c r="E70" s="90"/>
      <c r="F70" s="90">
        <v>0</v>
      </c>
      <c r="G70" s="92"/>
      <c r="H70" s="90">
        <v>0</v>
      </c>
    </row>
    <row r="71" spans="1:8" ht="15.6" x14ac:dyDescent="0.3">
      <c r="A71" s="88" t="s">
        <v>133</v>
      </c>
      <c r="B71" s="89"/>
      <c r="C71" s="89"/>
      <c r="D71" s="90"/>
      <c r="E71" s="90"/>
      <c r="F71" s="90">
        <v>0</v>
      </c>
      <c r="G71" s="92"/>
      <c r="H71" s="90">
        <v>0</v>
      </c>
    </row>
    <row r="72" spans="1:8" ht="15.6" x14ac:dyDescent="0.3">
      <c r="A72" s="88" t="s">
        <v>134</v>
      </c>
      <c r="B72" s="89"/>
      <c r="C72" s="89"/>
      <c r="D72" s="90"/>
      <c r="E72" s="90"/>
      <c r="F72" s="90">
        <v>0</v>
      </c>
      <c r="G72" s="92"/>
      <c r="H72" s="90">
        <v>0</v>
      </c>
    </row>
    <row r="73" spans="1:8" ht="15.6" x14ac:dyDescent="0.3">
      <c r="A73" s="88" t="s">
        <v>135</v>
      </c>
      <c r="B73" s="89"/>
      <c r="C73" s="89"/>
      <c r="D73" s="90"/>
      <c r="E73" s="90"/>
      <c r="F73" s="90">
        <v>0</v>
      </c>
      <c r="G73" s="92"/>
      <c r="H73" s="90">
        <v>0</v>
      </c>
    </row>
    <row r="74" spans="1:8" ht="15.6" x14ac:dyDescent="0.3">
      <c r="B74" s="88" t="s">
        <v>123</v>
      </c>
      <c r="C74" s="89"/>
      <c r="D74" s="90"/>
      <c r="E74" s="90"/>
      <c r="F74" s="90">
        <v>0</v>
      </c>
      <c r="G74" s="92"/>
      <c r="H74" s="90">
        <v>0</v>
      </c>
    </row>
    <row r="75" spans="1:8" ht="15.6" x14ac:dyDescent="0.3">
      <c r="B75" s="88" t="s">
        <v>124</v>
      </c>
      <c r="C75" s="89"/>
      <c r="D75" s="90"/>
      <c r="E75" s="90"/>
      <c r="F75" s="90">
        <v>0</v>
      </c>
      <c r="G75" s="92"/>
      <c r="H75" s="90">
        <v>0</v>
      </c>
    </row>
    <row r="76" spans="1:8" ht="15.6" x14ac:dyDescent="0.3">
      <c r="A76" s="88" t="s">
        <v>136</v>
      </c>
      <c r="B76" s="89"/>
      <c r="C76" s="89"/>
      <c r="D76" s="90"/>
      <c r="E76" s="90"/>
      <c r="F76" s="90">
        <v>0</v>
      </c>
      <c r="G76" s="92"/>
      <c r="H76" s="90">
        <v>0</v>
      </c>
    </row>
    <row r="77" spans="1:8" ht="15.6" x14ac:dyDescent="0.3">
      <c r="B77" s="88" t="s">
        <v>123</v>
      </c>
      <c r="C77" s="89"/>
      <c r="D77" s="90"/>
      <c r="E77" s="90"/>
      <c r="F77" s="90">
        <v>0</v>
      </c>
      <c r="G77" s="92"/>
      <c r="H77" s="90">
        <v>0</v>
      </c>
    </row>
    <row r="78" spans="1:8" ht="15.6" x14ac:dyDescent="0.3">
      <c r="B78" s="88" t="s">
        <v>124</v>
      </c>
      <c r="C78" s="89"/>
      <c r="D78" s="13"/>
      <c r="E78" s="13"/>
      <c r="F78" s="90">
        <v>0</v>
      </c>
      <c r="G78" s="92"/>
      <c r="H78" s="90">
        <v>0</v>
      </c>
    </row>
    <row r="79" spans="1:8" ht="15.6" x14ac:dyDescent="0.3">
      <c r="A79" s="88" t="s">
        <v>137</v>
      </c>
      <c r="B79" s="89"/>
      <c r="C79" s="89"/>
      <c r="D79" s="90"/>
      <c r="E79" s="90"/>
      <c r="F79" s="90">
        <v>0</v>
      </c>
      <c r="G79" s="92"/>
      <c r="H79" s="90">
        <v>0</v>
      </c>
    </row>
    <row r="80" spans="1:8" ht="15.6" x14ac:dyDescent="0.3">
      <c r="B80" s="88" t="s">
        <v>122</v>
      </c>
      <c r="C80" s="94"/>
      <c r="D80" s="90"/>
      <c r="E80" s="90"/>
      <c r="F80" s="90">
        <v>0</v>
      </c>
      <c r="G80" s="92"/>
      <c r="H80" s="90">
        <v>0</v>
      </c>
    </row>
    <row r="81" spans="1:8" ht="15.6" x14ac:dyDescent="0.3">
      <c r="B81" s="88" t="s">
        <v>123</v>
      </c>
      <c r="C81" s="94"/>
      <c r="D81" s="90">
        <v>8532514</v>
      </c>
      <c r="E81" s="90">
        <v>8532514</v>
      </c>
      <c r="F81" s="90">
        <v>0</v>
      </c>
      <c r="G81" s="92">
        <v>5334862.67</v>
      </c>
      <c r="H81" s="90">
        <v>3197651.33</v>
      </c>
    </row>
    <row r="82" spans="1:8" ht="15.6" x14ac:dyDescent="0.3">
      <c r="B82" s="88" t="s">
        <v>124</v>
      </c>
      <c r="C82" s="94"/>
      <c r="D82" s="90">
        <v>48492054</v>
      </c>
      <c r="E82" s="90">
        <v>48492054</v>
      </c>
      <c r="F82" s="90">
        <v>0</v>
      </c>
      <c r="G82" s="92">
        <v>30354691.220000003</v>
      </c>
      <c r="H82" s="90">
        <v>18137362.779999997</v>
      </c>
    </row>
    <row r="83" spans="1:8" ht="15.6" x14ac:dyDescent="0.3">
      <c r="A83" s="84" t="s">
        <v>138</v>
      </c>
      <c r="B83" s="94"/>
      <c r="C83" s="94"/>
      <c r="D83" s="95">
        <v>237310270</v>
      </c>
      <c r="E83" s="95">
        <v>292817229.59000003</v>
      </c>
      <c r="F83" s="95">
        <v>55506959.589999996</v>
      </c>
      <c r="G83" s="95">
        <v>234853215.84</v>
      </c>
      <c r="H83" s="95">
        <v>57964013.75</v>
      </c>
    </row>
    <row r="84" spans="1:8" ht="16.2" thickBot="1" x14ac:dyDescent="0.35">
      <c r="A84" s="84" t="s">
        <v>17</v>
      </c>
      <c r="B84" s="94"/>
      <c r="C84" s="94"/>
      <c r="D84" s="96"/>
      <c r="E84" s="96"/>
      <c r="F84" s="96"/>
      <c r="G84" s="96">
        <v>19686642.460000008</v>
      </c>
      <c r="H84" s="97"/>
    </row>
    <row r="85" spans="1:8" ht="15.75" customHeight="1" thickTop="1" x14ac:dyDescent="0.3"/>
  </sheetData>
  <sheetProtection algorithmName="SHA-512" hashValue="lpM9KEk0+EDQlWY2sNwMSU3T6qEFuBmLOfrXVyouNx7PGdfCE/oSSj1xFQC2NakU0x3pgZE+TXQLNO3cf2k/vA==" saltValue="LGsziqdDKOOoMg22ml9vCw==" spinCount="100000" sheet="1" objects="1" scenarios="1" selectLockedCells="1" selectUnlockedCells="1"/>
  <mergeCells count="13">
    <mergeCell ref="A1:H1"/>
    <mergeCell ref="A2:H2"/>
    <mergeCell ref="A3:H3"/>
    <mergeCell ref="A4:H4"/>
    <mergeCell ref="A5:H5"/>
    <mergeCell ref="A6:H6"/>
    <mergeCell ref="H8:H9"/>
    <mergeCell ref="B8:B9"/>
    <mergeCell ref="C8:C9"/>
    <mergeCell ref="D8:E9"/>
    <mergeCell ref="F8:F9"/>
    <mergeCell ref="G8:G9"/>
    <mergeCell ref="A8:A9"/>
  </mergeCells>
  <printOptions horizontalCentered="1"/>
  <pageMargins left="1" right="1" top="1" bottom="1" header="0.5" footer="0.5"/>
  <pageSetup scale="48" orientation="portrait" horizontalDpi="300" verticalDpi="300" r:id="rId1"/>
  <headerFooter scaleWithDoc="0">
    <oddFooter>&amp;C9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SFPosition</vt:lpstr>
      <vt:lpstr>SFPerformance</vt:lpstr>
      <vt:lpstr>SCNAE</vt:lpstr>
      <vt:lpstr>SCashFlows</vt:lpstr>
      <vt:lpstr>SCBAA</vt:lpstr>
      <vt:lpstr>SCashFlows!Print_Area</vt:lpstr>
      <vt:lpstr>SCBAA!Print_Area</vt:lpstr>
      <vt:lpstr>SCNAE!Print_Area</vt:lpstr>
      <vt:lpstr>SFPerformance!Print_Area</vt:lpstr>
      <vt:lpstr>SFPosition!Print_Area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Consolidated Financial Statements</dc:title>
  <dc:subject/>
  <dc:creator>COA - Amulung, Cagayan</dc:creator>
  <dc:description/>
  <cp:lastModifiedBy>Ben A. Lazo Jr.</cp:lastModifiedBy>
  <cp:revision>3</cp:revision>
  <cp:lastPrinted>2026-10-15T02:53:50Z</cp:lastPrinted>
  <dcterms:created xsi:type="dcterms:W3CDTF">2023-04-27T06:26:41Z</dcterms:created>
  <dcterms:modified xsi:type="dcterms:W3CDTF">2026-10-15T02:54:04Z</dcterms:modified>
  <dc:language>en-PH</dc:language>
</cp:coreProperties>
</file>