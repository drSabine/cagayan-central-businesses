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C:\Users\coa\Official Files\OFFICIAL FILES\AAR\CY 2025\For Processing\10-16-26\Region 2\Final\Baggao_Cagayan_aar2025\AAR\"/>
    </mc:Choice>
  </mc:AlternateContent>
  <xr:revisionPtr revIDLastSave="0" documentId="8_{1DAD5254-3E7D-48CB-B739-C122A54C7C07}" xr6:coauthVersionLast="47" xr6:coauthVersionMax="47" xr10:uidLastSave="{00000000-0000-0000-0000-000000000000}"/>
  <bookViews>
    <workbookView xWindow="-110" yWindow="-110" windowWidth="19420" windowHeight="10300" tabRatio="947" firstSheet="9" activeTab="14" xr2:uid="{00000000-000D-0000-FFFF-FFFF00000000}"/>
  </bookViews>
  <sheets>
    <sheet name="Conso CF" sheetId="8" state="hidden" r:id="rId1"/>
    <sheet name="Conso BS" sheetId="5" state="hidden" r:id="rId2"/>
    <sheet name="Conso ISE" sheetId="7" state="hidden" r:id="rId3"/>
    <sheet name="Flyleaf" sheetId="97" r:id="rId4"/>
    <sheet name="A - SMR" sheetId="98" r:id="rId5"/>
    <sheet name="B-1 (Detailed SFPos - GF)" sheetId="83" r:id="rId6"/>
    <sheet name="B-2 (Detailed SFPos - SEF)" sheetId="84" r:id="rId7"/>
    <sheet name="B-3 (Detailed SFPos - TF)" sheetId="85" r:id="rId8"/>
    <sheet name="C-1 (Detailed SFPerf - GF)" sheetId="86" r:id="rId9"/>
    <sheet name="C-2 (Detailed SFPerf - SEF)" sheetId="87" r:id="rId10"/>
    <sheet name="C-3 (Detailed SFPerf - TF)" sheetId="92" r:id="rId11"/>
    <sheet name="D-1 (GF)" sheetId="72" r:id="rId12"/>
    <sheet name="D-2 (SEF)" sheetId="73" r:id="rId13"/>
    <sheet name="D-3 (TF)" sheetId="74" r:id="rId14"/>
    <sheet name="E-1(GF)" sheetId="69" r:id="rId15"/>
    <sheet name="E-2(SEF)" sheetId="70" r:id="rId16"/>
    <sheet name="E-3(TF)" sheetId="71" r:id="rId17"/>
    <sheet name="F - SAAOB" sheetId="99" r:id="rId18"/>
    <sheet name="G-1" sheetId="93" r:id="rId19"/>
    <sheet name="G-2" sheetId="94" r:id="rId20"/>
    <sheet name="F-2 (first)" sheetId="81" state="hidden" r:id="rId21"/>
    <sheet name="Summary -Semi" sheetId="82" state="hidden" r:id="rId22"/>
    <sheet name="Trialbalance" sheetId="3" state="hidden" r:id="rId23"/>
  </sheets>
  <externalReferences>
    <externalReference r:id="rId24"/>
    <externalReference r:id="rId25"/>
  </externalReferences>
  <definedNames>
    <definedName name="_">'[1]Frequency - Adaptation Codes'!$I$9:$I$199</definedName>
    <definedName name="_xlnm._FilterDatabase" localSheetId="20" hidden="1">'F-2 (first)'!$A$5:$E$329</definedName>
    <definedName name="Analysis_Freq_NoAmount_CCA">'[1]Frequency - Adaptation Codes'!$I$9:$I$199</definedName>
    <definedName name="Analysis_Freq_NoAmount_CCM">'[1]Frequency - Mitigation Codes'!$I$9:$I$99</definedName>
    <definedName name="Analysis_Freq_NoAmount_Overall">'[1]Frequency - All Codes'!$I$9:$I$290</definedName>
    <definedName name="Analysis_Freq_Overall">'[1]Frequency - All Codes'!$G$9:$G$290</definedName>
    <definedName name="DB_Amount_CC_Adaptation">'[1]AIP CCET Data Bank - CityMuni'!$R$10:$R$15009</definedName>
    <definedName name="DB_Amount_CC_Mitigation">'[1]AIP CCET Data Bank - CityMuni'!$S$10:$S$15009</definedName>
    <definedName name="DB_Amount_CO">'[1]AIP CCET Data Bank - CityMuni'!$P$10:$P$15009</definedName>
    <definedName name="DB_Amount_MOOE">'[1]AIP CCET Data Bank - CityMuni'!$O$10:$O$15009</definedName>
    <definedName name="DB_Amount_PS">'[1]AIP CCET Data Bank - CityMuni'!$N$10:$N$15009</definedName>
    <definedName name="DB_Amount_Total_Budget">'[1]AIP CCET Data Bank - CityMuni'!$Q$10:$Q$15009</definedName>
    <definedName name="DB_CC_Typology_Code">'[1]AIP CCET Data Bank - CityMuni'!$T$10:$T$15009</definedName>
    <definedName name="DB_Fund_Source_Standard">'[1]AIP CCET Data Bank - CityMuni'!$V$10:$V$15009</definedName>
    <definedName name="DB_Match_FS_Category">'[1]AIP CCET Data Bank - CityMuni'!$W$10:$W$15009</definedName>
    <definedName name="DB_Match_SP">'[1]AIP CCET Data Bank - CityMuni'!$AB$10:$AB$15009</definedName>
    <definedName name="Guide_Fund_Source">'[1]Guide-Standardized Fund Source'!$B$3:$B$30</definedName>
    <definedName name="Guide_Fund_Source_Category">'[1]Guide-Standardized Fund Source'!$C$3:$C$30</definedName>
    <definedName name="LGU_SumDataSheet_City_Muni">'[1]LGU SumDataSheet'!$C$8</definedName>
    <definedName name="LGU_SumDataSheet_Province">'[1]LGU SumDataSheet'!$C$7</definedName>
    <definedName name="LGU_SumDataSheet_Region">'[1]LGU SumDataSheet'!$C$6</definedName>
    <definedName name="List_HVP">'[1]HVP List'!$B$2:$B$28</definedName>
    <definedName name="_xlnm.Print_Area" localSheetId="4">'A - SMR'!$A$1:$K$54</definedName>
    <definedName name="_xlnm.Print_Area" localSheetId="5">'B-1 (Detailed SFPos - GF)'!$A$1:$F$192</definedName>
    <definedName name="_xlnm.Print_Area" localSheetId="6">'B-2 (Detailed SFPos - SEF)'!$A$1:$F$91</definedName>
    <definedName name="_xlnm.Print_Area" localSheetId="7">'B-3 (Detailed SFPos - TF)'!$A$1:$F$71</definedName>
    <definedName name="_xlnm.Print_Area" localSheetId="8">'C-1 (Detailed SFPerf - GF)'!$A$1:$F$150</definedName>
    <definedName name="_xlnm.Print_Area" localSheetId="9">'C-2 (Detailed SFPerf - SEF)'!$A$1:$F$49</definedName>
    <definedName name="_xlnm.Print_Area" localSheetId="10">'C-3 (Detailed SFPerf - TF)'!$A$1:$F$27</definedName>
    <definedName name="_xlnm.Print_Area" localSheetId="1">'Conso BS'!$A$1:$F$136</definedName>
    <definedName name="_xlnm.Print_Area" localSheetId="0">'Conso CF'!$A$1:$E$53</definedName>
    <definedName name="_xlnm.Print_Area" localSheetId="2">'Conso ISE'!$A$1:$G$199</definedName>
    <definedName name="_xlnm.Print_Area" localSheetId="11">'D-1 (GF)'!$A$1:$F$19</definedName>
    <definedName name="_xlnm.Print_Area" localSheetId="12">'D-2 (SEF)'!$A$1:$F$19</definedName>
    <definedName name="_xlnm.Print_Area" localSheetId="14">'E-1(GF)'!$A$1:$F$45</definedName>
    <definedName name="_xlnm.Print_Area" localSheetId="17">'F - SAAOB'!$A$1:$K$64</definedName>
    <definedName name="_xlnm.Print_Area" localSheetId="3">Flyleaf!$A$1:$H$36</definedName>
    <definedName name="_xlnm.Print_Area" localSheetId="18">'G-1'!$A$1:$J$31</definedName>
    <definedName name="_xlnm.Print_Area" localSheetId="19">'G-2'!$A$1:$J$32</definedName>
    <definedName name="_xlnm.Print_Area">#REF!</definedName>
    <definedName name="VCondList_Region">'[2]VCondList-LGUs'!$B$2:$B$20</definedName>
    <definedName name="VList_City_Muni">'[1]VList-LGUs'!$J$5:$J$1638</definedName>
    <definedName name="VList_City_Muni_Income_Class">'[1]VList-LGUs'!$M$5:$M$1638</definedName>
    <definedName name="VList_City_Muni_Type">'[1]VList-LGUs'!$K$5:$K$1638</definedName>
    <definedName name="VList_HVP_notHVP">'[1]VList-LGUs'!$T$5:$T$1638</definedName>
    <definedName name="VList_Province">'[1]VList-LGUs'!$B$5:$B$1638</definedName>
    <definedName name="VList_Typology_Activity">'[1]VList-Typology'!$E$3:$E$284</definedName>
    <definedName name="VList_Typology_Code">'[1]VList-Typology'!$F$3:$F$284</definedName>
    <definedName name="VList_Typology_Instrument">'[1]VList-Typology'!$C$3:$C$284</definedName>
    <definedName name="VList_Typology_Response">'[1]VList-Typology'!$D$3:$D$284</definedName>
    <definedName name="VList_Typology_Sector">'[1]VList-Typology'!$B$3:$B$284</definedName>
    <definedName name="VList_Typology_SP">'[1]VList-Typology'!$A$3:$A$284</definedName>
  </definedNames>
  <calcPr calcId="191029"/>
  <fileRecoveryPr repairLoad="1"/>
</workbook>
</file>

<file path=xl/calcChain.xml><?xml version="1.0" encoding="utf-8"?>
<calcChain xmlns="http://schemas.openxmlformats.org/spreadsheetml/2006/main">
  <c r="R351" i="3" l="1"/>
  <c r="Q351" i="3"/>
  <c r="P351" i="3"/>
  <c r="O351" i="3"/>
  <c r="N351" i="3"/>
  <c r="M351" i="3"/>
  <c r="L351" i="3"/>
  <c r="K351" i="3"/>
  <c r="J351" i="3"/>
  <c r="I351" i="3"/>
  <c r="H351" i="3"/>
  <c r="G351" i="3"/>
  <c r="F351" i="3"/>
  <c r="E351" i="3"/>
  <c r="D351" i="3"/>
  <c r="C351" i="3"/>
  <c r="L348" i="3"/>
  <c r="K348" i="3"/>
  <c r="D348" i="3"/>
  <c r="C348" i="3"/>
  <c r="L347" i="3"/>
  <c r="K347" i="3"/>
  <c r="D347" i="3"/>
  <c r="C347" i="3"/>
  <c r="L346" i="3"/>
  <c r="K346" i="3"/>
  <c r="D346" i="3"/>
  <c r="C346" i="3"/>
  <c r="L345" i="3"/>
  <c r="K345" i="3"/>
  <c r="D345" i="3"/>
  <c r="C345" i="3"/>
  <c r="L344" i="3"/>
  <c r="K344" i="3"/>
  <c r="D344" i="3"/>
  <c r="C344" i="3"/>
  <c r="L343" i="3"/>
  <c r="K343" i="3"/>
  <c r="D343" i="3"/>
  <c r="C343" i="3"/>
  <c r="L342" i="3"/>
  <c r="K342" i="3"/>
  <c r="D342" i="3"/>
  <c r="C342" i="3"/>
  <c r="L341" i="3"/>
  <c r="K341" i="3"/>
  <c r="D341" i="3"/>
  <c r="C341" i="3"/>
  <c r="L340" i="3"/>
  <c r="K340" i="3"/>
  <c r="D340" i="3"/>
  <c r="C340" i="3"/>
  <c r="L339" i="3"/>
  <c r="K339" i="3"/>
  <c r="D339" i="3"/>
  <c r="C339" i="3"/>
  <c r="L338" i="3"/>
  <c r="K338" i="3"/>
  <c r="D338" i="3"/>
  <c r="C338" i="3"/>
  <c r="L337" i="3"/>
  <c r="K337" i="3"/>
  <c r="D337" i="3"/>
  <c r="C337" i="3"/>
  <c r="L336" i="3"/>
  <c r="K336" i="3"/>
  <c r="D336" i="3"/>
  <c r="C336" i="3"/>
  <c r="L335" i="3"/>
  <c r="K335" i="3"/>
  <c r="D335" i="3"/>
  <c r="C335" i="3"/>
  <c r="L334" i="3"/>
  <c r="K334" i="3"/>
  <c r="D334" i="3"/>
  <c r="C334" i="3"/>
  <c r="L333" i="3"/>
  <c r="K333" i="3"/>
  <c r="D333" i="3"/>
  <c r="C333" i="3"/>
  <c r="L332" i="3"/>
  <c r="K332" i="3"/>
  <c r="D332" i="3"/>
  <c r="C332" i="3"/>
  <c r="L331" i="3"/>
  <c r="K331" i="3"/>
  <c r="D331" i="3"/>
  <c r="C331" i="3"/>
  <c r="L330" i="3"/>
  <c r="K330" i="3"/>
  <c r="D330" i="3"/>
  <c r="C330" i="3"/>
  <c r="L329" i="3"/>
  <c r="K329" i="3"/>
  <c r="D329" i="3"/>
  <c r="C329" i="3"/>
  <c r="L323" i="3"/>
  <c r="K323" i="3"/>
  <c r="D323" i="3"/>
  <c r="C323" i="3"/>
  <c r="L322" i="3"/>
  <c r="K322" i="3"/>
  <c r="D322" i="3"/>
  <c r="C322" i="3"/>
  <c r="L321" i="3"/>
  <c r="K321" i="3"/>
  <c r="D321" i="3"/>
  <c r="C321" i="3"/>
  <c r="L320" i="3"/>
  <c r="K320" i="3"/>
  <c r="D320" i="3"/>
  <c r="C320" i="3"/>
  <c r="L319" i="3"/>
  <c r="K319" i="3"/>
  <c r="D319" i="3"/>
  <c r="C319" i="3"/>
  <c r="L318" i="3"/>
  <c r="K318" i="3"/>
  <c r="D318" i="3"/>
  <c r="C318" i="3"/>
  <c r="D317" i="3"/>
  <c r="C317" i="3"/>
  <c r="D316" i="3"/>
  <c r="C316" i="3"/>
  <c r="L315" i="3"/>
  <c r="K315" i="3"/>
  <c r="D315" i="3"/>
  <c r="C315" i="3"/>
  <c r="L314" i="3"/>
  <c r="K314" i="3"/>
  <c r="D314" i="3"/>
  <c r="C314" i="3"/>
  <c r="L313" i="3"/>
  <c r="K313" i="3"/>
  <c r="D313" i="3"/>
  <c r="C313" i="3"/>
  <c r="L312" i="3"/>
  <c r="K312" i="3"/>
  <c r="D312" i="3"/>
  <c r="C312" i="3"/>
  <c r="L311" i="3"/>
  <c r="K311" i="3"/>
  <c r="D311" i="3"/>
  <c r="C311" i="3"/>
  <c r="L310" i="3"/>
  <c r="K310" i="3"/>
  <c r="D310" i="3"/>
  <c r="C310" i="3"/>
  <c r="L309" i="3"/>
  <c r="K309" i="3"/>
  <c r="D309" i="3"/>
  <c r="C309" i="3"/>
  <c r="L308" i="3"/>
  <c r="K308" i="3"/>
  <c r="D308" i="3"/>
  <c r="C308" i="3"/>
  <c r="L307" i="3"/>
  <c r="K307" i="3"/>
  <c r="D307" i="3"/>
  <c r="C307" i="3"/>
  <c r="L306" i="3"/>
  <c r="K306" i="3"/>
  <c r="D306" i="3"/>
  <c r="C306" i="3"/>
  <c r="L305" i="3"/>
  <c r="K305" i="3"/>
  <c r="D305" i="3"/>
  <c r="C305" i="3"/>
  <c r="L304" i="3"/>
  <c r="K304" i="3"/>
  <c r="D304" i="3"/>
  <c r="C304" i="3"/>
  <c r="L303" i="3"/>
  <c r="K303" i="3"/>
  <c r="D303" i="3"/>
  <c r="C303" i="3"/>
  <c r="L302" i="3"/>
  <c r="K302" i="3"/>
  <c r="D302" i="3"/>
  <c r="C302" i="3"/>
  <c r="L301" i="3"/>
  <c r="K301" i="3"/>
  <c r="D301" i="3"/>
  <c r="C301" i="3"/>
  <c r="L300" i="3"/>
  <c r="K300" i="3"/>
  <c r="D300" i="3"/>
  <c r="C300" i="3"/>
  <c r="L299" i="3"/>
  <c r="K299" i="3"/>
  <c r="D299" i="3"/>
  <c r="C299" i="3"/>
  <c r="L298" i="3"/>
  <c r="K298" i="3"/>
  <c r="D298" i="3"/>
  <c r="C298" i="3"/>
  <c r="L297" i="3"/>
  <c r="K297" i="3"/>
  <c r="D297" i="3"/>
  <c r="C297" i="3"/>
  <c r="L296" i="3"/>
  <c r="K296" i="3"/>
  <c r="D296" i="3"/>
  <c r="C296" i="3"/>
  <c r="L295" i="3"/>
  <c r="K295" i="3"/>
  <c r="D295" i="3"/>
  <c r="C295" i="3"/>
  <c r="L294" i="3"/>
  <c r="K294" i="3"/>
  <c r="D294" i="3"/>
  <c r="C294" i="3"/>
  <c r="L293" i="3"/>
  <c r="K293" i="3"/>
  <c r="D293" i="3"/>
  <c r="C293" i="3"/>
  <c r="L292" i="3"/>
  <c r="K292" i="3"/>
  <c r="D292" i="3"/>
  <c r="C292" i="3"/>
  <c r="L291" i="3"/>
  <c r="K291" i="3"/>
  <c r="D291" i="3"/>
  <c r="C291" i="3"/>
  <c r="L290" i="3"/>
  <c r="K290" i="3"/>
  <c r="D290" i="3"/>
  <c r="C290" i="3"/>
  <c r="L289" i="3"/>
  <c r="K289" i="3"/>
  <c r="D289" i="3"/>
  <c r="C289" i="3"/>
  <c r="L288" i="3"/>
  <c r="K288" i="3"/>
  <c r="D288" i="3"/>
  <c r="C288" i="3"/>
  <c r="L287" i="3"/>
  <c r="K287" i="3"/>
  <c r="D287" i="3"/>
  <c r="C287" i="3"/>
  <c r="L286" i="3"/>
  <c r="K286" i="3"/>
  <c r="D286" i="3"/>
  <c r="C286" i="3"/>
  <c r="L285" i="3"/>
  <c r="K285" i="3"/>
  <c r="D285" i="3"/>
  <c r="C285" i="3"/>
  <c r="L284" i="3"/>
  <c r="K284" i="3"/>
  <c r="D284" i="3"/>
  <c r="C284" i="3"/>
  <c r="L283" i="3"/>
  <c r="K283" i="3"/>
  <c r="D283" i="3"/>
  <c r="C283" i="3"/>
  <c r="D282" i="3"/>
  <c r="C282" i="3"/>
  <c r="L281" i="3"/>
  <c r="K281" i="3"/>
  <c r="D281" i="3"/>
  <c r="C281" i="3"/>
  <c r="L280" i="3"/>
  <c r="K280" i="3"/>
  <c r="D280" i="3"/>
  <c r="C280" i="3"/>
  <c r="L279" i="3"/>
  <c r="K279" i="3"/>
  <c r="D279" i="3"/>
  <c r="C279" i="3"/>
  <c r="L278" i="3"/>
  <c r="K278" i="3"/>
  <c r="D278" i="3"/>
  <c r="C278" i="3"/>
  <c r="M277" i="3"/>
  <c r="L277" i="3"/>
  <c r="K277" i="3"/>
  <c r="D277" i="3"/>
  <c r="C277" i="3"/>
  <c r="D276" i="3"/>
  <c r="C276" i="3"/>
  <c r="L275" i="3"/>
  <c r="K275" i="3"/>
  <c r="D275" i="3"/>
  <c r="C275" i="3"/>
  <c r="L274" i="3"/>
  <c r="K274" i="3"/>
  <c r="D274" i="3"/>
  <c r="C274" i="3"/>
  <c r="L273" i="3"/>
  <c r="K273" i="3"/>
  <c r="D273" i="3"/>
  <c r="C273" i="3"/>
  <c r="Q272" i="3"/>
  <c r="L272" i="3"/>
  <c r="K272" i="3"/>
  <c r="D272" i="3"/>
  <c r="C272" i="3"/>
  <c r="R214" i="3"/>
  <c r="Q214" i="3"/>
  <c r="P214" i="3"/>
  <c r="O214" i="3"/>
  <c r="N214" i="3"/>
  <c r="M214" i="3"/>
  <c r="L214" i="3"/>
  <c r="K214" i="3"/>
  <c r="J214" i="3"/>
  <c r="I214" i="3"/>
  <c r="H214" i="3"/>
  <c r="G214" i="3"/>
  <c r="F214" i="3"/>
  <c r="E214" i="3"/>
  <c r="D214" i="3"/>
  <c r="C214" i="3"/>
  <c r="D213" i="3"/>
  <c r="L212" i="3"/>
  <c r="K212" i="3"/>
  <c r="D212" i="3"/>
  <c r="C212" i="3"/>
  <c r="L211" i="3"/>
  <c r="K211" i="3"/>
  <c r="D211" i="3"/>
  <c r="C211" i="3"/>
  <c r="L210" i="3"/>
  <c r="K210" i="3"/>
  <c r="D210" i="3"/>
  <c r="C210" i="3"/>
  <c r="L209" i="3"/>
  <c r="K209" i="3"/>
  <c r="D209" i="3"/>
  <c r="C209" i="3"/>
  <c r="L208" i="3"/>
  <c r="K208" i="3"/>
  <c r="D208" i="3"/>
  <c r="C208" i="3"/>
  <c r="L197" i="3"/>
  <c r="K197" i="3"/>
  <c r="D197" i="3"/>
  <c r="C197" i="3"/>
  <c r="L196" i="3"/>
  <c r="K196" i="3"/>
  <c r="D196" i="3"/>
  <c r="C196" i="3"/>
  <c r="L195" i="3"/>
  <c r="K195" i="3"/>
  <c r="D195" i="3"/>
  <c r="C195" i="3"/>
  <c r="L194" i="3"/>
  <c r="K194" i="3"/>
  <c r="D194" i="3"/>
  <c r="C194" i="3"/>
  <c r="D193" i="3"/>
  <c r="C193" i="3"/>
  <c r="L192" i="3"/>
  <c r="K192" i="3"/>
  <c r="D192" i="3"/>
  <c r="C192" i="3"/>
  <c r="L191" i="3"/>
  <c r="K191" i="3"/>
  <c r="D191" i="3"/>
  <c r="C191" i="3"/>
  <c r="L190" i="3"/>
  <c r="K190" i="3"/>
  <c r="D190" i="3"/>
  <c r="C190" i="3"/>
  <c r="L189" i="3"/>
  <c r="K189" i="3"/>
  <c r="D189" i="3"/>
  <c r="C189" i="3"/>
  <c r="L188" i="3"/>
  <c r="K188" i="3"/>
  <c r="D188" i="3"/>
  <c r="C188" i="3"/>
  <c r="L187" i="3"/>
  <c r="K187" i="3"/>
  <c r="D187" i="3"/>
  <c r="C187" i="3"/>
  <c r="L186" i="3"/>
  <c r="K186" i="3"/>
  <c r="D186" i="3"/>
  <c r="C186" i="3"/>
  <c r="L185" i="3"/>
  <c r="K185" i="3"/>
  <c r="D185" i="3"/>
  <c r="C185" i="3"/>
  <c r="L184" i="3"/>
  <c r="K184" i="3"/>
  <c r="D184" i="3"/>
  <c r="C184" i="3"/>
  <c r="L183" i="3"/>
  <c r="K183" i="3"/>
  <c r="D183" i="3"/>
  <c r="C183" i="3"/>
  <c r="L182" i="3"/>
  <c r="K182" i="3"/>
  <c r="D182" i="3"/>
  <c r="C182" i="3"/>
  <c r="L181" i="3"/>
  <c r="K181" i="3"/>
  <c r="D181" i="3"/>
  <c r="C181" i="3"/>
  <c r="L180" i="3"/>
  <c r="K180" i="3"/>
  <c r="D180" i="3"/>
  <c r="C180" i="3"/>
  <c r="L179" i="3"/>
  <c r="K179" i="3"/>
  <c r="D179" i="3"/>
  <c r="C179" i="3"/>
  <c r="L178" i="3"/>
  <c r="K178" i="3"/>
  <c r="D178" i="3"/>
  <c r="C178" i="3"/>
  <c r="L177" i="3"/>
  <c r="K177" i="3"/>
  <c r="D177" i="3"/>
  <c r="C177" i="3"/>
  <c r="L176" i="3"/>
  <c r="K176" i="3"/>
  <c r="D176" i="3"/>
  <c r="C176" i="3"/>
  <c r="D175" i="3"/>
  <c r="C175" i="3"/>
  <c r="L174" i="3"/>
  <c r="K174" i="3"/>
  <c r="D174" i="3"/>
  <c r="C174" i="3"/>
  <c r="L173" i="3"/>
  <c r="K173" i="3"/>
  <c r="D173" i="3"/>
  <c r="C173" i="3"/>
  <c r="L172" i="3"/>
  <c r="K172" i="3"/>
  <c r="D172" i="3"/>
  <c r="C172" i="3"/>
  <c r="D171" i="3"/>
  <c r="C171" i="3"/>
  <c r="L170" i="3"/>
  <c r="K170" i="3"/>
  <c r="D170" i="3"/>
  <c r="C170" i="3"/>
  <c r="L169" i="3"/>
  <c r="K169" i="3"/>
  <c r="D169" i="3"/>
  <c r="C169" i="3"/>
  <c r="L168" i="3"/>
  <c r="K168" i="3"/>
  <c r="D168" i="3"/>
  <c r="C168" i="3"/>
  <c r="L167" i="3"/>
  <c r="K167" i="3"/>
  <c r="D167" i="3"/>
  <c r="C167" i="3"/>
  <c r="L166" i="3"/>
  <c r="K166" i="3"/>
  <c r="D166" i="3"/>
  <c r="C166" i="3"/>
  <c r="L165" i="3"/>
  <c r="K165" i="3"/>
  <c r="D165" i="3"/>
  <c r="C165" i="3"/>
  <c r="L164" i="3"/>
  <c r="K164" i="3"/>
  <c r="D164" i="3"/>
  <c r="C164" i="3"/>
  <c r="L163" i="3"/>
  <c r="K163" i="3"/>
  <c r="D163" i="3"/>
  <c r="C163" i="3"/>
  <c r="L162" i="3"/>
  <c r="K162" i="3"/>
  <c r="D162" i="3"/>
  <c r="C162" i="3"/>
  <c r="D161" i="3"/>
  <c r="C161" i="3"/>
  <c r="L160" i="3"/>
  <c r="K160" i="3"/>
  <c r="D160" i="3"/>
  <c r="C160" i="3"/>
  <c r="L159" i="3"/>
  <c r="K159" i="3"/>
  <c r="D159" i="3"/>
  <c r="C159" i="3"/>
  <c r="L158" i="3"/>
  <c r="K158" i="3"/>
  <c r="D158" i="3"/>
  <c r="C158" i="3"/>
  <c r="L157" i="3"/>
  <c r="K157" i="3"/>
  <c r="D157" i="3"/>
  <c r="C157" i="3"/>
  <c r="D156" i="3"/>
  <c r="C156" i="3"/>
  <c r="L155" i="3"/>
  <c r="K155" i="3"/>
  <c r="D155" i="3"/>
  <c r="C155" i="3"/>
  <c r="L154" i="3"/>
  <c r="K154" i="3"/>
  <c r="D154" i="3"/>
  <c r="C154" i="3"/>
  <c r="L153" i="3"/>
  <c r="K153" i="3"/>
  <c r="D153" i="3"/>
  <c r="C153" i="3"/>
  <c r="L152" i="3"/>
  <c r="K152" i="3"/>
  <c r="D152" i="3"/>
  <c r="C152" i="3"/>
  <c r="L151" i="3"/>
  <c r="K151" i="3"/>
  <c r="D151" i="3"/>
  <c r="C151" i="3"/>
  <c r="L150" i="3"/>
  <c r="K150" i="3"/>
  <c r="D150" i="3"/>
  <c r="C150" i="3"/>
  <c r="L149" i="3"/>
  <c r="K149" i="3"/>
  <c r="D149" i="3"/>
  <c r="C149" i="3"/>
  <c r="L148" i="3"/>
  <c r="K148" i="3"/>
  <c r="D148" i="3"/>
  <c r="C148" i="3"/>
  <c r="D147" i="3"/>
  <c r="C147" i="3"/>
  <c r="L146" i="3"/>
  <c r="K146" i="3"/>
  <c r="D146" i="3"/>
  <c r="C146" i="3"/>
  <c r="L145" i="3"/>
  <c r="K145" i="3"/>
  <c r="D145" i="3"/>
  <c r="C145" i="3"/>
  <c r="L144" i="3"/>
  <c r="K144" i="3"/>
  <c r="D144" i="3"/>
  <c r="C144" i="3"/>
  <c r="L143" i="3"/>
  <c r="K143" i="3"/>
  <c r="D143" i="3"/>
  <c r="C143" i="3"/>
  <c r="L142" i="3"/>
  <c r="K142" i="3"/>
  <c r="D142" i="3"/>
  <c r="C142" i="3"/>
  <c r="L141" i="3"/>
  <c r="K141" i="3"/>
  <c r="D141" i="3"/>
  <c r="C141" i="3"/>
  <c r="L140" i="3"/>
  <c r="K140" i="3"/>
  <c r="D140" i="3"/>
  <c r="C140" i="3"/>
  <c r="L139" i="3"/>
  <c r="K139" i="3"/>
  <c r="D139" i="3"/>
  <c r="C139" i="3"/>
  <c r="L138" i="3"/>
  <c r="K138" i="3"/>
  <c r="D138" i="3"/>
  <c r="C138" i="3"/>
  <c r="L137" i="3"/>
  <c r="K137" i="3"/>
  <c r="D137" i="3"/>
  <c r="C137" i="3"/>
  <c r="L130" i="3"/>
  <c r="K130" i="3"/>
  <c r="D130" i="3"/>
  <c r="C130" i="3"/>
  <c r="L129" i="3"/>
  <c r="K129" i="3"/>
  <c r="D129" i="3"/>
  <c r="C129" i="3"/>
  <c r="L128" i="3"/>
  <c r="K128" i="3"/>
  <c r="D128" i="3"/>
  <c r="C128" i="3"/>
  <c r="L127" i="3"/>
  <c r="K127" i="3"/>
  <c r="D127" i="3"/>
  <c r="C127" i="3"/>
  <c r="L126" i="3"/>
  <c r="K126" i="3"/>
  <c r="D126" i="3"/>
  <c r="C126" i="3"/>
  <c r="L125" i="3"/>
  <c r="K125" i="3"/>
  <c r="D125" i="3"/>
  <c r="C125" i="3"/>
  <c r="L124" i="3"/>
  <c r="K124" i="3"/>
  <c r="D124" i="3"/>
  <c r="C124" i="3"/>
  <c r="L123" i="3"/>
  <c r="K123" i="3"/>
  <c r="D123" i="3"/>
  <c r="C123" i="3"/>
  <c r="L122" i="3"/>
  <c r="K122" i="3"/>
  <c r="D122" i="3"/>
  <c r="C122" i="3"/>
  <c r="L121" i="3"/>
  <c r="K121" i="3"/>
  <c r="D121" i="3"/>
  <c r="C121" i="3"/>
  <c r="L120" i="3"/>
  <c r="K120" i="3"/>
  <c r="D120" i="3"/>
  <c r="C120" i="3"/>
  <c r="L119" i="3"/>
  <c r="K119" i="3"/>
  <c r="D119" i="3"/>
  <c r="C119" i="3"/>
  <c r="L118" i="3"/>
  <c r="K118" i="3"/>
  <c r="D118" i="3"/>
  <c r="C118" i="3"/>
  <c r="L117" i="3"/>
  <c r="K117" i="3"/>
  <c r="D117" i="3"/>
  <c r="C117" i="3"/>
  <c r="L116" i="3"/>
  <c r="K116" i="3"/>
  <c r="D116" i="3"/>
  <c r="C116" i="3"/>
  <c r="L115" i="3"/>
  <c r="K115" i="3"/>
  <c r="D115" i="3"/>
  <c r="C115" i="3"/>
  <c r="L114" i="3"/>
  <c r="K114" i="3"/>
  <c r="D114" i="3"/>
  <c r="C114" i="3"/>
  <c r="L113" i="3"/>
  <c r="K113" i="3"/>
  <c r="D113" i="3"/>
  <c r="C113" i="3"/>
  <c r="L112" i="3"/>
  <c r="K112" i="3"/>
  <c r="D112" i="3"/>
  <c r="C112" i="3"/>
  <c r="L111" i="3"/>
  <c r="K111" i="3"/>
  <c r="D111" i="3"/>
  <c r="C111" i="3"/>
  <c r="L110" i="3"/>
  <c r="K110" i="3"/>
  <c r="D110" i="3"/>
  <c r="C110" i="3"/>
  <c r="L109" i="3"/>
  <c r="K109" i="3"/>
  <c r="D109" i="3"/>
  <c r="C109" i="3"/>
  <c r="L108" i="3"/>
  <c r="K108" i="3"/>
  <c r="D108" i="3"/>
  <c r="C108" i="3"/>
  <c r="L107" i="3"/>
  <c r="K107" i="3"/>
  <c r="D107" i="3"/>
  <c r="C107" i="3"/>
  <c r="D106" i="3"/>
  <c r="C106" i="3"/>
  <c r="L105" i="3"/>
  <c r="K105" i="3"/>
  <c r="D105" i="3"/>
  <c r="C105" i="3"/>
  <c r="L104" i="3"/>
  <c r="K104" i="3"/>
  <c r="D104" i="3"/>
  <c r="C104" i="3"/>
  <c r="L103" i="3"/>
  <c r="K103" i="3"/>
  <c r="D103" i="3"/>
  <c r="C103" i="3"/>
  <c r="D102" i="3"/>
  <c r="C102" i="3"/>
  <c r="L101" i="3"/>
  <c r="K101" i="3"/>
  <c r="F101" i="3"/>
  <c r="D101" i="3"/>
  <c r="C101" i="3"/>
  <c r="D100" i="3"/>
  <c r="C100" i="3"/>
  <c r="L99" i="3"/>
  <c r="K99" i="3"/>
  <c r="D99" i="3"/>
  <c r="C99" i="3"/>
  <c r="L98" i="3"/>
  <c r="K98" i="3"/>
  <c r="D98" i="3"/>
  <c r="C98" i="3"/>
  <c r="L97" i="3"/>
  <c r="K97" i="3"/>
  <c r="D97" i="3"/>
  <c r="C97" i="3"/>
  <c r="L96" i="3"/>
  <c r="K96" i="3"/>
  <c r="D96" i="3"/>
  <c r="C96" i="3"/>
  <c r="L95" i="3"/>
  <c r="K95" i="3"/>
  <c r="D95" i="3"/>
  <c r="C95" i="3"/>
  <c r="L94" i="3"/>
  <c r="K94" i="3"/>
  <c r="D94" i="3"/>
  <c r="C94" i="3"/>
  <c r="L93" i="3"/>
  <c r="K93" i="3"/>
  <c r="D93" i="3"/>
  <c r="C93" i="3"/>
  <c r="L92" i="3"/>
  <c r="K92" i="3"/>
  <c r="D92" i="3"/>
  <c r="C92" i="3"/>
  <c r="L91" i="3"/>
  <c r="K91" i="3"/>
  <c r="D91" i="3"/>
  <c r="C91" i="3"/>
  <c r="L90" i="3"/>
  <c r="K90" i="3"/>
  <c r="D90" i="3"/>
  <c r="C90" i="3"/>
  <c r="L89" i="3"/>
  <c r="K89" i="3"/>
  <c r="D89" i="3"/>
  <c r="C89" i="3"/>
  <c r="L88" i="3"/>
  <c r="K88" i="3"/>
  <c r="D88" i="3"/>
  <c r="C88" i="3"/>
  <c r="D87" i="3"/>
  <c r="C87" i="3"/>
  <c r="L86" i="3"/>
  <c r="K86" i="3"/>
  <c r="D86" i="3"/>
  <c r="C86" i="3"/>
  <c r="L85" i="3"/>
  <c r="K85" i="3"/>
  <c r="D85" i="3"/>
  <c r="C85" i="3"/>
  <c r="L84" i="3"/>
  <c r="K84" i="3"/>
  <c r="D84" i="3"/>
  <c r="C84" i="3"/>
  <c r="L83" i="3"/>
  <c r="K83" i="3"/>
  <c r="D83" i="3"/>
  <c r="C83" i="3"/>
  <c r="L82" i="3"/>
  <c r="K82" i="3"/>
  <c r="D82" i="3"/>
  <c r="C82" i="3"/>
  <c r="L81" i="3"/>
  <c r="K81" i="3"/>
  <c r="D81" i="3"/>
  <c r="C81" i="3"/>
  <c r="L80" i="3"/>
  <c r="K80" i="3"/>
  <c r="D80" i="3"/>
  <c r="C80" i="3"/>
  <c r="L79" i="3"/>
  <c r="K79" i="3"/>
  <c r="D79" i="3"/>
  <c r="C79" i="3"/>
  <c r="L78" i="3"/>
  <c r="K78" i="3"/>
  <c r="D78" i="3"/>
  <c r="C78" i="3"/>
  <c r="L77" i="3"/>
  <c r="K77" i="3"/>
  <c r="D77" i="3"/>
  <c r="C77" i="3"/>
  <c r="L76" i="3"/>
  <c r="K76" i="3"/>
  <c r="D76" i="3"/>
  <c r="C76" i="3"/>
  <c r="L75" i="3"/>
  <c r="K75" i="3"/>
  <c r="D75" i="3"/>
  <c r="C75" i="3"/>
  <c r="L74" i="3"/>
  <c r="K74" i="3"/>
  <c r="D74" i="3"/>
  <c r="C74" i="3"/>
  <c r="L73" i="3"/>
  <c r="K73" i="3"/>
  <c r="D73" i="3"/>
  <c r="C73" i="3"/>
  <c r="L72" i="3"/>
  <c r="K72" i="3"/>
  <c r="D72" i="3"/>
  <c r="C72" i="3"/>
  <c r="L71" i="3"/>
  <c r="K71" i="3"/>
  <c r="D71" i="3"/>
  <c r="C71" i="3"/>
  <c r="L70" i="3"/>
  <c r="K70" i="3"/>
  <c r="D70" i="3"/>
  <c r="C70" i="3"/>
  <c r="L69" i="3"/>
  <c r="K69" i="3"/>
  <c r="D69" i="3"/>
  <c r="C69" i="3"/>
  <c r="L68" i="3"/>
  <c r="K68" i="3"/>
  <c r="D68" i="3"/>
  <c r="C68" i="3"/>
  <c r="L63" i="3"/>
  <c r="K63" i="3"/>
  <c r="D63" i="3"/>
  <c r="C63" i="3"/>
  <c r="L62" i="3"/>
  <c r="K62" i="3"/>
  <c r="D62" i="3"/>
  <c r="C62" i="3"/>
  <c r="L61" i="3"/>
  <c r="K61" i="3"/>
  <c r="D61" i="3"/>
  <c r="C61" i="3"/>
  <c r="L60" i="3"/>
  <c r="K60" i="3"/>
  <c r="D60" i="3"/>
  <c r="C60" i="3"/>
  <c r="L59" i="3"/>
  <c r="K59" i="3"/>
  <c r="D59" i="3"/>
  <c r="C59" i="3"/>
  <c r="D58" i="3"/>
  <c r="C58" i="3"/>
  <c r="L57" i="3"/>
  <c r="K57" i="3"/>
  <c r="D57" i="3"/>
  <c r="C57" i="3"/>
  <c r="L56" i="3"/>
  <c r="K56" i="3"/>
  <c r="D56" i="3"/>
  <c r="C56" i="3"/>
  <c r="L55" i="3"/>
  <c r="K55" i="3"/>
  <c r="D55" i="3"/>
  <c r="C55" i="3"/>
  <c r="L54" i="3"/>
  <c r="K54" i="3"/>
  <c r="D54" i="3"/>
  <c r="C54" i="3"/>
  <c r="D53" i="3"/>
  <c r="C53" i="3"/>
  <c r="D52" i="3"/>
  <c r="C52" i="3"/>
  <c r="L51" i="3"/>
  <c r="K51" i="3"/>
  <c r="D51" i="3"/>
  <c r="C51" i="3"/>
  <c r="L50" i="3"/>
  <c r="K50" i="3"/>
  <c r="D50" i="3"/>
  <c r="C50" i="3"/>
  <c r="L49" i="3"/>
  <c r="K49" i="3"/>
  <c r="D49" i="3"/>
  <c r="C49" i="3"/>
  <c r="L48" i="3"/>
  <c r="K48" i="3"/>
  <c r="D48" i="3"/>
  <c r="C48" i="3"/>
  <c r="L47" i="3"/>
  <c r="K47" i="3"/>
  <c r="D47" i="3"/>
  <c r="C47" i="3"/>
  <c r="L46" i="3"/>
  <c r="K46" i="3"/>
  <c r="D46" i="3"/>
  <c r="C46" i="3"/>
  <c r="L45" i="3"/>
  <c r="K45" i="3"/>
  <c r="D45" i="3"/>
  <c r="C45" i="3"/>
  <c r="L44" i="3"/>
  <c r="K44" i="3"/>
  <c r="D44" i="3"/>
  <c r="C44" i="3"/>
  <c r="L43" i="3"/>
  <c r="K43" i="3"/>
  <c r="D43" i="3"/>
  <c r="C43" i="3"/>
  <c r="L42" i="3"/>
  <c r="K42" i="3"/>
  <c r="D42" i="3"/>
  <c r="C42" i="3"/>
  <c r="L41" i="3"/>
  <c r="K41" i="3"/>
  <c r="D41" i="3"/>
  <c r="C41" i="3"/>
  <c r="L40" i="3"/>
  <c r="K40" i="3"/>
  <c r="D40" i="3"/>
  <c r="C40" i="3"/>
  <c r="L39" i="3"/>
  <c r="K39" i="3"/>
  <c r="D39" i="3"/>
  <c r="C39" i="3"/>
  <c r="L38" i="3"/>
  <c r="K38" i="3"/>
  <c r="D38" i="3"/>
  <c r="C38" i="3"/>
  <c r="L37" i="3"/>
  <c r="K37" i="3"/>
  <c r="D37" i="3"/>
  <c r="C37" i="3"/>
  <c r="L36" i="3"/>
  <c r="K36" i="3"/>
  <c r="D36" i="3"/>
  <c r="C36" i="3"/>
  <c r="L35" i="3"/>
  <c r="K35" i="3"/>
  <c r="D35" i="3"/>
  <c r="C35" i="3"/>
  <c r="L34" i="3"/>
  <c r="K34" i="3"/>
  <c r="D34" i="3"/>
  <c r="C34" i="3"/>
  <c r="L33" i="3"/>
  <c r="K33" i="3"/>
  <c r="D33" i="3"/>
  <c r="C33" i="3"/>
  <c r="L32" i="3"/>
  <c r="K32" i="3"/>
  <c r="D32" i="3"/>
  <c r="C32" i="3"/>
  <c r="L31" i="3"/>
  <c r="K31" i="3"/>
  <c r="D31" i="3"/>
  <c r="C31" i="3"/>
  <c r="L30" i="3"/>
  <c r="K30" i="3"/>
  <c r="D30" i="3"/>
  <c r="C30" i="3"/>
  <c r="L29" i="3"/>
  <c r="K29" i="3"/>
  <c r="D29" i="3"/>
  <c r="C29" i="3"/>
  <c r="L28" i="3"/>
  <c r="K28" i="3"/>
  <c r="D28" i="3"/>
  <c r="C28" i="3"/>
  <c r="L27" i="3"/>
  <c r="K27" i="3"/>
  <c r="D27" i="3"/>
  <c r="C27" i="3"/>
  <c r="L26" i="3"/>
  <c r="K26" i="3"/>
  <c r="D26" i="3"/>
  <c r="C26" i="3"/>
  <c r="L25" i="3"/>
  <c r="K25" i="3"/>
  <c r="D25" i="3"/>
  <c r="C25" i="3"/>
  <c r="L24" i="3"/>
  <c r="K24" i="3"/>
  <c r="D24" i="3"/>
  <c r="C24" i="3"/>
  <c r="L23" i="3"/>
  <c r="K23" i="3"/>
  <c r="D23" i="3"/>
  <c r="C23" i="3"/>
  <c r="L22" i="3"/>
  <c r="K22" i="3"/>
  <c r="D22" i="3"/>
  <c r="C22" i="3"/>
  <c r="L21" i="3"/>
  <c r="K21" i="3"/>
  <c r="D21" i="3"/>
  <c r="C21" i="3"/>
  <c r="D20" i="3"/>
  <c r="C20" i="3"/>
  <c r="L19" i="3"/>
  <c r="K19" i="3"/>
  <c r="D19" i="3"/>
  <c r="C19" i="3"/>
  <c r="L18" i="3"/>
  <c r="K18" i="3"/>
  <c r="D18" i="3"/>
  <c r="C18" i="3"/>
  <c r="L17" i="3"/>
  <c r="K17" i="3"/>
  <c r="D17" i="3"/>
  <c r="C17" i="3"/>
  <c r="L16" i="3"/>
  <c r="K16" i="3"/>
  <c r="D16" i="3"/>
  <c r="C16" i="3"/>
  <c r="M15" i="3"/>
  <c r="L15" i="3"/>
  <c r="K15" i="3"/>
  <c r="D15" i="3"/>
  <c r="C15" i="3"/>
  <c r="D14" i="3"/>
  <c r="C14" i="3"/>
  <c r="L13" i="3"/>
  <c r="K13" i="3"/>
  <c r="D13" i="3"/>
  <c r="C13" i="3"/>
  <c r="L12" i="3"/>
  <c r="K12" i="3"/>
  <c r="D12" i="3"/>
  <c r="C12" i="3"/>
  <c r="L11" i="3"/>
  <c r="K11" i="3"/>
  <c r="D11" i="3"/>
  <c r="C11" i="3"/>
  <c r="Q10" i="3"/>
  <c r="L10" i="3"/>
  <c r="K10" i="3"/>
  <c r="D10" i="3"/>
  <c r="C10" i="3"/>
  <c r="D10" i="82"/>
  <c r="C10" i="82"/>
  <c r="B10" i="82"/>
  <c r="E329" i="81"/>
  <c r="D329" i="81"/>
  <c r="C329" i="81"/>
  <c r="E328" i="81"/>
  <c r="D328" i="81"/>
  <c r="C328" i="81"/>
  <c r="E325" i="81"/>
  <c r="D325" i="81"/>
  <c r="C325" i="81"/>
  <c r="E321" i="81"/>
  <c r="D321" i="81"/>
  <c r="C321" i="81"/>
  <c r="E318" i="81"/>
  <c r="D318" i="81"/>
  <c r="C318" i="81"/>
  <c r="E303" i="81"/>
  <c r="D303" i="81"/>
  <c r="C303" i="81"/>
  <c r="E259" i="81"/>
  <c r="D259" i="81"/>
  <c r="C259" i="81"/>
  <c r="E252" i="81"/>
  <c r="D252" i="81"/>
  <c r="C252" i="81"/>
  <c r="E226" i="81"/>
  <c r="D226" i="81"/>
  <c r="C226" i="81"/>
  <c r="E218" i="81"/>
  <c r="D218" i="81"/>
  <c r="C218" i="81"/>
  <c r="E169" i="81"/>
  <c r="D169" i="81"/>
  <c r="C169" i="81"/>
  <c r="E165" i="81"/>
  <c r="D165" i="81"/>
  <c r="C165" i="81"/>
  <c r="E162" i="81"/>
  <c r="D162" i="81"/>
  <c r="C162" i="81"/>
  <c r="E157" i="81"/>
  <c r="D157" i="81"/>
  <c r="C157" i="81"/>
  <c r="E151" i="81"/>
  <c r="D151" i="81"/>
  <c r="C151" i="81"/>
  <c r="E140" i="81"/>
  <c r="D140" i="81"/>
  <c r="C140" i="81"/>
  <c r="E137" i="81"/>
  <c r="D137" i="81"/>
  <c r="C137" i="81"/>
  <c r="E134" i="81"/>
  <c r="D134" i="81"/>
  <c r="C134" i="81"/>
  <c r="E130" i="81"/>
  <c r="D130" i="81"/>
  <c r="C130" i="81"/>
  <c r="F71" i="85"/>
  <c r="D71" i="85"/>
  <c r="F70" i="85"/>
  <c r="D70" i="85"/>
  <c r="F69" i="85"/>
  <c r="D69" i="85"/>
  <c r="F65" i="85"/>
  <c r="D65" i="85"/>
  <c r="F58" i="85"/>
  <c r="D58" i="85"/>
  <c r="F57" i="85"/>
  <c r="D57" i="85"/>
  <c r="F56" i="85"/>
  <c r="D56" i="85"/>
  <c r="F52" i="85"/>
  <c r="D52" i="85"/>
  <c r="F51" i="85"/>
  <c r="D51" i="85"/>
  <c r="F45" i="85"/>
  <c r="D45" i="85"/>
  <c r="F42" i="85"/>
  <c r="D42" i="85"/>
  <c r="F35" i="85"/>
  <c r="D35" i="85"/>
  <c r="F29" i="85"/>
  <c r="D29" i="85"/>
  <c r="F28" i="85"/>
  <c r="D28" i="85"/>
  <c r="F27" i="85"/>
  <c r="D27" i="85"/>
  <c r="F26" i="85"/>
  <c r="D26" i="85"/>
  <c r="F19" i="85"/>
  <c r="D19" i="85"/>
  <c r="F18" i="85"/>
  <c r="D18" i="85"/>
  <c r="F15" i="85"/>
  <c r="D15" i="85"/>
  <c r="F12" i="85"/>
  <c r="D12" i="85"/>
  <c r="K203" i="7"/>
  <c r="J203" i="7"/>
  <c r="I203" i="7"/>
  <c r="H203" i="7"/>
  <c r="G203" i="7"/>
  <c r="F203" i="7"/>
  <c r="E203" i="7"/>
  <c r="D203" i="7"/>
  <c r="K199" i="7"/>
  <c r="J199" i="7"/>
  <c r="I199" i="7"/>
  <c r="H199" i="7"/>
  <c r="G199" i="7"/>
  <c r="F199" i="7"/>
  <c r="E199" i="7"/>
  <c r="D199" i="7"/>
  <c r="K198" i="7"/>
  <c r="J198" i="7"/>
  <c r="I198" i="7"/>
  <c r="H198" i="7"/>
  <c r="G198" i="7"/>
  <c r="F198" i="7"/>
  <c r="E198" i="7"/>
  <c r="D198" i="7"/>
  <c r="E197" i="7"/>
  <c r="D197" i="7"/>
  <c r="K195" i="7"/>
  <c r="J195" i="7"/>
  <c r="I195" i="7"/>
  <c r="H195" i="7"/>
  <c r="G195" i="7"/>
  <c r="F195" i="7"/>
  <c r="E195" i="7"/>
  <c r="D195" i="7"/>
  <c r="K194" i="7"/>
  <c r="J194" i="7"/>
  <c r="I194" i="7"/>
  <c r="H194" i="7"/>
  <c r="G194" i="7"/>
  <c r="F194" i="7"/>
  <c r="E194" i="7"/>
  <c r="D194" i="7"/>
  <c r="E193" i="7"/>
  <c r="D193" i="7"/>
  <c r="E192" i="7"/>
  <c r="D192" i="7"/>
  <c r="K190" i="7"/>
  <c r="J190" i="7"/>
  <c r="I190" i="7"/>
  <c r="H190" i="7"/>
  <c r="G190" i="7"/>
  <c r="F190" i="7"/>
  <c r="E190" i="7"/>
  <c r="D190" i="7"/>
  <c r="E189" i="7"/>
  <c r="D189" i="7"/>
  <c r="K187" i="7"/>
  <c r="J187" i="7"/>
  <c r="I187" i="7"/>
  <c r="H187" i="7"/>
  <c r="G187" i="7"/>
  <c r="F187" i="7"/>
  <c r="E187" i="7"/>
  <c r="D187" i="7"/>
  <c r="K185" i="7"/>
  <c r="J185" i="7"/>
  <c r="I185" i="7"/>
  <c r="H185" i="7"/>
  <c r="G185" i="7"/>
  <c r="F185" i="7"/>
  <c r="E185" i="7"/>
  <c r="D185" i="7"/>
  <c r="E184" i="7"/>
  <c r="D184" i="7"/>
  <c r="E183" i="7"/>
  <c r="D183" i="7"/>
  <c r="E182" i="7"/>
  <c r="D182" i="7"/>
  <c r="E181" i="7"/>
  <c r="D181" i="7"/>
  <c r="K179" i="7"/>
  <c r="J179" i="7"/>
  <c r="I179" i="7"/>
  <c r="H179" i="7"/>
  <c r="G179" i="7"/>
  <c r="F179" i="7"/>
  <c r="E179" i="7"/>
  <c r="D179" i="7"/>
  <c r="K178" i="7"/>
  <c r="J178" i="7"/>
  <c r="I178" i="7"/>
  <c r="H178" i="7"/>
  <c r="G178" i="7"/>
  <c r="F178" i="7"/>
  <c r="E178" i="7"/>
  <c r="D178" i="7"/>
  <c r="J177" i="7"/>
  <c r="E177" i="7"/>
  <c r="D177" i="7"/>
  <c r="E176" i="7"/>
  <c r="D176" i="7"/>
  <c r="D175" i="7"/>
  <c r="E174" i="7"/>
  <c r="D174" i="7"/>
  <c r="E173" i="7"/>
  <c r="D173" i="7"/>
  <c r="D172" i="7"/>
  <c r="E171" i="7"/>
  <c r="D171" i="7"/>
  <c r="D170" i="7"/>
  <c r="E169" i="7"/>
  <c r="D169" i="7"/>
  <c r="E168" i="7"/>
  <c r="D168" i="7"/>
  <c r="E167" i="7"/>
  <c r="D167" i="7"/>
  <c r="D166" i="7"/>
  <c r="E165" i="7"/>
  <c r="D165" i="7"/>
  <c r="E164" i="7"/>
  <c r="D164" i="7"/>
  <c r="E163" i="7"/>
  <c r="D163" i="7"/>
  <c r="E162" i="7"/>
  <c r="D162" i="7"/>
  <c r="D161" i="7"/>
  <c r="E160" i="7"/>
  <c r="D160" i="7"/>
  <c r="E159" i="7"/>
  <c r="D159" i="7"/>
  <c r="E158" i="7"/>
  <c r="D158" i="7"/>
  <c r="E157" i="7"/>
  <c r="D157" i="7"/>
  <c r="D156" i="7"/>
  <c r="E155" i="7"/>
  <c r="D155" i="7"/>
  <c r="E154" i="7"/>
  <c r="D154" i="7"/>
  <c r="E153" i="7"/>
  <c r="D153" i="7"/>
  <c r="D152" i="7"/>
  <c r="E151" i="7"/>
  <c r="D151" i="7"/>
  <c r="E150" i="7"/>
  <c r="D150" i="7"/>
  <c r="E149" i="7"/>
  <c r="D149" i="7"/>
  <c r="D148" i="7"/>
  <c r="E147" i="7"/>
  <c r="D147" i="7"/>
  <c r="E146" i="7"/>
  <c r="D146" i="7"/>
  <c r="E145" i="7"/>
  <c r="D145" i="7"/>
  <c r="E144" i="7"/>
  <c r="D144" i="7"/>
  <c r="E143" i="7"/>
  <c r="D143" i="7"/>
  <c r="E142" i="7"/>
  <c r="D142" i="7"/>
  <c r="E141" i="7"/>
  <c r="D141" i="7"/>
  <c r="E140" i="7"/>
  <c r="D140" i="7"/>
  <c r="E139" i="7"/>
  <c r="D139" i="7"/>
  <c r="E138" i="7"/>
  <c r="D138" i="7"/>
  <c r="E137" i="7"/>
  <c r="D137" i="7"/>
  <c r="E136" i="7"/>
  <c r="D136" i="7"/>
  <c r="E135" i="7"/>
  <c r="D135" i="7"/>
  <c r="E134" i="7"/>
  <c r="D134" i="7"/>
  <c r="E133" i="7"/>
  <c r="D133" i="7"/>
  <c r="E132" i="7"/>
  <c r="D132" i="7"/>
  <c r="E131" i="7"/>
  <c r="D131" i="7"/>
  <c r="E130" i="7"/>
  <c r="D130" i="7"/>
  <c r="E129" i="7"/>
  <c r="D129" i="7"/>
  <c r="E128" i="7"/>
  <c r="D128" i="7"/>
  <c r="E127" i="7"/>
  <c r="D127" i="7"/>
  <c r="E126" i="7"/>
  <c r="D126" i="7"/>
  <c r="E125" i="7"/>
  <c r="D125" i="7"/>
  <c r="E124" i="7"/>
  <c r="D124" i="7"/>
  <c r="E123" i="7"/>
  <c r="D123" i="7"/>
  <c r="E122" i="7"/>
  <c r="D122" i="7"/>
  <c r="E121" i="7"/>
  <c r="D121" i="7"/>
  <c r="E120" i="7"/>
  <c r="D120" i="7"/>
  <c r="E119" i="7"/>
  <c r="D119" i="7"/>
  <c r="E118" i="7"/>
  <c r="D118" i="7"/>
  <c r="E117" i="7"/>
  <c r="D117" i="7"/>
  <c r="E116" i="7"/>
  <c r="D116" i="7"/>
  <c r="E115" i="7"/>
  <c r="D115" i="7"/>
  <c r="E114" i="7"/>
  <c r="D114" i="7"/>
  <c r="E113" i="7"/>
  <c r="D113" i="7"/>
  <c r="E112" i="7"/>
  <c r="D112" i="7"/>
  <c r="E111" i="7"/>
  <c r="D111" i="7"/>
  <c r="E110" i="7"/>
  <c r="D110" i="7"/>
  <c r="E109" i="7"/>
  <c r="D109" i="7"/>
  <c r="E108" i="7"/>
  <c r="D108" i="7"/>
  <c r="E107" i="7"/>
  <c r="D107" i="7"/>
  <c r="E106" i="7"/>
  <c r="D106" i="7"/>
  <c r="D105" i="7"/>
  <c r="E104" i="7"/>
  <c r="D104" i="7"/>
  <c r="E103" i="7"/>
  <c r="D103" i="7"/>
  <c r="E102" i="7"/>
  <c r="D102" i="7"/>
  <c r="E101" i="7"/>
  <c r="D101" i="7"/>
  <c r="E100" i="7"/>
  <c r="D100" i="7"/>
  <c r="E99" i="7"/>
  <c r="D99" i="7"/>
  <c r="E98" i="7"/>
  <c r="D98" i="7"/>
  <c r="E97" i="7"/>
  <c r="D97" i="7"/>
  <c r="E96" i="7"/>
  <c r="D96" i="7"/>
  <c r="E95" i="7"/>
  <c r="D95" i="7"/>
  <c r="E94" i="7"/>
  <c r="D94" i="7"/>
  <c r="E93" i="7"/>
  <c r="D93" i="7"/>
  <c r="E92" i="7"/>
  <c r="D92" i="7"/>
  <c r="E91" i="7"/>
  <c r="D91" i="7"/>
  <c r="E90" i="7"/>
  <c r="D90" i="7"/>
  <c r="E89" i="7"/>
  <c r="D89" i="7"/>
  <c r="J88" i="7"/>
  <c r="E88" i="7"/>
  <c r="D88" i="7"/>
  <c r="E87" i="7"/>
  <c r="D87" i="7"/>
  <c r="E86" i="7"/>
  <c r="D86" i="7"/>
  <c r="E85" i="7"/>
  <c r="D85" i="7"/>
  <c r="K82" i="7"/>
  <c r="J82" i="7"/>
  <c r="I82" i="7"/>
  <c r="H82" i="7"/>
  <c r="G82" i="7"/>
  <c r="F82" i="7"/>
  <c r="E82" i="7"/>
  <c r="D82" i="7"/>
  <c r="E81" i="7"/>
  <c r="D81" i="7"/>
  <c r="E80" i="7"/>
  <c r="D80" i="7"/>
  <c r="E79" i="7"/>
  <c r="D79" i="7"/>
  <c r="E78" i="7"/>
  <c r="D78" i="7"/>
  <c r="E77" i="7"/>
  <c r="D77" i="7"/>
  <c r="E76" i="7"/>
  <c r="D76" i="7"/>
  <c r="E75" i="7"/>
  <c r="D75" i="7"/>
  <c r="D74" i="7"/>
  <c r="E73" i="7"/>
  <c r="D73" i="7"/>
  <c r="E72" i="7"/>
  <c r="D72" i="7"/>
  <c r="E71" i="7"/>
  <c r="D71" i="7"/>
  <c r="E70" i="7"/>
  <c r="D70" i="7"/>
  <c r="E69" i="7"/>
  <c r="D69" i="7"/>
  <c r="E68" i="7"/>
  <c r="D68" i="7"/>
  <c r="E67" i="7"/>
  <c r="D67" i="7"/>
  <c r="E66" i="7"/>
  <c r="D66" i="7"/>
  <c r="E65" i="7"/>
  <c r="D65" i="7"/>
  <c r="E64" i="7"/>
  <c r="D64" i="7"/>
  <c r="E63" i="7"/>
  <c r="D63" i="7"/>
  <c r="E62" i="7"/>
  <c r="D62" i="7"/>
  <c r="E61" i="7"/>
  <c r="D61" i="7"/>
  <c r="E60" i="7"/>
  <c r="D60" i="7"/>
  <c r="D59" i="7"/>
  <c r="E58" i="7"/>
  <c r="D58" i="7"/>
  <c r="E57" i="7"/>
  <c r="D57" i="7"/>
  <c r="E56" i="7"/>
  <c r="D56" i="7"/>
  <c r="J53" i="7"/>
  <c r="K52" i="7"/>
  <c r="J52" i="7"/>
  <c r="I52" i="7"/>
  <c r="H52" i="7"/>
  <c r="G52" i="7"/>
  <c r="F52" i="7"/>
  <c r="E52" i="7"/>
  <c r="D52" i="7"/>
  <c r="K51" i="7"/>
  <c r="J51" i="7"/>
  <c r="I51" i="7"/>
  <c r="H51" i="7"/>
  <c r="G51" i="7"/>
  <c r="F51" i="7"/>
  <c r="E51" i="7"/>
  <c r="D51" i="7"/>
  <c r="E50" i="7"/>
  <c r="D50" i="7"/>
  <c r="E49" i="7"/>
  <c r="D49" i="7"/>
  <c r="E48" i="7"/>
  <c r="D48" i="7"/>
  <c r="E47" i="7"/>
  <c r="D47" i="7"/>
  <c r="E46" i="7"/>
  <c r="D46" i="7"/>
  <c r="K44" i="7"/>
  <c r="J44" i="7"/>
  <c r="I44" i="7"/>
  <c r="H44" i="7"/>
  <c r="G44" i="7"/>
  <c r="F44" i="7"/>
  <c r="E44" i="7"/>
  <c r="D44" i="7"/>
  <c r="E43" i="7"/>
  <c r="D43" i="7"/>
  <c r="E42" i="7"/>
  <c r="D42" i="7"/>
  <c r="E41" i="7"/>
  <c r="D41" i="7"/>
  <c r="E40" i="7"/>
  <c r="D40" i="7"/>
  <c r="E39" i="7"/>
  <c r="D39" i="7"/>
  <c r="E38" i="7"/>
  <c r="D38" i="7"/>
  <c r="K36" i="7"/>
  <c r="J36" i="7"/>
  <c r="I36" i="7"/>
  <c r="H36" i="7"/>
  <c r="G36" i="7"/>
  <c r="F36" i="7"/>
  <c r="E36" i="7"/>
  <c r="D36" i="7"/>
  <c r="E35" i="7"/>
  <c r="D35" i="7"/>
  <c r="E34" i="7"/>
  <c r="D34" i="7"/>
  <c r="E33" i="7"/>
  <c r="D33" i="7"/>
  <c r="K31" i="7"/>
  <c r="J31" i="7"/>
  <c r="I31" i="7"/>
  <c r="H31" i="7"/>
  <c r="G31" i="7"/>
  <c r="F31" i="7"/>
  <c r="E31" i="7"/>
  <c r="D31" i="7"/>
  <c r="E30" i="7"/>
  <c r="D30" i="7"/>
  <c r="E29" i="7"/>
  <c r="D29" i="7"/>
  <c r="E28" i="7"/>
  <c r="D28" i="7"/>
  <c r="E27" i="7"/>
  <c r="D27" i="7"/>
  <c r="E26" i="7"/>
  <c r="D26" i="7"/>
  <c r="E25" i="7"/>
  <c r="D25" i="7"/>
  <c r="E24" i="7"/>
  <c r="D24" i="7"/>
  <c r="K22" i="7"/>
  <c r="J22" i="7"/>
  <c r="I22" i="7"/>
  <c r="H22" i="7"/>
  <c r="G22" i="7"/>
  <c r="F22" i="7"/>
  <c r="E22" i="7"/>
  <c r="D22" i="7"/>
  <c r="E21" i="7"/>
  <c r="D21" i="7"/>
  <c r="E20" i="7"/>
  <c r="D20" i="7"/>
  <c r="E19" i="7"/>
  <c r="D19" i="7"/>
  <c r="E18" i="7"/>
  <c r="D18" i="7"/>
  <c r="E17" i="7"/>
  <c r="D17" i="7"/>
  <c r="E16" i="7"/>
  <c r="D16" i="7"/>
  <c r="E15" i="7"/>
  <c r="D15" i="7"/>
  <c r="E14" i="7"/>
  <c r="D14" i="7"/>
  <c r="E13" i="7"/>
  <c r="D13" i="7"/>
  <c r="G138" i="5"/>
  <c r="L137" i="5"/>
  <c r="K137" i="5"/>
  <c r="J137" i="5"/>
  <c r="I137" i="5"/>
  <c r="H137" i="5"/>
  <c r="G137" i="5"/>
  <c r="F137" i="5"/>
  <c r="E137" i="5"/>
  <c r="M136" i="5"/>
  <c r="M135" i="5"/>
  <c r="M134" i="5"/>
  <c r="L134" i="5"/>
  <c r="K134" i="5"/>
  <c r="J134" i="5"/>
  <c r="I134" i="5"/>
  <c r="H134" i="5"/>
  <c r="G134" i="5"/>
  <c r="F134" i="5"/>
  <c r="E134" i="5"/>
  <c r="M133" i="5"/>
  <c r="L133" i="5"/>
  <c r="K133" i="5"/>
  <c r="J133" i="5"/>
  <c r="I133" i="5"/>
  <c r="H133" i="5"/>
  <c r="G133" i="5"/>
  <c r="F133" i="5"/>
  <c r="E133" i="5"/>
  <c r="M132" i="5"/>
  <c r="F132" i="5"/>
  <c r="E132" i="5"/>
  <c r="M131" i="5"/>
  <c r="F131" i="5"/>
  <c r="E131" i="5"/>
  <c r="M130" i="5"/>
  <c r="F130" i="5"/>
  <c r="M129" i="5"/>
  <c r="F129" i="5"/>
  <c r="E129" i="5"/>
  <c r="M128" i="5"/>
  <c r="F128" i="5"/>
  <c r="E128" i="5"/>
  <c r="M127" i="5"/>
  <c r="F127" i="5"/>
  <c r="E127" i="5"/>
  <c r="M126" i="5"/>
  <c r="F126" i="5"/>
  <c r="M125" i="5"/>
  <c r="J125" i="5"/>
  <c r="F125" i="5"/>
  <c r="M124" i="5"/>
  <c r="M123" i="5"/>
  <c r="L123" i="5"/>
  <c r="K123" i="5"/>
  <c r="J123" i="5"/>
  <c r="I123" i="5"/>
  <c r="H123" i="5"/>
  <c r="G123" i="5"/>
  <c r="F123" i="5"/>
  <c r="E123" i="5"/>
  <c r="M122" i="5"/>
  <c r="F122" i="5"/>
  <c r="E122" i="5"/>
  <c r="M121" i="5"/>
  <c r="F121" i="5"/>
  <c r="E121" i="5"/>
  <c r="M120" i="5"/>
  <c r="F120" i="5"/>
  <c r="E120" i="5"/>
  <c r="M119" i="5"/>
  <c r="M118" i="5"/>
  <c r="L118" i="5"/>
  <c r="K118" i="5"/>
  <c r="J118" i="5"/>
  <c r="I118" i="5"/>
  <c r="H118" i="5"/>
  <c r="G118" i="5"/>
  <c r="F118" i="5"/>
  <c r="E118" i="5"/>
  <c r="M117" i="5"/>
  <c r="L117" i="5"/>
  <c r="K117" i="5"/>
  <c r="J117" i="5"/>
  <c r="I117" i="5"/>
  <c r="H117" i="5"/>
  <c r="G117" i="5"/>
  <c r="F117" i="5"/>
  <c r="E117" i="5"/>
  <c r="M116" i="5"/>
  <c r="F116" i="5"/>
  <c r="E116" i="5"/>
  <c r="M115" i="5"/>
  <c r="M114" i="5"/>
  <c r="M113" i="5"/>
  <c r="L113" i="5"/>
  <c r="K113" i="5"/>
  <c r="J113" i="5"/>
  <c r="I113" i="5"/>
  <c r="H113" i="5"/>
  <c r="G113" i="5"/>
  <c r="F113" i="5"/>
  <c r="E113" i="5"/>
  <c r="M112" i="5"/>
  <c r="F112" i="5"/>
  <c r="E112" i="5"/>
  <c r="M111" i="5"/>
  <c r="F111" i="5"/>
  <c r="M110" i="5"/>
  <c r="F110" i="5"/>
  <c r="E110" i="5"/>
  <c r="M109" i="5"/>
  <c r="F109" i="5"/>
  <c r="M108" i="5"/>
  <c r="F108" i="5"/>
  <c r="E108" i="5"/>
  <c r="M107" i="5"/>
  <c r="F107" i="5"/>
  <c r="E107" i="5"/>
  <c r="M106" i="5"/>
  <c r="F106" i="5"/>
  <c r="E106" i="5"/>
  <c r="M105" i="5"/>
  <c r="F105" i="5"/>
  <c r="E105" i="5"/>
  <c r="M104" i="5"/>
  <c r="F104" i="5"/>
  <c r="E104" i="5"/>
  <c r="M103" i="5"/>
  <c r="F103" i="5"/>
  <c r="E103" i="5"/>
  <c r="M102" i="5"/>
  <c r="F102" i="5"/>
  <c r="E102" i="5"/>
  <c r="M101" i="5"/>
  <c r="F101" i="5"/>
  <c r="M100" i="5"/>
  <c r="F100" i="5"/>
  <c r="E100" i="5"/>
  <c r="M99" i="5"/>
  <c r="F99" i="5"/>
  <c r="E99" i="5"/>
  <c r="M98" i="5"/>
  <c r="F98" i="5"/>
  <c r="E98" i="5"/>
  <c r="M97" i="5"/>
  <c r="M96" i="5"/>
  <c r="M95" i="5"/>
  <c r="M94" i="5"/>
  <c r="L94" i="5"/>
  <c r="K94" i="5"/>
  <c r="J94" i="5"/>
  <c r="I94" i="5"/>
  <c r="H94" i="5"/>
  <c r="G94" i="5"/>
  <c r="F94" i="5"/>
  <c r="E94" i="5"/>
  <c r="M93" i="5"/>
  <c r="L93" i="5"/>
  <c r="K93" i="5"/>
  <c r="J93" i="5"/>
  <c r="I93" i="5"/>
  <c r="H93" i="5"/>
  <c r="G93" i="5"/>
  <c r="F93" i="5"/>
  <c r="E93" i="5"/>
  <c r="M92" i="5"/>
  <c r="J92" i="5"/>
  <c r="F92" i="5"/>
  <c r="E92" i="5"/>
  <c r="M91" i="5"/>
  <c r="F91" i="5"/>
  <c r="E91" i="5"/>
  <c r="M90" i="5"/>
  <c r="M89" i="5"/>
  <c r="L89" i="5"/>
  <c r="K89" i="5"/>
  <c r="J89" i="5"/>
  <c r="I89" i="5"/>
  <c r="H89" i="5"/>
  <c r="G89" i="5"/>
  <c r="F89" i="5"/>
  <c r="E89" i="5"/>
  <c r="M88" i="5"/>
  <c r="L88" i="5"/>
  <c r="K88" i="5"/>
  <c r="J88" i="5"/>
  <c r="I88" i="5"/>
  <c r="H88" i="5"/>
  <c r="G88" i="5"/>
  <c r="F88" i="5"/>
  <c r="E88" i="5"/>
  <c r="M87" i="5"/>
  <c r="F87" i="5"/>
  <c r="E87" i="5"/>
  <c r="M86" i="5"/>
  <c r="F86" i="5"/>
  <c r="E86" i="5"/>
  <c r="M85" i="5"/>
  <c r="E85" i="5"/>
  <c r="M84" i="5"/>
  <c r="L84" i="5"/>
  <c r="K84" i="5"/>
  <c r="J84" i="5"/>
  <c r="I84" i="5"/>
  <c r="H84" i="5"/>
  <c r="G84" i="5"/>
  <c r="F84" i="5"/>
  <c r="E84" i="5"/>
  <c r="M83" i="5"/>
  <c r="F83" i="5"/>
  <c r="E83" i="5"/>
  <c r="M82" i="5"/>
  <c r="F82" i="5"/>
  <c r="E82" i="5"/>
  <c r="M81" i="5"/>
  <c r="F81" i="5"/>
  <c r="E81" i="5"/>
  <c r="M80" i="5"/>
  <c r="E80" i="5"/>
  <c r="M79" i="5"/>
  <c r="L79" i="5"/>
  <c r="K79" i="5"/>
  <c r="J79" i="5"/>
  <c r="I79" i="5"/>
  <c r="H79" i="5"/>
  <c r="G79" i="5"/>
  <c r="F79" i="5"/>
  <c r="E79" i="5"/>
  <c r="M78" i="5"/>
  <c r="F78" i="5"/>
  <c r="E78" i="5"/>
  <c r="M77" i="5"/>
  <c r="E77" i="5"/>
  <c r="M76" i="5"/>
  <c r="L76" i="5"/>
  <c r="K76" i="5"/>
  <c r="J76" i="5"/>
  <c r="I76" i="5"/>
  <c r="H76" i="5"/>
  <c r="G76" i="5"/>
  <c r="F76" i="5"/>
  <c r="E76" i="5"/>
  <c r="M75" i="5"/>
  <c r="F75" i="5"/>
  <c r="E75" i="5"/>
  <c r="M74" i="5"/>
  <c r="F74" i="5"/>
  <c r="E74" i="5"/>
  <c r="M73" i="5"/>
  <c r="E73" i="5"/>
  <c r="M72" i="5"/>
  <c r="L72" i="5"/>
  <c r="K72" i="5"/>
  <c r="J72" i="5"/>
  <c r="I72" i="5"/>
  <c r="H72" i="5"/>
  <c r="G72" i="5"/>
  <c r="F72" i="5"/>
  <c r="E72" i="5"/>
  <c r="M71" i="5"/>
  <c r="F71" i="5"/>
  <c r="E71" i="5"/>
  <c r="M70" i="5"/>
  <c r="F70" i="5"/>
  <c r="E70" i="5"/>
  <c r="M69" i="5"/>
  <c r="F69" i="5"/>
  <c r="E69" i="5"/>
  <c r="M68" i="5"/>
  <c r="F68" i="5"/>
  <c r="E68" i="5"/>
  <c r="M67" i="5"/>
  <c r="F67" i="5"/>
  <c r="E67" i="5"/>
  <c r="M66" i="5"/>
  <c r="F66" i="5"/>
  <c r="E66" i="5"/>
  <c r="M65" i="5"/>
  <c r="M64" i="5"/>
  <c r="L64" i="5"/>
  <c r="K64" i="5"/>
  <c r="J64" i="5"/>
  <c r="I64" i="5"/>
  <c r="H64" i="5"/>
  <c r="G64" i="5"/>
  <c r="F64" i="5"/>
  <c r="E64" i="5"/>
  <c r="M63" i="5"/>
  <c r="F63" i="5"/>
  <c r="E63" i="5"/>
  <c r="M62" i="5"/>
  <c r="F62" i="5"/>
  <c r="E62" i="5"/>
  <c r="M61" i="5"/>
  <c r="F61" i="5"/>
  <c r="E61" i="5"/>
  <c r="M60" i="5"/>
  <c r="F60" i="5"/>
  <c r="E60" i="5"/>
  <c r="M59" i="5"/>
  <c r="M58" i="5"/>
  <c r="L58" i="5"/>
  <c r="K58" i="5"/>
  <c r="J58" i="5"/>
  <c r="I58" i="5"/>
  <c r="H58" i="5"/>
  <c r="G58" i="5"/>
  <c r="F58" i="5"/>
  <c r="E58" i="5"/>
  <c r="M57" i="5"/>
  <c r="F57" i="5"/>
  <c r="E57" i="5"/>
  <c r="M56" i="5"/>
  <c r="F56" i="5"/>
  <c r="E56" i="5"/>
  <c r="M55" i="5"/>
  <c r="F55" i="5"/>
  <c r="E55" i="5"/>
  <c r="M54" i="5"/>
  <c r="F54" i="5"/>
  <c r="E54" i="5"/>
  <c r="M53" i="5"/>
  <c r="F53" i="5"/>
  <c r="E53" i="5"/>
  <c r="M52" i="5"/>
  <c r="M51" i="5"/>
  <c r="L51" i="5"/>
  <c r="K51" i="5"/>
  <c r="J51" i="5"/>
  <c r="I51" i="5"/>
  <c r="H51" i="5"/>
  <c r="G51" i="5"/>
  <c r="F51" i="5"/>
  <c r="E51" i="5"/>
  <c r="M50" i="5"/>
  <c r="F50" i="5"/>
  <c r="E50" i="5"/>
  <c r="M49" i="5"/>
  <c r="F49" i="5"/>
  <c r="E49" i="5"/>
  <c r="M48" i="5"/>
  <c r="F48" i="5"/>
  <c r="E48" i="5"/>
  <c r="M47" i="5"/>
  <c r="M46" i="5"/>
  <c r="M45" i="5"/>
  <c r="L45" i="5"/>
  <c r="K45" i="5"/>
  <c r="J45" i="5"/>
  <c r="I45" i="5"/>
  <c r="H45" i="5"/>
  <c r="G45" i="5"/>
  <c r="F45" i="5"/>
  <c r="E45" i="5"/>
  <c r="M44" i="5"/>
  <c r="E44" i="5"/>
  <c r="M43" i="5"/>
  <c r="E43" i="5"/>
  <c r="M42" i="5"/>
  <c r="L42" i="5"/>
  <c r="F42" i="5"/>
  <c r="E42" i="5"/>
  <c r="M41" i="5"/>
  <c r="F41" i="5"/>
  <c r="E41" i="5"/>
  <c r="M40" i="5"/>
  <c r="E40" i="5"/>
  <c r="M39" i="5"/>
  <c r="L39" i="5"/>
  <c r="K39" i="5"/>
  <c r="J39" i="5"/>
  <c r="I39" i="5"/>
  <c r="H39" i="5"/>
  <c r="G39" i="5"/>
  <c r="F39" i="5"/>
  <c r="E39" i="5"/>
  <c r="M38" i="5"/>
  <c r="F38" i="5"/>
  <c r="E38" i="5"/>
  <c r="M37" i="5"/>
  <c r="F37" i="5"/>
  <c r="E37" i="5"/>
  <c r="M36" i="5"/>
  <c r="F36" i="5"/>
  <c r="E36" i="5"/>
  <c r="M35" i="5"/>
  <c r="F35" i="5"/>
  <c r="E35" i="5"/>
  <c r="M34" i="5"/>
  <c r="M33" i="5"/>
  <c r="M32" i="5"/>
  <c r="L32" i="5"/>
  <c r="K32" i="5"/>
  <c r="J32" i="5"/>
  <c r="I32" i="5"/>
  <c r="H32" i="5"/>
  <c r="G32" i="5"/>
  <c r="F32" i="5"/>
  <c r="E32" i="5"/>
  <c r="M31" i="5"/>
  <c r="F31" i="5"/>
  <c r="E31" i="5"/>
  <c r="M30" i="5"/>
  <c r="F30" i="5"/>
  <c r="E30" i="5"/>
  <c r="M29" i="5"/>
  <c r="F29" i="5"/>
  <c r="E29" i="5"/>
  <c r="M28" i="5"/>
  <c r="F28" i="5"/>
  <c r="E28" i="5"/>
  <c r="M27" i="5"/>
  <c r="F27" i="5"/>
  <c r="E27" i="5"/>
  <c r="M26" i="5"/>
  <c r="F26" i="5"/>
  <c r="E26" i="5"/>
  <c r="M25" i="5"/>
  <c r="F25" i="5"/>
  <c r="E25" i="5"/>
  <c r="M24" i="5"/>
  <c r="G24" i="5"/>
  <c r="F24" i="5"/>
  <c r="E24" i="5"/>
  <c r="M23" i="5"/>
  <c r="E23" i="5"/>
  <c r="M22" i="5"/>
  <c r="M21" i="5"/>
  <c r="M20" i="5"/>
  <c r="L20" i="5"/>
  <c r="K20" i="5"/>
  <c r="J20" i="5"/>
  <c r="I20" i="5"/>
  <c r="H20" i="5"/>
  <c r="G20" i="5"/>
  <c r="F20" i="5"/>
  <c r="E20" i="5"/>
  <c r="M19" i="5"/>
  <c r="I19" i="5"/>
  <c r="E19" i="5"/>
  <c r="M18" i="5"/>
  <c r="E18" i="5"/>
  <c r="M17" i="5"/>
  <c r="E17" i="5"/>
  <c r="M16" i="5"/>
  <c r="F16" i="5"/>
  <c r="E16" i="5"/>
  <c r="M15" i="5"/>
  <c r="E15" i="5"/>
  <c r="M14" i="5"/>
  <c r="I14" i="5"/>
  <c r="E14" i="5"/>
  <c r="M53" i="8"/>
  <c r="L53" i="8"/>
  <c r="K53" i="8"/>
  <c r="J53" i="8"/>
  <c r="I53" i="8"/>
  <c r="H53" i="8"/>
  <c r="G53" i="8"/>
  <c r="F53" i="8"/>
  <c r="E53" i="8"/>
  <c r="D53" i="8"/>
  <c r="M52" i="8"/>
  <c r="L52" i="8"/>
  <c r="I52" i="8"/>
  <c r="E52" i="8"/>
  <c r="D52" i="8"/>
  <c r="M51" i="8"/>
  <c r="L51" i="8"/>
  <c r="K51" i="8"/>
  <c r="J51" i="8"/>
  <c r="I51" i="8"/>
  <c r="H51" i="8"/>
  <c r="G51" i="8"/>
  <c r="F51" i="8"/>
  <c r="E51" i="8"/>
  <c r="D51" i="8"/>
  <c r="M50" i="8"/>
  <c r="L50" i="8"/>
  <c r="K50" i="8"/>
  <c r="J50" i="8"/>
  <c r="I50" i="8"/>
  <c r="H50" i="8"/>
  <c r="G50" i="8"/>
  <c r="F50" i="8"/>
  <c r="E50" i="8"/>
  <c r="D50" i="8"/>
  <c r="M49" i="8"/>
  <c r="L49" i="8"/>
  <c r="K49" i="8"/>
  <c r="J49" i="8"/>
  <c r="I49" i="8"/>
  <c r="H49" i="8"/>
  <c r="G49" i="8"/>
  <c r="F49" i="8"/>
  <c r="E49" i="8"/>
  <c r="D49" i="8"/>
  <c r="M48" i="8"/>
  <c r="L48" i="8"/>
  <c r="E48" i="8"/>
  <c r="D48" i="8"/>
  <c r="M47" i="8"/>
  <c r="L47" i="8"/>
  <c r="E47" i="8"/>
  <c r="D47" i="8"/>
  <c r="M46" i="8"/>
  <c r="L46" i="8"/>
  <c r="E46" i="8"/>
  <c r="D46" i="8"/>
  <c r="M45" i="8"/>
  <c r="L45" i="8"/>
  <c r="E45" i="8"/>
  <c r="D45" i="8"/>
  <c r="M44" i="8"/>
  <c r="L44" i="8"/>
  <c r="E44" i="8"/>
  <c r="D44" i="8"/>
  <c r="M43" i="8"/>
  <c r="L43" i="8"/>
  <c r="E43" i="8"/>
  <c r="D43" i="8"/>
  <c r="M42" i="8"/>
  <c r="L42" i="8"/>
  <c r="M41" i="8"/>
  <c r="L41" i="8"/>
  <c r="M40" i="8"/>
  <c r="L40" i="8"/>
  <c r="K40" i="8"/>
  <c r="J40" i="8"/>
  <c r="I40" i="8"/>
  <c r="H40" i="8"/>
  <c r="G40" i="8"/>
  <c r="F40" i="8"/>
  <c r="E40" i="8"/>
  <c r="D40" i="8"/>
  <c r="M39" i="8"/>
  <c r="L39" i="8"/>
  <c r="K39" i="8"/>
  <c r="J39" i="8"/>
  <c r="I39" i="8"/>
  <c r="H39" i="8"/>
  <c r="G39" i="8"/>
  <c r="F39" i="8"/>
  <c r="E39" i="8"/>
  <c r="D39" i="8"/>
  <c r="M38" i="8"/>
  <c r="L38" i="8"/>
  <c r="E38" i="8"/>
  <c r="D38" i="8"/>
  <c r="M37" i="8"/>
  <c r="L37" i="8"/>
  <c r="E37" i="8"/>
  <c r="D37" i="8"/>
  <c r="M36" i="8"/>
  <c r="L36" i="8"/>
  <c r="E36" i="8"/>
  <c r="D36" i="8"/>
  <c r="M35" i="8"/>
  <c r="L35" i="8"/>
  <c r="E35" i="8"/>
  <c r="D35" i="8"/>
  <c r="M34" i="8"/>
  <c r="L34" i="8"/>
  <c r="E34" i="8"/>
  <c r="D34" i="8"/>
  <c r="M33" i="8"/>
  <c r="L33" i="8"/>
  <c r="E33" i="8"/>
  <c r="D33" i="8"/>
  <c r="M32" i="8"/>
  <c r="L32" i="8"/>
  <c r="E32" i="8"/>
  <c r="D32" i="8"/>
  <c r="M31" i="8"/>
  <c r="L31" i="8"/>
  <c r="E31" i="8"/>
  <c r="D31" i="8"/>
  <c r="M30" i="8"/>
  <c r="L30" i="8"/>
  <c r="M29" i="8"/>
  <c r="L29" i="8"/>
  <c r="M28" i="8"/>
  <c r="L28" i="8"/>
  <c r="K28" i="8"/>
  <c r="J28" i="8"/>
  <c r="I28" i="8"/>
  <c r="H28" i="8"/>
  <c r="G28" i="8"/>
  <c r="F28" i="8"/>
  <c r="E28" i="8"/>
  <c r="D28" i="8"/>
  <c r="M27" i="8"/>
  <c r="L27" i="8"/>
  <c r="K27" i="8"/>
  <c r="J27" i="8"/>
  <c r="I27" i="8"/>
  <c r="H27" i="8"/>
  <c r="G27" i="8"/>
  <c r="F27" i="8"/>
  <c r="E27" i="8"/>
  <c r="D27" i="8"/>
  <c r="M26" i="8"/>
  <c r="L26" i="8"/>
  <c r="E26" i="8"/>
  <c r="D26" i="8"/>
  <c r="M25" i="8"/>
  <c r="L25" i="8"/>
  <c r="E25" i="8"/>
  <c r="D25" i="8"/>
  <c r="M24" i="8"/>
  <c r="L24" i="8"/>
  <c r="E24" i="8"/>
  <c r="D24" i="8"/>
  <c r="M23" i="8"/>
  <c r="L23" i="8"/>
  <c r="E23" i="8"/>
  <c r="D23" i="8"/>
  <c r="M20" i="8"/>
  <c r="L20" i="8"/>
  <c r="K20" i="8"/>
  <c r="J20" i="8"/>
  <c r="I20" i="8"/>
  <c r="H20" i="8"/>
  <c r="G20" i="8"/>
  <c r="F20" i="8"/>
  <c r="E20" i="8"/>
  <c r="D20" i="8"/>
  <c r="M19" i="8"/>
  <c r="L19" i="8"/>
  <c r="I19" i="8"/>
  <c r="H19" i="8"/>
  <c r="E19" i="8"/>
  <c r="D19" i="8"/>
  <c r="L18" i="8"/>
  <c r="E18" i="8"/>
  <c r="D18" i="8"/>
  <c r="M17" i="8"/>
  <c r="L17" i="8"/>
  <c r="E17" i="8"/>
  <c r="D17" i="8"/>
  <c r="M16" i="8"/>
  <c r="L16" i="8"/>
  <c r="E16" i="8"/>
  <c r="D16" i="8"/>
  <c r="M15" i="8"/>
  <c r="L15" i="8"/>
  <c r="E15" i="8"/>
  <c r="D15" i="8"/>
  <c r="M14" i="8"/>
  <c r="L14" i="8"/>
  <c r="E14" i="8"/>
  <c r="D14" i="8"/>
</calcChain>
</file>

<file path=xl/sharedStrings.xml><?xml version="1.0" encoding="utf-8"?>
<sst xmlns="http://schemas.openxmlformats.org/spreadsheetml/2006/main" count="2070" uniqueCount="1089">
  <si>
    <t>MUNICIPALITY OF MALLIG</t>
  </si>
  <si>
    <t>Account Titles</t>
  </si>
  <si>
    <t>Account</t>
  </si>
  <si>
    <t>Debit</t>
  </si>
  <si>
    <t>Credit</t>
  </si>
  <si>
    <t>Certified Correct:</t>
  </si>
  <si>
    <t>Municipal Accountant</t>
  </si>
  <si>
    <t>Cash in Bank-Local Currency, Current Account</t>
  </si>
  <si>
    <t>Cash - Disbursing Officers</t>
  </si>
  <si>
    <t>Cash in Vault</t>
  </si>
  <si>
    <t>Due from Officers and Employees</t>
  </si>
  <si>
    <t>Real Property Tax Receivable</t>
  </si>
  <si>
    <t>Land</t>
  </si>
  <si>
    <t>Land Improvements</t>
  </si>
  <si>
    <t>Electrification, Power and Energy</t>
  </si>
  <si>
    <t>Office Building</t>
  </si>
  <si>
    <t>School Buildings</t>
  </si>
  <si>
    <t>Hospitals and Health Centers</t>
  </si>
  <si>
    <t>Markets and Slaughterhouses</t>
  </si>
  <si>
    <t>Other Structures</t>
  </si>
  <si>
    <t>Office Equipment</t>
  </si>
  <si>
    <t>Furniture and Fixtures</t>
  </si>
  <si>
    <t>IT Equipment and Software</t>
  </si>
  <si>
    <t>Library Books</t>
  </si>
  <si>
    <t>Communication Equipment</t>
  </si>
  <si>
    <t>Construction and Heavy Equipment</t>
  </si>
  <si>
    <t>Other Machineries and Equipment</t>
  </si>
  <si>
    <t>Motor Vehicles</t>
  </si>
  <si>
    <t>Other Transportation Equipment</t>
  </si>
  <si>
    <t>Construction in Progress - Agency Assets</t>
  </si>
  <si>
    <t>Breeding Stock</t>
  </si>
  <si>
    <t>Accounts Payable</t>
  </si>
  <si>
    <t>Due to National Treasury</t>
  </si>
  <si>
    <t>Due to BIR</t>
  </si>
  <si>
    <t>Due to GSIS</t>
  </si>
  <si>
    <t>Due to  PAG-IBIG</t>
  </si>
  <si>
    <t>Due to PHILHEALTH</t>
  </si>
  <si>
    <t>Due to NGAs</t>
  </si>
  <si>
    <t>Due to LGUs</t>
  </si>
  <si>
    <t>Other Payables</t>
  </si>
  <si>
    <t>Loans Payable - Domestic</t>
  </si>
  <si>
    <t>Deferred Real Property Tax Income</t>
  </si>
  <si>
    <t>Government Equity</t>
  </si>
  <si>
    <t>Business Tax</t>
  </si>
  <si>
    <t>Community Tax</t>
  </si>
  <si>
    <t>Occupation Tax</t>
  </si>
  <si>
    <t>Real Property Tax</t>
  </si>
  <si>
    <t>Franchising and Licencing Fees</t>
  </si>
  <si>
    <t>Permit Fees</t>
  </si>
  <si>
    <t>Registration Fees</t>
  </si>
  <si>
    <t>Clearance and Certification Fees</t>
  </si>
  <si>
    <t>Garbage fees</t>
  </si>
  <si>
    <t>Inspection Fee</t>
  </si>
  <si>
    <t>Income from Markets</t>
  </si>
  <si>
    <t>Income from Slaughterhouses</t>
  </si>
  <si>
    <t>Income from Waterworks System</t>
  </si>
  <si>
    <t>Rent Income</t>
  </si>
  <si>
    <t>Interest Income</t>
  </si>
  <si>
    <t>Internal Revenue Allotment</t>
  </si>
  <si>
    <t>Miscellaneous Income</t>
  </si>
  <si>
    <t>Salaries and Wages - Regular</t>
  </si>
  <si>
    <t>Personnel Economic Relief Allowance (PERA)</t>
  </si>
  <si>
    <t>Additional Compensation (ADCOM)</t>
  </si>
  <si>
    <t>Representation Allowance (RA)</t>
  </si>
  <si>
    <t>Transportation Allowance (TA)</t>
  </si>
  <si>
    <t>Clothing/Uniform Allowance</t>
  </si>
  <si>
    <t>Subsistence, Laundry and Quarter Allowance</t>
  </si>
  <si>
    <t>Productivity Incentive Allowance</t>
  </si>
  <si>
    <t>Honoraria</t>
  </si>
  <si>
    <t>Loyalty Incentive Pay</t>
  </si>
  <si>
    <t xml:space="preserve">Cash Gift </t>
  </si>
  <si>
    <t>Year End Bonus</t>
  </si>
  <si>
    <t>Life and Retirement Insurance Contibutions</t>
  </si>
  <si>
    <t>PAG-IBIG Contributions</t>
  </si>
  <si>
    <t>PHILHEALTH Contributions</t>
  </si>
  <si>
    <t>ECC Contributions</t>
  </si>
  <si>
    <t>Terminal Leave Benefits</t>
  </si>
  <si>
    <t>Travelling Expenses - Local</t>
  </si>
  <si>
    <t>Office Supplies Expenses</t>
  </si>
  <si>
    <t>Training Expenses</t>
  </si>
  <si>
    <t>Accountable Forms</t>
  </si>
  <si>
    <t>Drugs and Medicines Expenses</t>
  </si>
  <si>
    <t>Medical, Dental and Laboratory Supplies Expenses</t>
  </si>
  <si>
    <t>Gasoline, Oil and Lubricants Expenses</t>
  </si>
  <si>
    <t>Other Supplies Expense</t>
  </si>
  <si>
    <t>Electricity Expenses</t>
  </si>
  <si>
    <t>Telephone Expense - Landline</t>
  </si>
  <si>
    <t>Telephone Expense - Mobile</t>
  </si>
  <si>
    <t>Membership Dues and Contributions to Organizations</t>
  </si>
  <si>
    <t>Advertising Expenses</t>
  </si>
  <si>
    <t>Rent Expenses</t>
  </si>
  <si>
    <t>Representation Expenses</t>
  </si>
  <si>
    <t>Security Services</t>
  </si>
  <si>
    <t>Repairs and Maintenance - Office Buildings</t>
  </si>
  <si>
    <t>Repairs and Maintenance - IT Equipment and Software</t>
  </si>
  <si>
    <t>Repairs and Maintenance - Construction and Heavy Equipment</t>
  </si>
  <si>
    <t>Repairs and Maintenance - Motor Vehicles</t>
  </si>
  <si>
    <t>Repairs and Maintenance - Roads and Bridges</t>
  </si>
  <si>
    <t>Subsidy to LGUs</t>
  </si>
  <si>
    <t>Donations</t>
  </si>
  <si>
    <t>Insurance Expense</t>
  </si>
  <si>
    <t>Discount on Real Property Taxes</t>
  </si>
  <si>
    <t>Other Maintenance and Operating Expenses</t>
  </si>
  <si>
    <t>Interest Expense</t>
  </si>
  <si>
    <t>Other Financial Charges</t>
  </si>
  <si>
    <t>MIGUEL C. ALVARADO</t>
  </si>
  <si>
    <t>GRAND TOTALS</t>
  </si>
  <si>
    <t>Total</t>
  </si>
  <si>
    <t>General Fund</t>
  </si>
  <si>
    <t>Special Education Fund</t>
  </si>
  <si>
    <t>Trust Fund</t>
  </si>
  <si>
    <t>Region II</t>
  </si>
  <si>
    <t>Province of Isabela</t>
  </si>
  <si>
    <t>Municipality of Mallig</t>
  </si>
  <si>
    <t>Special Education Tax Receivable</t>
  </si>
  <si>
    <t>Other Receivables</t>
  </si>
  <si>
    <t>Advances to Contractors</t>
  </si>
  <si>
    <t>Depreciation - Land Improvement</t>
  </si>
  <si>
    <t>Depreciation - Office Building</t>
  </si>
  <si>
    <t>Depreciation - School Buildings</t>
  </si>
  <si>
    <t>Depreciation - Hospitals and Health Centers</t>
  </si>
  <si>
    <t>Depreciation - Markets and Slaughterhouse</t>
  </si>
  <si>
    <t>Depreciation - Office Equipment</t>
  </si>
  <si>
    <t>Depreciation - Furnitures and Fixtures</t>
  </si>
  <si>
    <t>Depreciation - Library Books</t>
  </si>
  <si>
    <t>Depreciation - Communication Equipment</t>
  </si>
  <si>
    <t>Depreciation - Construction and Heavy Equipment</t>
  </si>
  <si>
    <t>Depreciation - Other Machineries and Equipment</t>
  </si>
  <si>
    <t>Depreciation - Motor Vehicles</t>
  </si>
  <si>
    <t>Depreciation - IT Equipment</t>
  </si>
  <si>
    <t>4th Class</t>
  </si>
  <si>
    <t>Public Infrastructures</t>
  </si>
  <si>
    <t>Cash Flows from Operating Activities:</t>
  </si>
  <si>
    <t>Cash Inflows:</t>
  </si>
  <si>
    <t>Total Cash Inflows</t>
  </si>
  <si>
    <t>Total Cash Outflows</t>
  </si>
  <si>
    <t>Cash Flows From Investing Activities</t>
  </si>
  <si>
    <t>Cash Outflows</t>
  </si>
  <si>
    <t>Cash Flows From Financing Activities</t>
  </si>
  <si>
    <t>Consolidated Pre-Closing Trial Balance</t>
  </si>
  <si>
    <t>Consolidated Post-Closing Trial Balance</t>
  </si>
  <si>
    <t>Due from Other Fund</t>
  </si>
  <si>
    <t>Contruction in Progress - Roads, Highways and Bridges</t>
  </si>
  <si>
    <t>Special Education Tax Collection</t>
  </si>
  <si>
    <t>SEF</t>
  </si>
  <si>
    <t>Other Assets</t>
  </si>
  <si>
    <t>Bank Charges</t>
  </si>
  <si>
    <t>NET INCOME</t>
  </si>
  <si>
    <t>Repairs and Maintenance - Office Equipment</t>
  </si>
  <si>
    <t>Payroll Fund</t>
  </si>
  <si>
    <t>Artesian Wells, Reservoirs and Pumping Stations</t>
  </si>
  <si>
    <t>Repairs and Maintenance - Artesian Wells, Reservoirs</t>
  </si>
  <si>
    <t>Due to Other Fund</t>
  </si>
  <si>
    <t>Trust Fund Code 401</t>
  </si>
  <si>
    <t>Medical, Dental and Laboratory Equipment</t>
  </si>
  <si>
    <t>Auditing Services</t>
  </si>
  <si>
    <t>Other Deferred Credits</t>
  </si>
  <si>
    <t>Advances to Officials Employees</t>
  </si>
  <si>
    <t>Food Supplies Expense</t>
  </si>
  <si>
    <t>Depreciation - Electrification, Power and Energy</t>
  </si>
  <si>
    <t>Depreciation - Other Transportation Equipment</t>
  </si>
  <si>
    <t>Franchise Tax</t>
  </si>
  <si>
    <t>Prior Year's Adjustment</t>
  </si>
  <si>
    <t>Hazard Pay</t>
  </si>
  <si>
    <t>Other Personnel Benefits</t>
  </si>
  <si>
    <t>Animal/Zoological Supplies Expenses</t>
  </si>
  <si>
    <t>Survey Expenses</t>
  </si>
  <si>
    <t>Repairs and Maintenance - Power &amp; Energy</t>
  </si>
  <si>
    <t>Repairs and Maintenance - Other Structure</t>
  </si>
  <si>
    <t>Documentary Stamp Expenses</t>
  </si>
  <si>
    <t>Janitorial Services</t>
  </si>
  <si>
    <t>General Services</t>
  </si>
  <si>
    <t>Office Supplies Inventory</t>
  </si>
  <si>
    <t>Fidelity Bond Premium</t>
  </si>
  <si>
    <t>Garbage Fees</t>
  </si>
  <si>
    <t>Due from LGU's</t>
  </si>
  <si>
    <t>Special Education Tax</t>
  </si>
  <si>
    <t>No.</t>
  </si>
  <si>
    <t>Balance</t>
  </si>
  <si>
    <t xml:space="preserve">    Accumulated Depreciation - Markets and Slaughterhouse</t>
  </si>
  <si>
    <t xml:space="preserve">    Accumulated Depreciation - Hospitals and Health Centers</t>
  </si>
  <si>
    <t>ASSETS</t>
  </si>
  <si>
    <t>CURRENT ASSETS</t>
  </si>
  <si>
    <t>CASH</t>
  </si>
  <si>
    <t>Cash on Hand</t>
  </si>
  <si>
    <t>Cash in Bank-Local Currency</t>
  </si>
  <si>
    <t>RECEIVABLES</t>
  </si>
  <si>
    <t>TAX REVENUE</t>
  </si>
  <si>
    <t>Local Taxes</t>
  </si>
  <si>
    <t>GENERAL INCOME ACCOUNTS</t>
  </si>
  <si>
    <t>Permits and Licenses</t>
  </si>
  <si>
    <t xml:space="preserve">    Accumulated Depreciation - Land Improvements</t>
  </si>
  <si>
    <t xml:space="preserve">    Accumulated Depreciation - Electrification, Power</t>
  </si>
  <si>
    <t>Petty Cash Fund</t>
  </si>
  <si>
    <t>Total Cash</t>
  </si>
  <si>
    <t>Receivable Accounts</t>
  </si>
  <si>
    <t>INVENTORIES</t>
  </si>
  <si>
    <t>Supplies</t>
  </si>
  <si>
    <t>Accountable Forms Inventory</t>
  </si>
  <si>
    <t>Drugs and Medicines Inventory</t>
  </si>
  <si>
    <t>Other Agricultural, Fishery and Forestry Products Inventory</t>
  </si>
  <si>
    <t>Total Inventories</t>
  </si>
  <si>
    <t>PREPAYMENTS</t>
  </si>
  <si>
    <t>Total Prepayments</t>
  </si>
  <si>
    <t>OTHER CURRENT ASSETS</t>
  </si>
  <si>
    <t>Total Other Current Assets</t>
  </si>
  <si>
    <t>TOTAL CURRENT ASSETS</t>
  </si>
  <si>
    <t>PROPERTY, PLANT AND EQUIPMENT (Net of Depreciation )</t>
  </si>
  <si>
    <t>LAND AND LAND IMPROVEMENTS</t>
  </si>
  <si>
    <t>Total Land and Land Improvements</t>
  </si>
  <si>
    <t>BUILDINGS</t>
  </si>
  <si>
    <t>Total Buildings</t>
  </si>
  <si>
    <t>OFFICE EQUIPMENT, FURNITURE AND FIXTURES</t>
  </si>
  <si>
    <t>Total Office Equipment, Furniture and Fixtures</t>
  </si>
  <si>
    <t>MACHINERIES AND EQUIPMENT</t>
  </si>
  <si>
    <t>Machineries</t>
  </si>
  <si>
    <t>Total Machineries and Equipment</t>
  </si>
  <si>
    <t>TRANSPORTATION EQUIPMENT</t>
  </si>
  <si>
    <t>OTHER PROPERTY, PLANT AND EQUIPMENT</t>
  </si>
  <si>
    <t>Other Property Plant and Equipment</t>
  </si>
  <si>
    <t>Total Other Property, Plant and Equipment</t>
  </si>
  <si>
    <t>PUBLIC INFRASTRUCTURES</t>
  </si>
  <si>
    <t>Roads, Highway and Bridges</t>
  </si>
  <si>
    <t>Other Public Infrastructures</t>
  </si>
  <si>
    <t>CONSTRUCTION IN PROGRESS</t>
  </si>
  <si>
    <t>Total Construction in Progress</t>
  </si>
  <si>
    <t>OTHER ASSETS</t>
  </si>
  <si>
    <t>Total Other Assets</t>
  </si>
  <si>
    <t>LIABILITIES</t>
  </si>
  <si>
    <t>CURRENT LIABILITIES</t>
  </si>
  <si>
    <t>Payable Accounts</t>
  </si>
  <si>
    <t>Due to Officers and Employees</t>
  </si>
  <si>
    <t>Interest Payable</t>
  </si>
  <si>
    <t>Inter-Agency Payables</t>
  </si>
  <si>
    <t>Intra- Agency Payables</t>
  </si>
  <si>
    <t>Other Liability Accounts</t>
  </si>
  <si>
    <t>Total Current Liabilities</t>
  </si>
  <si>
    <t>LONG-TERM LIABILITIES</t>
  </si>
  <si>
    <t>Mortgage/ Bonds/ Loans Payable</t>
  </si>
  <si>
    <t>Total Long-Term Liabilities</t>
  </si>
  <si>
    <t>TOTAL LIABILITIES</t>
  </si>
  <si>
    <t>Total Deferred Credits</t>
  </si>
  <si>
    <t>EQUITY</t>
  </si>
  <si>
    <t>Government Equity- Beg.</t>
  </si>
  <si>
    <t>Add: Retained Operating Surplus:</t>
  </si>
  <si>
    <t xml:space="preserve">     Current Operations</t>
  </si>
  <si>
    <t>Less: Transfer to Registry</t>
  </si>
  <si>
    <t xml:space="preserve">     Public Infrastructures</t>
  </si>
  <si>
    <t xml:space="preserve">     Reforestation Projects</t>
  </si>
  <si>
    <t xml:space="preserve">     Prior Year's Adjustment</t>
  </si>
  <si>
    <t>Government Equity, December 31,2010</t>
  </si>
  <si>
    <t>TOTAL LIABILITIES AND EQUITY</t>
  </si>
  <si>
    <t xml:space="preserve">     Less: Discount on Real Property Tax</t>
  </si>
  <si>
    <t>Other Local Taxes</t>
  </si>
  <si>
    <t>Fines and Penalties - Local Taxes</t>
  </si>
  <si>
    <t>Total Local Taxes</t>
  </si>
  <si>
    <t>Franching and Licensing Fees</t>
  </si>
  <si>
    <t>Motor Vehicles Users Charge</t>
  </si>
  <si>
    <t>Other Permits and Licenses</t>
  </si>
  <si>
    <t>Service Income</t>
  </si>
  <si>
    <t>Total Service Income</t>
  </si>
  <si>
    <t>Business Income</t>
  </si>
  <si>
    <t>income from Cemetery Operations</t>
  </si>
  <si>
    <t>Other Business Income</t>
  </si>
  <si>
    <t>Other Income</t>
  </si>
  <si>
    <t>Income from Grants and Donations</t>
  </si>
  <si>
    <t>Share from Tobacco Excise Tax</t>
  </si>
  <si>
    <t>Total Other Income</t>
  </si>
  <si>
    <t>TOTAL OPERATING INCOME</t>
  </si>
  <si>
    <t>EXPENSES</t>
  </si>
  <si>
    <t>PERSONAL SERVICES</t>
  </si>
  <si>
    <t xml:space="preserve">Salaries and Wages </t>
  </si>
  <si>
    <t xml:space="preserve">      Salaries and Wages - Regular</t>
  </si>
  <si>
    <t xml:space="preserve">      Salaries and Wages - Casual</t>
  </si>
  <si>
    <t xml:space="preserve">      Salaries and Wages - Contractual</t>
  </si>
  <si>
    <t xml:space="preserve">      Personnel Economic Relief Allowance (PERA)</t>
  </si>
  <si>
    <t xml:space="preserve">Other Compensation </t>
  </si>
  <si>
    <t xml:space="preserve">     Additional Compensation (ADCOM)</t>
  </si>
  <si>
    <t xml:space="preserve">     Representation Allowance (RA)</t>
  </si>
  <si>
    <t xml:space="preserve">     Clothing/Uniform Allowance</t>
  </si>
  <si>
    <t xml:space="preserve">     Transportation Allowance (TA)</t>
  </si>
  <si>
    <t xml:space="preserve">     Productivity Incentive Allowance</t>
  </si>
  <si>
    <t xml:space="preserve">     Subsistence, Laundry and Quarter Allowance</t>
  </si>
  <si>
    <t xml:space="preserve">     Honoraria</t>
  </si>
  <si>
    <t xml:space="preserve">     Other Bonuses and Allowances</t>
  </si>
  <si>
    <t xml:space="preserve">     Hazard Pay</t>
  </si>
  <si>
    <t xml:space="preserve">     Loyalty Incentive Pay</t>
  </si>
  <si>
    <t xml:space="preserve">     Cash Gift </t>
  </si>
  <si>
    <t xml:space="preserve">     Year End Bonus</t>
  </si>
  <si>
    <t xml:space="preserve">     Life and Retirement Insurance Contibutions</t>
  </si>
  <si>
    <t xml:space="preserve">     PAG-IBIG Contributions</t>
  </si>
  <si>
    <t xml:space="preserve">     PHILHEALTH Contributions</t>
  </si>
  <si>
    <t xml:space="preserve">     ECC Contributions</t>
  </si>
  <si>
    <t xml:space="preserve">     Terminal Leave Benefits</t>
  </si>
  <si>
    <t xml:space="preserve">     Other Personnel Benefits</t>
  </si>
  <si>
    <t>Personal Benefits Contibutions</t>
  </si>
  <si>
    <t>Total Personal Benefits</t>
  </si>
  <si>
    <t>MAINTENANCE AND OTHER OPERATING EXPENSES</t>
  </si>
  <si>
    <t>Travelling Expenses</t>
  </si>
  <si>
    <t xml:space="preserve">     Travelling Expenses - Local</t>
  </si>
  <si>
    <t>Supplies and Material Expenses</t>
  </si>
  <si>
    <t xml:space="preserve">     Office Supplies Expenses</t>
  </si>
  <si>
    <t xml:space="preserve">     Accountable Forms Expenses</t>
  </si>
  <si>
    <t xml:space="preserve">     Animal/Zoological Supplies Expenses</t>
  </si>
  <si>
    <t xml:space="preserve">     Food Supplies Expense</t>
  </si>
  <si>
    <t xml:space="preserve">     Drugs and Medicines Expenses</t>
  </si>
  <si>
    <t xml:space="preserve">     Medical, Dental and Laboratory Supplies Expenses</t>
  </si>
  <si>
    <t xml:space="preserve">     Gasoline, Oil and Lubricants Expenses</t>
  </si>
  <si>
    <t xml:space="preserve">     Agricultural Supplies Expenses</t>
  </si>
  <si>
    <t xml:space="preserve">     Other Supplies Expense</t>
  </si>
  <si>
    <t>Utility Expenses</t>
  </si>
  <si>
    <t xml:space="preserve">     Electricity Expenses</t>
  </si>
  <si>
    <t xml:space="preserve">     Water Expenses</t>
  </si>
  <si>
    <t>Communication Expenses</t>
  </si>
  <si>
    <t xml:space="preserve">     Postage and Deliveries</t>
  </si>
  <si>
    <t xml:space="preserve">    Telephone Expense - Landline</t>
  </si>
  <si>
    <t xml:space="preserve">    Telephone Expense - Mobile</t>
  </si>
  <si>
    <t>Membership Dues and Contibutions to Organizations</t>
  </si>
  <si>
    <t>Subscription Expenses</t>
  </si>
  <si>
    <t>Professional Services</t>
  </si>
  <si>
    <t xml:space="preserve">     Auditing Services</t>
  </si>
  <si>
    <t xml:space="preserve">     Environment/ Sanitary Expenses</t>
  </si>
  <si>
    <t xml:space="preserve">     General Services</t>
  </si>
  <si>
    <t xml:space="preserve">     Janitorial Services</t>
  </si>
  <si>
    <t xml:space="preserve">     Security Services</t>
  </si>
  <si>
    <t xml:space="preserve">     Other Professional Services</t>
  </si>
  <si>
    <t>Repairs and Maintenance</t>
  </si>
  <si>
    <t>Land and Improvements</t>
  </si>
  <si>
    <t xml:space="preserve">     Repairs and Maintenance - Land Improvements</t>
  </si>
  <si>
    <t xml:space="preserve">     Repairs and Maintenance - Office Buildings</t>
  </si>
  <si>
    <t xml:space="preserve">     Repairs and Maintenance - Other Structure</t>
  </si>
  <si>
    <t xml:space="preserve">     Repairs and Maintenance - Office Equipment</t>
  </si>
  <si>
    <t xml:space="preserve">     Repairs and Maintenance - IT Equipment and Software</t>
  </si>
  <si>
    <t xml:space="preserve">     Repairs and Maintenance - School Buildings</t>
  </si>
  <si>
    <t xml:space="preserve">     Repairs and Maintenance - Markets and Slaughterhouses</t>
  </si>
  <si>
    <t>Office Equipment, Furniture and Fixtures</t>
  </si>
  <si>
    <t xml:space="preserve">     Repairs and Maintenance - Construction and Heavy Equipment</t>
  </si>
  <si>
    <t xml:space="preserve">     Repairs and Maintenance - Other Equipment</t>
  </si>
  <si>
    <t>Machineries and Equipment</t>
  </si>
  <si>
    <t xml:space="preserve">     Repairs and Maintenance - Communication Equipment</t>
  </si>
  <si>
    <t xml:space="preserve">     Repairs and Maintenance - Other Machineries and Equipment</t>
  </si>
  <si>
    <t>Transportation Equipment</t>
  </si>
  <si>
    <t xml:space="preserve">     Repairs and Maintenance - Motor Vehicles</t>
  </si>
  <si>
    <t xml:space="preserve">     Repairs and Maintenance - Roads and Bridges</t>
  </si>
  <si>
    <t xml:space="preserve">     Repairs and Maintenance - Other Transportation Equipment</t>
  </si>
  <si>
    <t>Other Property, Plant and Equipment</t>
  </si>
  <si>
    <t xml:space="preserve">     Repairs and Maintenance - Other Property, Plant and Equipment</t>
  </si>
  <si>
    <t xml:space="preserve">     Repairs and Maintenance - Plazas, Parks and Monuments</t>
  </si>
  <si>
    <t xml:space="preserve">     Repairs and Maintenance - Artesian Wells, Reservoirs,Pumping Stations and Conduits</t>
  </si>
  <si>
    <t>Taxes, Insurance Premiums and Other Fees</t>
  </si>
  <si>
    <t>Confidential, Intelligence, Extraordinary and Miscellaneous Expenses</t>
  </si>
  <si>
    <t xml:space="preserve">     Miscellaneous Expenses</t>
  </si>
  <si>
    <t xml:space="preserve">     Fidelity Bond Premium</t>
  </si>
  <si>
    <t xml:space="preserve">     Insurance Expense</t>
  </si>
  <si>
    <t>Non- Cash Expenses</t>
  </si>
  <si>
    <t xml:space="preserve">Depreciation </t>
  </si>
  <si>
    <t xml:space="preserve">     Land Improvements</t>
  </si>
  <si>
    <t xml:space="preserve">          Depreciation - Land Improvement</t>
  </si>
  <si>
    <t xml:space="preserve">          Depreciation - Electrification, Power and Energy</t>
  </si>
  <si>
    <t xml:space="preserve">     Buildings</t>
  </si>
  <si>
    <t xml:space="preserve">          Depreciation - Office Building</t>
  </si>
  <si>
    <t xml:space="preserve">          Depreciation - School Buildings</t>
  </si>
  <si>
    <t xml:space="preserve">          Depreciation - Hospitals and Health Centers</t>
  </si>
  <si>
    <t xml:space="preserve">          Depreciation - Markets and Slaughterhouse</t>
  </si>
  <si>
    <t xml:space="preserve">     Office Equipment, Furniture and Fixtures</t>
  </si>
  <si>
    <t xml:space="preserve">         Depreciation - Office Equipment</t>
  </si>
  <si>
    <t xml:space="preserve">         Depreciation - Furnitures and Fixtures</t>
  </si>
  <si>
    <t xml:space="preserve">         Depreciation - IT Equipment</t>
  </si>
  <si>
    <t xml:space="preserve">         Depreciation - Library Books</t>
  </si>
  <si>
    <t xml:space="preserve">     Machineries and Equipment</t>
  </si>
  <si>
    <t xml:space="preserve">         Depreciation - Communication Equipment</t>
  </si>
  <si>
    <t xml:space="preserve">         Depreciation - Construction and Heavy Equipment</t>
  </si>
  <si>
    <t xml:space="preserve">         Depreciation - Other Machineries and Equipment</t>
  </si>
  <si>
    <t xml:space="preserve">         Depreciation - Motor Vehicles</t>
  </si>
  <si>
    <t xml:space="preserve">         Depreciation - Other Transportation Equipment</t>
  </si>
  <si>
    <t xml:space="preserve">        Other Maintenance and Operating Expenses</t>
  </si>
  <si>
    <t xml:space="preserve">         Depreciation - Hospital Equipment</t>
  </si>
  <si>
    <t xml:space="preserve">     Transportation and Equipment</t>
  </si>
  <si>
    <t xml:space="preserve">      Other Maintenance and Operating Expenses</t>
  </si>
  <si>
    <t xml:space="preserve">         Loss of Assets</t>
  </si>
  <si>
    <t>TOTAL OPERATING EXPENSES</t>
  </si>
  <si>
    <t>INCOME FROM OPERATIONS</t>
  </si>
  <si>
    <t>FINANCIAL EXPENSES</t>
  </si>
  <si>
    <t>Share from Internal Revenue Allotment</t>
  </si>
  <si>
    <t>Collection from Taxpayers</t>
  </si>
  <si>
    <t>Receipts from sale of goods and services</t>
  </si>
  <si>
    <t>Dividend Income</t>
  </si>
  <si>
    <t>Other Receipts</t>
  </si>
  <si>
    <t>Total Cash Flows</t>
  </si>
  <si>
    <t>Payment to-</t>
  </si>
  <si>
    <t xml:space="preserve">    Suppliers/ Creditors</t>
  </si>
  <si>
    <t xml:space="preserve">    Employees</t>
  </si>
  <si>
    <t>Other Disbursements</t>
  </si>
  <si>
    <t>Cash Provided by (Used In)</t>
  </si>
  <si>
    <t>Sale of Property, Plant and Equipment</t>
  </si>
  <si>
    <t>Sale of Debt Securities of Other Entities</t>
  </si>
  <si>
    <t>Collection of Principal on Loans to Other Entities</t>
  </si>
  <si>
    <t>Purchase of Property, Plant and Equipment and Public Infrastructures</t>
  </si>
  <si>
    <t>Purchase of Debt Securities of Other Entities</t>
  </si>
  <si>
    <t>Grant/Loans to Other Entities</t>
  </si>
  <si>
    <t>Issuance of Debt Securities</t>
  </si>
  <si>
    <t>Acquisition of Loan</t>
  </si>
  <si>
    <t>Retirement/Redemption of Debt Securities</t>
  </si>
  <si>
    <t>Payment of Loan Amortization</t>
  </si>
  <si>
    <t>Net Cash Provided By ( Used In )</t>
  </si>
  <si>
    <t>Cash at the Beginning of the Period</t>
  </si>
  <si>
    <t>Cash at the End of the Period</t>
  </si>
  <si>
    <t>Interest Expenses</t>
  </si>
  <si>
    <t>Income before Subsidies, Donations and Extraordinary Items</t>
  </si>
  <si>
    <t>Income before Extraordinary Items</t>
  </si>
  <si>
    <t>Total Receivables</t>
  </si>
  <si>
    <t>Total Transportation Equipment</t>
  </si>
  <si>
    <t>Subsidy from Other LGU's</t>
  </si>
  <si>
    <t>Add:</t>
  </si>
  <si>
    <t>Subsidy from Other National Government Agencies</t>
  </si>
  <si>
    <t xml:space="preserve">Less: </t>
  </si>
  <si>
    <t>Subsidy to National Government Agencies</t>
  </si>
  <si>
    <t>Subsidy to Local Government Units</t>
  </si>
  <si>
    <t xml:space="preserve">      Total</t>
  </si>
  <si>
    <t>Add (Less) Extraordinary Items:</t>
  </si>
  <si>
    <t>Gain/Loss on Sale of Securities</t>
  </si>
  <si>
    <t>Total Property, Plant and Equipment</t>
  </si>
  <si>
    <t>Total Public Infrastructure</t>
  </si>
  <si>
    <t xml:space="preserve">    Overtime and Night Pay</t>
  </si>
  <si>
    <t>Technical and Scientific Equipment</t>
  </si>
  <si>
    <t xml:space="preserve">     Military &amp; Police Supply</t>
  </si>
  <si>
    <t>Printing and Binding Expense</t>
  </si>
  <si>
    <t xml:space="preserve">     Repairs and Maintenance - Firefighting Equipment</t>
  </si>
  <si>
    <t>Deferred Credits</t>
  </si>
  <si>
    <t>Total Financial Charges</t>
  </si>
  <si>
    <t>Repairs and Maintenance - School Buildings</t>
  </si>
  <si>
    <t>Salaries and Wages - Casual</t>
  </si>
  <si>
    <t>Agricultural Sipplies Expenses</t>
  </si>
  <si>
    <t>Military &amp; Police Supply</t>
  </si>
  <si>
    <t>Postage and Deliveries</t>
  </si>
  <si>
    <t>Printing and Binding Expenses</t>
  </si>
  <si>
    <t>Subscriptions Expenses</t>
  </si>
  <si>
    <t>Other Professional Services</t>
  </si>
  <si>
    <t>Repair and Maintenance - Market and Slaugtherhouse</t>
  </si>
  <si>
    <t>Repairs and Maintenance - Firerfighting Equipment</t>
  </si>
  <si>
    <t>Miscellaneous Expenses</t>
  </si>
  <si>
    <t>Deferred Special Education Tax Income</t>
  </si>
  <si>
    <t xml:space="preserve">Certified Correct: </t>
  </si>
  <si>
    <t xml:space="preserve">    Accumulated Depreciation - Office Building</t>
  </si>
  <si>
    <t xml:space="preserve">    Accumulated Depreciation - School Buildings</t>
  </si>
  <si>
    <t xml:space="preserve">    Accumulated Depreciation - Other Structure</t>
  </si>
  <si>
    <t xml:space="preserve">    Accumulated Depreciation - Office Equipment</t>
  </si>
  <si>
    <t xml:space="preserve">    Accumulated Depreciation - Furniture and Fixtures</t>
  </si>
  <si>
    <t xml:space="preserve">    Accumulated Depreciation - IT Equipment</t>
  </si>
  <si>
    <t xml:space="preserve">    Accumulated Depreciation - Library Books</t>
  </si>
  <si>
    <t xml:space="preserve">    Accumulated Depreciation - Artesian Wells, Reservoirs</t>
  </si>
  <si>
    <t xml:space="preserve">    Accumulated Depreciation - Other Transportation Equipment</t>
  </si>
  <si>
    <t xml:space="preserve">    Accumulated Depreciation - Motor Vehicles</t>
  </si>
  <si>
    <t xml:space="preserve">    Accumulated Depreciation - Other Machineries and Equipment</t>
  </si>
  <si>
    <t xml:space="preserve">    Accumulated Depreciation - Medical, Dental and Lab. Equipment</t>
  </si>
  <si>
    <t xml:space="preserve">    Accumulated Depreciation - Construction and Heavy Equipment</t>
  </si>
  <si>
    <t xml:space="preserve">    Accumulated Depreciation - Communication Equipment</t>
  </si>
  <si>
    <t>GF</t>
  </si>
  <si>
    <t>Total Business Income</t>
  </si>
  <si>
    <t>Total Permits and Licenses</t>
  </si>
  <si>
    <t xml:space="preserve">     Repairs and Maintenance - Electrification,Power &amp; Energy</t>
  </si>
  <si>
    <t>Consolidated Detailed Statement of Income and Expenses</t>
  </si>
  <si>
    <t>Statement of Cash Flows</t>
  </si>
  <si>
    <t>For the year ended December 31, 2011</t>
  </si>
  <si>
    <t>As of December 31, 2011</t>
  </si>
  <si>
    <t>For the Year Ended December 31, 2011</t>
  </si>
  <si>
    <t>(With Comparative Figures for CY 2010)</t>
  </si>
  <si>
    <t>Gen. Fund</t>
  </si>
  <si>
    <t>Internet Expenses</t>
  </si>
  <si>
    <t>Roads, Highways and Bridges</t>
  </si>
  <si>
    <t>Accounts Receivable</t>
  </si>
  <si>
    <t>Receivables - Disallowances/Charges</t>
  </si>
  <si>
    <t>Fees on Weights and Measures</t>
  </si>
  <si>
    <t>Salaries and Wages - Contracrual</t>
  </si>
  <si>
    <t>Environment/Sanitary Services</t>
  </si>
  <si>
    <t>Repairs and Maintenance - Land Improvements</t>
  </si>
  <si>
    <t>Repairs and Maintenance - Irrigation, Canals &amp; Laterals</t>
  </si>
  <si>
    <t>Repairs and Maintenance - Other Machineries and Heavy Equipment</t>
  </si>
  <si>
    <t xml:space="preserve">    Accumulated Depreciation - Technical and Scientific Equipment</t>
  </si>
  <si>
    <t>Depreciation - Technical and Scientific Equipment</t>
  </si>
  <si>
    <t>Gain/Loss on Sale of Disposed Assets</t>
  </si>
  <si>
    <t xml:space="preserve">         Depreciation - Technical and Scientific Equipment</t>
  </si>
  <si>
    <t>Receivables - Disallowances/ Charges</t>
  </si>
  <si>
    <t>Receivable - Disallowances/Charges</t>
  </si>
  <si>
    <t>TOTAL ASSETS</t>
  </si>
  <si>
    <t>MIGUEL ALVARADO</t>
  </si>
  <si>
    <r>
      <t>Certified Correcct</t>
    </r>
    <r>
      <rPr>
        <sz val="10"/>
        <rFont val="Arial"/>
        <family val="2"/>
      </rPr>
      <t>:</t>
    </r>
  </si>
  <si>
    <t>Consolidated Detailed Balance Sheet</t>
  </si>
  <si>
    <t>Prepared by:</t>
  </si>
  <si>
    <t>MARILYN D. BINAG</t>
  </si>
  <si>
    <t>Administrative Staff</t>
  </si>
  <si>
    <t>Prepared By:</t>
  </si>
  <si>
    <t xml:space="preserve">     Administrative Staff</t>
  </si>
  <si>
    <t>Certified Correct</t>
  </si>
  <si>
    <t>Gains on Sales of Disposed Assets</t>
  </si>
  <si>
    <t>Total Current Assets</t>
  </si>
  <si>
    <t>Total Non-Current Assets</t>
  </si>
  <si>
    <t>Statement of Financial Position - General Fund</t>
  </si>
  <si>
    <t>Tax Revenue</t>
  </si>
  <si>
    <t>Service and Business Income</t>
  </si>
  <si>
    <t>Personnel Services</t>
  </si>
  <si>
    <t>Financial Expenses</t>
  </si>
  <si>
    <t>Add (Deduct):</t>
  </si>
  <si>
    <t>Surplus (Deficit) for the period</t>
  </si>
  <si>
    <t>₱</t>
  </si>
  <si>
    <t>Cash Balance at the End of the Year</t>
  </si>
  <si>
    <t>Add: Cash at the Beginning of the year</t>
  </si>
  <si>
    <t xml:space="preserve">       Financing Activites</t>
  </si>
  <si>
    <t>Total Cash Provided by Operating, Investing and</t>
  </si>
  <si>
    <t>Net Cash Flows from Financing Activities</t>
  </si>
  <si>
    <t xml:space="preserve">    Total Cash Outflows</t>
  </si>
  <si>
    <t xml:space="preserve">    Payment of loan amortization</t>
  </si>
  <si>
    <t xml:space="preserve">     Total Cash Inflows</t>
  </si>
  <si>
    <t xml:space="preserve">     Proceeds from Loans</t>
  </si>
  <si>
    <t>Cash Inflows</t>
  </si>
  <si>
    <t>Cash Flows from Financing Activities</t>
  </si>
  <si>
    <t>Net Cash Flows from Investing Activities</t>
  </si>
  <si>
    <t xml:space="preserve">          Equipment</t>
  </si>
  <si>
    <t xml:space="preserve">    Purchase/Construction of Property, Plant and</t>
  </si>
  <si>
    <t xml:space="preserve">          and Equipment</t>
  </si>
  <si>
    <t xml:space="preserve">     Proceeds from Sale/Disposal of Property, Plant</t>
  </si>
  <si>
    <t>Cash Flows from Investing Activities</t>
  </si>
  <si>
    <t>Net Cash Flows from Operating Activities</t>
  </si>
  <si>
    <t>Other Expenses</t>
  </si>
  <si>
    <t>Payments to employees</t>
  </si>
  <si>
    <t>Payment of expenses</t>
  </si>
  <si>
    <t xml:space="preserve">    Total Cash Inflows</t>
  </si>
  <si>
    <t>Receipts from business/service income</t>
  </si>
  <si>
    <t>Collection from taxpayers</t>
  </si>
  <si>
    <t>Cash Flows from Operating Activities</t>
  </si>
  <si>
    <t>Balance at December 31</t>
  </si>
  <si>
    <t>Total recognized revenue and expenses for the period</t>
  </si>
  <si>
    <t>Surplus (deficit) for the period</t>
  </si>
  <si>
    <t>Adjustment of net revenue recognized directly in net assets/equity</t>
  </si>
  <si>
    <t>Add (Deduct) Changes in net assets/equity during the year</t>
  </si>
  <si>
    <t>Restated Balance</t>
  </si>
  <si>
    <t>Prior Period Errors/Adjustments</t>
  </si>
  <si>
    <t>Change in Accounting Policy</t>
  </si>
  <si>
    <t>Balance at January 1</t>
  </si>
  <si>
    <t>Surpluses/(Deficits)</t>
  </si>
  <si>
    <t>Accumulated</t>
  </si>
  <si>
    <t>PART IV - ANNEXES</t>
  </si>
  <si>
    <t>As at December 31, 2025</t>
  </si>
  <si>
    <t>(With Comparative Figures for CY 2024)</t>
  </si>
  <si>
    <t>For the Year Ended December 31, 2025</t>
  </si>
  <si>
    <t>Proceeds from Loan</t>
  </si>
  <si>
    <t>CITY GOVERNMENT OF SANTIAGO</t>
  </si>
  <si>
    <t>Net Book Value</t>
  </si>
  <si>
    <t>Road Networks</t>
  </si>
  <si>
    <t>Flood Control System</t>
  </si>
  <si>
    <t>Information and Communication Technology Equipment</t>
  </si>
  <si>
    <t>1 volume encyclopedia</t>
  </si>
  <si>
    <t>1 pc english-tagalog dictionary</t>
  </si>
  <si>
    <t>1 pc english-filipino dictionary</t>
  </si>
  <si>
    <t>1 pc dictionary</t>
  </si>
  <si>
    <t>1 pc local government code implementing rules</t>
  </si>
  <si>
    <t>Description</t>
  </si>
  <si>
    <t>Books</t>
  </si>
  <si>
    <t>Acquisition Date</t>
  </si>
  <si>
    <t>Acqusition Cost</t>
  </si>
  <si>
    <t xml:space="preserve"> 1 unit cellphone</t>
  </si>
  <si>
    <t xml:space="preserve"> 3 units computer set</t>
  </si>
  <si>
    <t>7 units cylinder pump + installation,  drilling</t>
  </si>
  <si>
    <t>5 units cylinder pump materials and labor</t>
  </si>
  <si>
    <t>1 unit jetmatic pump-champion</t>
  </si>
  <si>
    <t>1 unit honda engine set</t>
  </si>
  <si>
    <t>1 unit pressurized tank 120 gals cap</t>
  </si>
  <si>
    <t>For doors repairs of various offices</t>
  </si>
  <si>
    <t>1 pc. English -  tagalog dictionary</t>
  </si>
  <si>
    <t>1 numbered bir rulings</t>
  </si>
  <si>
    <t>1 pc. Real property tax</t>
  </si>
  <si>
    <t>1 pc. Transfer &amp; business tax</t>
  </si>
  <si>
    <t>1 pc. Public admin</t>
  </si>
  <si>
    <t>1 pc business &amp; tranfer tax</t>
  </si>
  <si>
    <t>1 pc. Civil code of the phils.</t>
  </si>
  <si>
    <t>1 pc. Local gov't code</t>
  </si>
  <si>
    <t xml:space="preserve">1 pc. Agrarian reform </t>
  </si>
  <si>
    <t>1 pc. Bldg. Code of the phils</t>
  </si>
  <si>
    <t>1 pc electrical code ref</t>
  </si>
  <si>
    <t>1 pc fire code of the phils</t>
  </si>
  <si>
    <t>1 pc senior citizen law</t>
  </si>
  <si>
    <t>1 pc structural design, data and specifications</t>
  </si>
  <si>
    <t>1 set new book of knowledge encyclopedia 2002 edition (21 vols.)</t>
  </si>
  <si>
    <t>1 volume groliers ffqa</t>
  </si>
  <si>
    <t>1 volume groliers ffqh</t>
  </si>
  <si>
    <t>1 volume atlas dictionary</t>
  </si>
  <si>
    <t>1 set pop. Science -6 volumes</t>
  </si>
  <si>
    <t>1 set land &amp; people 6 volumes</t>
  </si>
  <si>
    <t>1 set question &amp; answer- 12  volumes</t>
  </si>
  <si>
    <t>1 set science encyclopedia 10 volumes</t>
  </si>
  <si>
    <t>1 set harry potter 5 volumes</t>
  </si>
  <si>
    <t>1 set under microscope 8 volumes</t>
  </si>
  <si>
    <t>1 set ancient history 10 volumes</t>
  </si>
  <si>
    <t>2 sets international accounting standards - sfas</t>
  </si>
  <si>
    <t>1 set dictionary</t>
  </si>
  <si>
    <t>38 pcs. Anotated local gov't code 2004 edition</t>
  </si>
  <si>
    <t>38 pcs. Family code</t>
  </si>
  <si>
    <t>38 pcs administrative code</t>
  </si>
  <si>
    <t>2 sets rba manual vol. 1 to v11 and participants guide part 1 &amp; 11</t>
  </si>
  <si>
    <t>1 bacterial dis. Res. In plants: molecular biology &amp; biotechnology applications co2 by vedhyasekaran</t>
  </si>
  <si>
    <t>1 copy handbook of seed physiology application to agriculture co4 arnold</t>
  </si>
  <si>
    <t xml:space="preserve">1 copy of agro meteorology principles &amp; applications of climate studies in agriculture co4- mavi </t>
  </si>
  <si>
    <t>1 copy the next green revolution: essential steps to a healthy sustainable  agri  co1- by home</t>
  </si>
  <si>
    <t>1 copy nutrient use in crop prod. C98- rengel</t>
  </si>
  <si>
    <t>1 copy plant growth regulators in agri &amp; horti- culture their role &amp; commercial users  coo- by basra</t>
  </si>
  <si>
    <t>1 copy cropping sys: trends &amp; advances co3 by shrestha</t>
  </si>
  <si>
    <t>1 copy encyclopedia dictionary of plant breeding  &amp; related subj co3-by schelegel</t>
  </si>
  <si>
    <t>3 sets biology book - textbook</t>
  </si>
  <si>
    <t>5 pcs. Tech &amp; livelihood educ. Textbook 3</t>
  </si>
  <si>
    <t>5 pcs. Tech &amp; livelihood educ. Textbook 4</t>
  </si>
  <si>
    <t>5 pcs. English 4 textbook</t>
  </si>
  <si>
    <t>18 pcs. Mathematics workbook 1-4</t>
  </si>
  <si>
    <t>1 pc. Expanding mathematics 4 textbook</t>
  </si>
  <si>
    <t>1 pc local legislators toolbox</t>
  </si>
  <si>
    <t>1 pc local gov't code (salin sa pilipino) by  geronimo alilio</t>
  </si>
  <si>
    <t>1 pc lokal na badget at pananalapi</t>
  </si>
  <si>
    <t>1 pc. Model code of general ord. (for cities)   by: reverendo m. Dihan</t>
  </si>
  <si>
    <t>1 pc orendains saggunian rules of procedures  rev. Ed by: antonio orendain</t>
  </si>
  <si>
    <t>Model traffic code for cities &amp; municipalities   by: reverendo m. Dihan</t>
  </si>
  <si>
    <t>1 pc senate rules of procedures</t>
  </si>
  <si>
    <t>3 pcs local gov't code</t>
  </si>
  <si>
    <t>1 pc obligations and contracts</t>
  </si>
  <si>
    <t>1 pc phil standards on auditing &amp; phil auditing  practice statements vol. 2,  2005</t>
  </si>
  <si>
    <t>1 pc phil standards on auditing practice  statements vol. 3 , 2005</t>
  </si>
  <si>
    <t>1 pc phil standards on auditing &amp; phil auditing  practice statements vi,  2005</t>
  </si>
  <si>
    <t>1 set coa decision vol. 1 &amp; 2 by: melchor pentinio</t>
  </si>
  <si>
    <t>1 unit ang bagong filipino-english dictionary</t>
  </si>
  <si>
    <t>1 unit  filipino-english dictionary</t>
  </si>
  <si>
    <t>1 pc english-pilipino dictionary</t>
  </si>
  <si>
    <t>1 pc international webster dictionary</t>
  </si>
  <si>
    <t>1 pc pilipino - english dictionary</t>
  </si>
  <si>
    <t>1 pc rules &amp; regulations implementing the local gov't code of 1991</t>
  </si>
  <si>
    <t>1 pc the local gov't of 1991</t>
  </si>
  <si>
    <t>1 pc robert's rules of order- newly revised</t>
  </si>
  <si>
    <t>1 english-filipino dictionary</t>
  </si>
  <si>
    <t>1 local gov't code of 1991  2005 edition</t>
  </si>
  <si>
    <t>1 english- filipino dictionary</t>
  </si>
  <si>
    <t>1 vol. English- filipino dictionary</t>
  </si>
  <si>
    <t>1 vol. Ang bagong english dictionary</t>
  </si>
  <si>
    <t>1 vol. Organizational behavior &amp; management</t>
  </si>
  <si>
    <t>1 vol. New english- filipino dictionary</t>
  </si>
  <si>
    <t>1 vol. Collins concise thesaurus</t>
  </si>
  <si>
    <t>1 vol. The lgc of 1991 annotated</t>
  </si>
  <si>
    <t>1 vol. Human resource management principles &amp; practices</t>
  </si>
  <si>
    <t>1 vol. English- tagalog dictionary</t>
  </si>
  <si>
    <t>1 vol. Phil. Civil services law</t>
  </si>
  <si>
    <t>1 vol. Rules &amp; regulation implementing the local gov't code of 1991</t>
  </si>
  <si>
    <t>1 pc partneship for slum improvement</t>
  </si>
  <si>
    <t>1 pc  2005 phil. Statistical yearbook</t>
  </si>
  <si>
    <t>1 pc. Reference manual on project</t>
  </si>
  <si>
    <t>1 pc. Policy advocacy handbook</t>
  </si>
  <si>
    <t>1 pc making phil. Cities child friendly</t>
  </si>
  <si>
    <t>1 unit vol. The new english-pilipino dictionary</t>
  </si>
  <si>
    <t>6436 budget operation manual</t>
  </si>
  <si>
    <t>1 set books (local government codes)</t>
  </si>
  <si>
    <t>15 pcs books- local gov't code 1991 ra- 7160</t>
  </si>
  <si>
    <t>15 pcs books- family code of the phils</t>
  </si>
  <si>
    <t>15 pcs books- constitution of the republic of the phils</t>
  </si>
  <si>
    <t>1 pc local government code 1991</t>
  </si>
  <si>
    <t>1 unit neutron fit casing, black</t>
  </si>
  <si>
    <t>1 pc fundamental of the 1987 constitution vol 1</t>
  </si>
  <si>
    <t>1 pc fundamental of the 1987 constitution vol 2</t>
  </si>
  <si>
    <t>1 pc parliamentary rules rotarians 2007 edited  by:  abad</t>
  </si>
  <si>
    <t>25 pcs clup guidebook vol 1. The planning process</t>
  </si>
  <si>
    <t>25 pcs clup guidebook vol 2. Sectoral analysis</t>
  </si>
  <si>
    <t>25 pcs clup guidebook vol 3. Model zoning ordinance</t>
  </si>
  <si>
    <t>25 pcs supplemental guidelines on main-streaming climate change &amp; disaster risk in the clup</t>
  </si>
  <si>
    <t>5 pcs. Books ra 9520 phil. Cooperative code of 2008</t>
  </si>
  <si>
    <t>Book, law on natural resources</t>
  </si>
  <si>
    <t>Clup guidebooks (3 sets x p2,000.00/set)</t>
  </si>
  <si>
    <t>1 set cooperative books</t>
  </si>
  <si>
    <t>1 unit base motorola 103tege 156</t>
  </si>
  <si>
    <t>2 sets curtain for tourist bus  belgium materials w/ pinhooks, accessories &amp; installation</t>
  </si>
  <si>
    <t>1 unit concrete screeder 13 ft 6hp</t>
  </si>
  <si>
    <t xml:space="preserve"> 1 unt hp 1410 printer / copier/ scanner</t>
  </si>
  <si>
    <t xml:space="preserve"> 1 unit monitor 17"  brand: lcd  lg collins  color:  black</t>
  </si>
  <si>
    <t xml:space="preserve"> 1 unit laptop computer  aspire one d250 - 1 bb 10.1" with soft case  model: kav60  sn: lus680b220935376a81601</t>
  </si>
  <si>
    <t xml:space="preserve"> 1 set acer 18.5" led desktop computer     sn:  mmltuss0042380zf334238</t>
  </si>
  <si>
    <t>1 unit laptop,  matebook d15</t>
  </si>
  <si>
    <t>Desktop monitor 15-12th gen s/n:u4dx042202221 motherboard hg10 s/n: 244360064627, 8gb ram team group tpd48g3200hc2201, 21.5 led monitor nvision n2255 pro s/n: nq220bce2503300819 keyboard mouse bundle, casing w/ 700watts power supply, avr, windows 11 with printer single function eco tank epson l121 s/n x9lv733975</t>
  </si>
  <si>
    <t>1 unit kawasaki bajaj motorcyle ct100</t>
  </si>
  <si>
    <t>1 unit rusi motorcycle model: ramfine mpw 100 w/ rai gp w/o od tpl only, make: rusi, type: ramfire mpw 100, color:  black, engine #:  rf150fmg8g100005, chassis #:  rfclxpc/oca10000, plate:  wsq-946</t>
  </si>
  <si>
    <t>1 unit motorcycle, kawasaki, bajaj ct100</t>
  </si>
  <si>
    <t>50 unit sewing machine, high speed, juki (@8,700)</t>
  </si>
  <si>
    <t>1 unit water pump 1..5 hp</t>
  </si>
  <si>
    <t>Materials for  water system</t>
  </si>
  <si>
    <t>Labor cost- cost of marker- gateway</t>
  </si>
  <si>
    <t>Labor cost- calija, wilfredo et al</t>
  </si>
  <si>
    <t>Labor cost- joselito sia et al</t>
  </si>
  <si>
    <t>Labor cost- roderick diaz et al</t>
  </si>
  <si>
    <t>Labor cost- alfredo jordan et al</t>
  </si>
  <si>
    <t>Labor cost- jonathan ignacio etal</t>
  </si>
  <si>
    <t>Labor cost- edgar villanueva etal</t>
  </si>
  <si>
    <t xml:space="preserve">7 units purok directory - </t>
  </si>
  <si>
    <t>Labor cost- james balani etal</t>
  </si>
  <si>
    <t>Labor cost- domino benigno etal</t>
  </si>
  <si>
    <t>Construction materials for police outpost:</t>
  </si>
  <si>
    <t>Labor cost- domingo benigno et al</t>
  </si>
  <si>
    <t>Labor cost- martin santiago et al</t>
  </si>
  <si>
    <t>Const. Materials for the completion of santiago city police office  multi purpose hall</t>
  </si>
  <si>
    <t>1 unit bahay kubo</t>
  </si>
  <si>
    <t>Alex fulong, et al   labor on const.of warehouse-city hall  compound for the period august 1-15, 2018</t>
  </si>
  <si>
    <t>Danilo buza, et al - continuing appropriation  labor on const. Of warehouse @ city hall  compound for nthe period 8/16-31/2018</t>
  </si>
  <si>
    <t>Labor cost- construction of proposed  city bakeshop  lgu counterpart for  the bub project for sap for the  period jan. 16-31, 2017</t>
  </si>
  <si>
    <t>Labor cost const. Of santiago city  bakeshop -lgu counterpart on   bub project for the period feb. 1-15, 2017</t>
  </si>
  <si>
    <t>Alex fulong, et al - labor on const. Of warehouse  at city hall compound for the period 9/1-15/2018</t>
  </si>
  <si>
    <t>Welcome marker (repair)</t>
  </si>
  <si>
    <t>Repainting of perimeter fence</t>
  </si>
  <si>
    <t>Cost of paint for repainting district jail female dormitory</t>
  </si>
  <si>
    <t>Cost of paint for repainting for bjmp male dormitory</t>
  </si>
  <si>
    <t>Beautification, sanitation  and ventilation of female jail  facility, bjmp</t>
  </si>
  <si>
    <t>Cost of materials &amp; supplies to be use in the repair of slaughter- house facilites</t>
  </si>
  <si>
    <t>Cost of mtls. For the repair of welcome marker</t>
  </si>
  <si>
    <t>Cost of materials for the construction of septic tank</t>
  </si>
  <si>
    <t>3 sets sliding windows</t>
  </si>
  <si>
    <t>Labor cost 2/1-15/2019</t>
  </si>
  <si>
    <t>Labor cost for construction improvement of muliti purpose building</t>
  </si>
  <si>
    <t>Labor cost-rehabilitation of multi-purpose sheds  6/1-15/2019</t>
  </si>
  <si>
    <t>Labor cost-construction/improvement of multi- purpose building 6/1-15/2019</t>
  </si>
  <si>
    <t>Labor cost-rehabilitation of multi-purpose sheds  6/16-30/2019</t>
  </si>
  <si>
    <t>Labor cost-construction/improvement of multi- purpose building, 6/16-30/2019</t>
  </si>
  <si>
    <t>Labor cost-construction/improvement of multi- purpose building, 07/1-15/2019</t>
  </si>
  <si>
    <t>Labor cost for the construction of septic tank december 16-31, 2019</t>
  </si>
  <si>
    <t>1 unit hanging cabinet 48"x60 1/2"x8x13/16" powdered white coat w/ 3/8 plywood backdrop and frameless magnetic glass cover</t>
  </si>
  <si>
    <t>Mario dela cruz, et al- labor cost for the rehabilitation of street lights @ barangay rizal (december 1-15, 2024) 8000-017-2-1-10-002</t>
  </si>
  <si>
    <t>Materials for the installation of power supply of greenhouse at gunot rizal, santiago city. Pr# 03-0202-25 po# 03-274-25</t>
  </si>
  <si>
    <t>1 pc law dictionary</t>
  </si>
  <si>
    <t>Cost of materials for renovation of drainage canals &amp; septic tanks</t>
  </si>
  <si>
    <t>10 pcs grafted calamansi</t>
  </si>
  <si>
    <t>Market</t>
  </si>
  <si>
    <t>Subtotal</t>
  </si>
  <si>
    <t>1 pc. Websters dictionary- 10th edition, thick, encyclopedia britanica co.</t>
  </si>
  <si>
    <t>1 set dewey decimal classification (ddc) 21st edition</t>
  </si>
  <si>
    <t>1 set sears list of subject reading 14th edition</t>
  </si>
  <si>
    <t>1 pc revised penal code 15th edition by: luis b. Reyes</t>
  </si>
  <si>
    <t>1 pc 1987 constitution of the r.p.a. comentary by: joaquin bernas, 2009 edition</t>
  </si>
  <si>
    <t xml:space="preserve"> computer monitor</t>
  </si>
  <si>
    <t>2 units graphic card geforce rtx 3060, 12gb 192bit</t>
  </si>
  <si>
    <t>1unit aircon 1.5hp split type inverter with installation</t>
  </si>
  <si>
    <t>Ruben labaniego sr et al-labor cost for the construction of warehouse building @ city hall compound</t>
  </si>
  <si>
    <t>Ruben labaniego sr et al-labor cost for the construction and improvement of warehouse at the city hall compound     </t>
  </si>
  <si>
    <t>Labor cost for the construction and improvement of warehouse at the city hall compound</t>
  </si>
  <si>
    <t>Nelson santiago et al- labor cost for the construction and improvement of warehouse building @ city hall compound (august 16-31, 2025)</t>
  </si>
  <si>
    <t>Ruben labaniego sr et al- labor cost for the construction and improvement of warehouse building @ city hall compound (august 16-31, 2025)</t>
  </si>
  <si>
    <t>Various electrical materials for the  installation of sub-meter for ducting exhaust fan</t>
  </si>
  <si>
    <t>Const materials for the drainage canal cover</t>
  </si>
  <si>
    <t>Const. Materials for drainage canal in gate 4 near public cr</t>
  </si>
  <si>
    <t>Drainage rehebilitation &amp; maintenance  of reinforced concrete pipe canal at matute st., san andres</t>
  </si>
  <si>
    <t>Drainage rehabilitation and maintenance of concrete pipe crossing at mangga st calaocan</t>
  </si>
  <si>
    <t>Labor cost-drainage rehabilitation &amp; maintenance  of reinforced concrete pipe canal for the period</t>
  </si>
  <si>
    <t>Labor cost-drainage rehabilitation &amp; maintenance</t>
  </si>
  <si>
    <t xml:space="preserve">Labor cost-drainage rehabilitation &amp; maintenance  of curb and gutter </t>
  </si>
  <si>
    <t>Alex fulong, et al -labor on drainage rehab &amp; maint. Of 1.0m x 1.0m reinforced concrete box culvert (new cemetery road, calaocan for the period 5/16-31/2018</t>
  </si>
  <si>
    <t>Labor cost-drainage rehabilitation of taguinod and tumanut street february 01-15, 2019</t>
  </si>
  <si>
    <t>Labor cost-drainage rehabilitation of taguinod and tumanut street</t>
  </si>
  <si>
    <t xml:space="preserve">Package 19-60 community development projects citywide </t>
  </si>
  <si>
    <t>Labor cost for the drainage rehabilitation &amp; improvement of manhole cover &amp; inlet gratings ( october 01-15, 2020)</t>
  </si>
  <si>
    <t>Danilo buza, et al-labor cost july 16-31, 2021</t>
  </si>
  <si>
    <t>Virgilio ramos jr., et al-labor cost august 16-31, 2021</t>
  </si>
  <si>
    <t>Cristobal gallardo, et al-labor cost nov 16-30, 2021</t>
  </si>
  <si>
    <t>Cost of materials for rehabilitation/improvement  of drainage canal</t>
  </si>
  <si>
    <t>Labor cost for the construction of drainage canal @ city hall compound (september 1-15, 2024)</t>
  </si>
  <si>
    <t>Nelson santiago et al -labor cost for the construction of drainage canal of bulwagan ng mamamayan (november 01-15, 2024)</t>
  </si>
  <si>
    <t>Labor cost for the construction of drainage canal @ public market (september 1-15,2025)</t>
  </si>
  <si>
    <t xml:space="preserve">Construction materials for drainage canal at balagtas st. Brgy. Victory norte. </t>
  </si>
  <si>
    <t xml:space="preserve">Construction materials for the construction/rehabilitation of drainage canal at del pilar ave. Corner malvar st., rosario </t>
  </si>
  <si>
    <t>Labor cost for the construction and improvement of public market (march 1-15, 2024)</t>
  </si>
  <si>
    <t xml:space="preserve">Labor cost for the concreting of parking area of public market (may 01-21, 2024) </t>
  </si>
  <si>
    <t>Mario cainglet et al- labor cost for the construction of multi purpose shed  bagsakan sinsayon 8000-016-2-1-10-003-001</t>
  </si>
  <si>
    <t>Mario dela cruz et al- labor cost for the improvement of 4 lanes plaza facility - october 16-31, 2025 8000-020-2-1-10-003-001 ordinance no.11thcc-170</t>
  </si>
  <si>
    <t>Alexander king et al-labor cost for the improvement of 4 lanes plaza facility @ malvar (october 16-31, 2025)  8000-020-2-1-10-003-001</t>
  </si>
  <si>
    <t xml:space="preserve"> labor cost- june apilado et al</t>
  </si>
  <si>
    <t>Labor cost - artemio andres et al</t>
  </si>
  <si>
    <t>Labor cost - angelito espiritu et al</t>
  </si>
  <si>
    <t xml:space="preserve"> labor cost- michael taberna et al</t>
  </si>
  <si>
    <t>Labor cost - robert javier et al</t>
  </si>
  <si>
    <t>Labor cost - eleazar mallare</t>
  </si>
  <si>
    <t xml:space="preserve"> labor cost- mario castelo et al</t>
  </si>
  <si>
    <t>Labor cost - joan pascual</t>
  </si>
  <si>
    <t xml:space="preserve">Labor cost - joseph espiritu </t>
  </si>
  <si>
    <t>Labor cost - wilfredo espiritu et al</t>
  </si>
  <si>
    <t>Labor cost - rodelio dumaliang et al</t>
  </si>
  <si>
    <t xml:space="preserve"> labor cost- marlon litonjua et al</t>
  </si>
  <si>
    <t xml:space="preserve"> labor cost-joel sotto</t>
  </si>
  <si>
    <t>Alex fulong, et al - labor on improvement of restroom  at city hall</t>
  </si>
  <si>
    <t xml:space="preserve">Danilo buza et al - labor on repair &amp; maint. Of dpos bldg.,cdrrmo bldg.,cco bldg. </t>
  </si>
  <si>
    <t>Eugenio cumarat, et al - labor on interior repainting of balay na santiago</t>
  </si>
  <si>
    <t>Ruben labaniego, et al-labor on maintenance of  government bldg. (interior repainting of  balay na santiago</t>
  </si>
  <si>
    <t>Mario dela cruz, et al, labor cost for the installation of electrical materials of multi-purpose building  (january 16-31, 2021)</t>
  </si>
  <si>
    <t>Danilo buza, et al, labor cost for the construction of motorpool guard house (february 1-15, 2021)</t>
  </si>
  <si>
    <t>Efren butalina, et al, labor cost for the installation of electrical materials of multi-purpose building (february 1-15, 2021)</t>
  </si>
  <si>
    <t>Danilo buza, et al, labor cost for the construction of motorpool guard house (february 16-28, 2021)</t>
  </si>
  <si>
    <t>1 lot analok partition w/ installation 199x130x72  (for office partition)</t>
  </si>
  <si>
    <t>Cristobal gallardo, et al - labor cost for the improvement of multi-purpose building of brgy. San andres (august 1-15, 2021)</t>
  </si>
  <si>
    <t>Const of steel gate of brgy hall sta rosa</t>
  </si>
  <si>
    <t>Const of steel gate of  community center ( front) sta rosa</t>
  </si>
  <si>
    <t>Const of steel gate of  community center ( side) sta rosa</t>
  </si>
  <si>
    <t>Const of steel gate of sta rosa e/s</t>
  </si>
  <si>
    <t>Labor cost - const of farm animal  fence enclosure at dariuk hills for the period june 01-15, 2017</t>
  </si>
  <si>
    <t>Labor cost- farm animals fence enclosure for the period  july 01-15, 2017</t>
  </si>
  <si>
    <t>Labor cost- farm animal fence enclosure dariuk hills eco tourism center</t>
  </si>
  <si>
    <t>Ruben labaniego sr, et al - labor on construction of perimeter fence of various schools in stgo. City for the period 5/16-31/2018</t>
  </si>
  <si>
    <t>Labor cost for the construction/rehabilitation of new public market pay parking  8000-012-2-1-10-003-001</t>
  </si>
  <si>
    <t>Labor cost for the construction/rehabilitation of new public market pay parking. Feb. 1-15, 2023 (8000-012-2-1-10-003-001)</t>
  </si>
  <si>
    <t>Equipment rental for the contruction/rehabilitation of new public market pay parking area (asphalt overlay)</t>
  </si>
  <si>
    <t>Joel valdez et al-labor cost for the dariuk hills eco-tourism center dev.(improvement of water system (march 01-15, 2024) - ordinance no. 10thcc-151-2021 (8000-016-2-1-10-002-001)</t>
  </si>
  <si>
    <t>Cost of materials for rennovation of 14 station of cross at dariuk</t>
  </si>
  <si>
    <t>Ramil benito, et al labor cost for the city hall park development project  (installation of water lines) july 1-15, 2021</t>
  </si>
  <si>
    <t>Ramil benito, et al labor cost for the city hall park development project  (installation of water lines) july 16-31, 2021</t>
  </si>
  <si>
    <t>Quirino avenue, victory norte, santiago city</t>
  </si>
  <si>
    <t>Grand Total</t>
  </si>
  <si>
    <t>Motor Vehicle</t>
  </si>
  <si>
    <t>1 unit everest aircon 1hp split type wall mounted                                                  
indoor s/n: 34057691505584270120090                                                                        
outdoor s/n: 3405769150685020130216</t>
  </si>
  <si>
    <t>Floor tiles of admin. Building</t>
  </si>
  <si>
    <t>Lists of Semi-Expendable Expenses that were recorded as PPE</t>
  </si>
  <si>
    <t>Accumulated Depreciation</t>
  </si>
  <si>
    <t>Acquisition Cost</t>
  </si>
  <si>
    <t>Other Machinery and Equipment</t>
  </si>
  <si>
    <t>Buildings</t>
  </si>
  <si>
    <t>Other Land Improvement</t>
  </si>
  <si>
    <t>Parks, Plazas and Monuments</t>
  </si>
  <si>
    <t>CASH AND CASH EQUIVALENTS</t>
  </si>
  <si>
    <t>Cash Local Treasury</t>
  </si>
  <si>
    <t>Cash in Bank - Local Currency</t>
  </si>
  <si>
    <t>Total Cash and Cash Equivalents</t>
  </si>
  <si>
    <t>PREPAYMENTS AND DEFERRED CHARGES</t>
  </si>
  <si>
    <t>NON CURRENT ASSETS</t>
  </si>
  <si>
    <t>PROPERTY, PLANT AND EQUIPMENT</t>
  </si>
  <si>
    <t>Land Improvements, Aquaculture Structures</t>
  </si>
  <si>
    <t>Accumulated Depreciation - Land Improvements, Aquaculture Structures</t>
  </si>
  <si>
    <t>Other Land Improvements</t>
  </si>
  <si>
    <t>Accumulated Depreciation - Other Land Improvements</t>
  </si>
  <si>
    <t>Total Land Improvements</t>
  </si>
  <si>
    <t>Infrastructure Assets</t>
  </si>
  <si>
    <t>Accumulated Depreciation - Road Networks</t>
  </si>
  <si>
    <t>Flood Control Systems</t>
  </si>
  <si>
    <t>Accumulated Depreciation - Flood Control Sytems</t>
  </si>
  <si>
    <t>Water Supply Systems</t>
  </si>
  <si>
    <t>Accumulated Depreciation - Water Supply Systems</t>
  </si>
  <si>
    <t>Power Supply Systems</t>
  </si>
  <si>
    <t>Accumulated Depreciation - Power Supply Sytems</t>
  </si>
  <si>
    <t>Total Infrastructure Assets</t>
  </si>
  <si>
    <t>Buildings and Other Structures</t>
  </si>
  <si>
    <t>Accumulated Depreciation - Buildings</t>
  </si>
  <si>
    <t>Accumulated Depreciation - School Buildings</t>
  </si>
  <si>
    <t>Accumulated Depreciation -Hospitals and Health Centers</t>
  </si>
  <si>
    <t>Markets</t>
  </si>
  <si>
    <t>Accumulated Depreciation - Markets</t>
  </si>
  <si>
    <t>Slaughterhouses</t>
  </si>
  <si>
    <t>Accumulated Depreciation -Slaughterhouses</t>
  </si>
  <si>
    <t>Accumulated Depreciation - Other Structures</t>
  </si>
  <si>
    <t>Total Buildings and Other Structures</t>
  </si>
  <si>
    <t>Machinery and Equipment</t>
  </si>
  <si>
    <t>Accumulated Depreciation - Office Equipment</t>
  </si>
  <si>
    <t>Accumulated Depreciation - Information and Communication Technology Equipment</t>
  </si>
  <si>
    <t>Agriculture and Forestry Equipment</t>
  </si>
  <si>
    <t>Accumulated Depreciation -Agricultural and Forestry Equipment</t>
  </si>
  <si>
    <t>Accumulated Depreciation - Communication Equipment</t>
  </si>
  <si>
    <t>Accumulated Depreciation -Construction and Heavy Equipment</t>
  </si>
  <si>
    <t>Disaster Response and Rescue Equipment</t>
  </si>
  <si>
    <t>Accumulated Depreciation - Disaster Response and Rescue Equipment</t>
  </si>
  <si>
    <t>Medical Equipment</t>
  </si>
  <si>
    <t>Accumulated Depreciation -Medical Equipment</t>
  </si>
  <si>
    <t>Accumulated Depreciation - Technical and Scientific Equipment</t>
  </si>
  <si>
    <t>Accumulated Depreciation -Other Machinery and Equipment</t>
  </si>
  <si>
    <t>Total Machinery and Equipment</t>
  </si>
  <si>
    <t>Accumulated Depreciation - Motor Vehicles</t>
  </si>
  <si>
    <t>Furniture, Fixtures and Books</t>
  </si>
  <si>
    <t>Accumulated Depreciation - Furniture and Fixtures</t>
  </si>
  <si>
    <t>Total Furniture, Fixtures and Books</t>
  </si>
  <si>
    <t>Construction in Progress</t>
  </si>
  <si>
    <t>Construction in Progress - Buildings and Other Structures</t>
  </si>
  <si>
    <t>Construction in Progress - Infrastructure Assets</t>
  </si>
  <si>
    <t>Accumulated Depreciation - Other Property, Plant and Equipment</t>
  </si>
  <si>
    <t>FINANCIAL LIABILITIES</t>
  </si>
  <si>
    <t>Total Financial Liabilities</t>
  </si>
  <si>
    <t>INTER-AGENCY PAYABLES</t>
  </si>
  <si>
    <t>Due to Pag-Ibig</t>
  </si>
  <si>
    <t>Due to PhilHealth</t>
  </si>
  <si>
    <t>Due to NGAS</t>
  </si>
  <si>
    <t>Due to GOCCs</t>
  </si>
  <si>
    <t>Total Inter-Agency Payables</t>
  </si>
  <si>
    <t>INTRA-AGENCY PAYABLES</t>
  </si>
  <si>
    <t>Total Intra-Agency Payables</t>
  </si>
  <si>
    <t>Due to Other Funds</t>
  </si>
  <si>
    <t>TRUST LIABILITIES</t>
  </si>
  <si>
    <t>Bail Bonds Payable</t>
  </si>
  <si>
    <t>Guaranty/Security Deposits Payable</t>
  </si>
  <si>
    <t>Total Trust Liabilities</t>
  </si>
  <si>
    <t>DEFERRED CREDITS/UNEARNED INCOME</t>
  </si>
  <si>
    <t>Deferred Real Property Tax</t>
  </si>
  <si>
    <t>NON-CURRENT LIABILITIES</t>
  </si>
  <si>
    <t>OTHER PAYABLES</t>
  </si>
  <si>
    <t>Total Other Payables</t>
  </si>
  <si>
    <t>Total Non-Current Liabilities</t>
  </si>
  <si>
    <t>GOVERNMENT EQUITY</t>
  </si>
  <si>
    <t>Add (Deduct)</t>
  </si>
  <si>
    <t>Prior Period Errors</t>
  </si>
  <si>
    <t>Add (Deduct) Changes in net assets/equity</t>
  </si>
  <si>
    <t>TOTAL LIABILITIES AND GOVERNMENT EQUITY</t>
  </si>
  <si>
    <t>Accumulated Impairment Losses - Land</t>
  </si>
  <si>
    <t>Total Land</t>
  </si>
  <si>
    <t xml:space="preserve">LAND IMPROVEMENTS </t>
  </si>
  <si>
    <t>Trust Liabilities - DRRM</t>
  </si>
  <si>
    <t>Total Deferred Credits/Unearned Income</t>
  </si>
  <si>
    <t>Due from Other Funds</t>
  </si>
  <si>
    <t>Deferred Special Education Tax</t>
  </si>
  <si>
    <t>PPREPAYMENTS AND DEFERRED CHARGES</t>
  </si>
  <si>
    <t>Total Prepayments and Deferred Charges</t>
  </si>
  <si>
    <t>Costruction in Progress</t>
  </si>
  <si>
    <t>INCOME</t>
  </si>
  <si>
    <t>Real Property Tax - Basic</t>
  </si>
  <si>
    <t>Tax on Sand, Gravel and Other Quarry Products</t>
  </si>
  <si>
    <t>Total Tax Revenue</t>
  </si>
  <si>
    <t>Share from Internal Revenue Collections (IRA)</t>
  </si>
  <si>
    <t>Other Service Income</t>
  </si>
  <si>
    <t>Receipt from Market Operations</t>
  </si>
  <si>
    <t>Receipt from Cemetery Operations</t>
  </si>
  <si>
    <t>Total Service and Business Income</t>
  </si>
  <si>
    <t>Share, Grants and Donations</t>
  </si>
  <si>
    <t>Share from PCSO</t>
  </si>
  <si>
    <t>TOTAL REVENUE</t>
  </si>
  <si>
    <t>CURRENT OPERATING EXPENSES</t>
  </si>
  <si>
    <t>Salaries and Wages</t>
  </si>
  <si>
    <t>Other Compensation</t>
  </si>
  <si>
    <t>Subsistence Allowance</t>
  </si>
  <si>
    <t>Overtime and Night Pay</t>
  </si>
  <si>
    <t>Year-End Bonus</t>
  </si>
  <si>
    <t>Cash Gift</t>
  </si>
  <si>
    <t>Other Bonuses and Allowance</t>
  </si>
  <si>
    <t>Total Other Compensation</t>
  </si>
  <si>
    <t>Personnel Benefit Contributions</t>
  </si>
  <si>
    <t>Retirement and Life Insurance Premiums</t>
  </si>
  <si>
    <t>Pag-IBIG Contributions</t>
  </si>
  <si>
    <t>PhilHealth Contributions</t>
  </si>
  <si>
    <t>Employees Compensation Insurance Premiums</t>
  </si>
  <si>
    <t>Total Other Personnel Benefits</t>
  </si>
  <si>
    <t>Maintenance and Other Operating Expense</t>
  </si>
  <si>
    <t>Travelling Expense</t>
  </si>
  <si>
    <t>Training and Scholarship Expenses</t>
  </si>
  <si>
    <t>Scholarship Grants/Expenses</t>
  </si>
  <si>
    <t>Total Training and Scholarship Expense</t>
  </si>
  <si>
    <t>Accountable Forms Expenses</t>
  </si>
  <si>
    <t>Fuel, Oil and Lubricant Expenses</t>
  </si>
  <si>
    <t>Total Supplies and Material Expenses</t>
  </si>
  <si>
    <t>Telephone Expenses</t>
  </si>
  <si>
    <t>Internet Subscription Expenses</t>
  </si>
  <si>
    <t>Total Communication Expenses</t>
  </si>
  <si>
    <t>Awards/Rewards and Prizes</t>
  </si>
  <si>
    <t>Prizes</t>
  </si>
  <si>
    <t>Other General Services</t>
  </si>
  <si>
    <t>Repairs and Maintenance - Infrastructure Assets</t>
  </si>
  <si>
    <t>Repairs and Maintenance - Buildings and Other Structures</t>
  </si>
  <si>
    <t>Repairs and Maintenance - Machinery and Equipment</t>
  </si>
  <si>
    <t>Repairs and Maintenance - Transportation Equipment</t>
  </si>
  <si>
    <t>Total Repairs and Maintenance</t>
  </si>
  <si>
    <t>Taxes, Duties and Licenses</t>
  </si>
  <si>
    <t>Fidelity Bond Premiums</t>
  </si>
  <si>
    <t>Insurance Expenses</t>
  </si>
  <si>
    <t>Total Taxes, Insurance Premiums and Other Fees</t>
  </si>
  <si>
    <t>Printing and Publication Expenses</t>
  </si>
  <si>
    <t>Total Maintenance and Other Operating Expenses</t>
  </si>
  <si>
    <t>Non-Cash Expenses</t>
  </si>
  <si>
    <t>Depreciation - Land Improvements</t>
  </si>
  <si>
    <t>Depreciation - Infrastructure Assets</t>
  </si>
  <si>
    <t>Depreciation - Buildings and Other Structures</t>
  </si>
  <si>
    <t>Depreciation - Machinery and Equipment</t>
  </si>
  <si>
    <t>Depreciation - Transportation Equipment</t>
  </si>
  <si>
    <t>Depreciation - Furniture, Fixtures and Books</t>
  </si>
  <si>
    <t>Depreciation - Other Property, Plant and Equipment</t>
  </si>
  <si>
    <t>Total Non-Cash Expenses</t>
  </si>
  <si>
    <t>TOTAL CURRENT OPEARATING EXPENSES</t>
  </si>
  <si>
    <t>SURPLUS (DEFICIT) FROM CURRENT OPERATION</t>
  </si>
  <si>
    <t>Transfers, Assistance and Subsidy From</t>
  </si>
  <si>
    <t>Transfers, Assistance and Subsidy To</t>
  </si>
  <si>
    <t>SURPLUS (DEFICIT) FOR THE PERIOD</t>
  </si>
  <si>
    <t>Total Personnel Services</t>
  </si>
  <si>
    <t>Welfare Goods Expenses</t>
  </si>
  <si>
    <t>Agricultural and Marine Supplies Expenses</t>
  </si>
  <si>
    <t>Other Supplies and Material Expenses</t>
  </si>
  <si>
    <t>Total Other Maintenance and Operating Expenses</t>
  </si>
  <si>
    <t xml:space="preserve">Special Education Tax </t>
  </si>
  <si>
    <t>Other Supplies and Materials for Distribution</t>
  </si>
  <si>
    <t>Fees for Sealing and Licensing of Weights and Measures</t>
  </si>
  <si>
    <t>Receipt from Slaughterhouse Operation</t>
  </si>
  <si>
    <t>Total Shares, Grants and Donations</t>
  </si>
  <si>
    <t>Total Salaries and Wages</t>
  </si>
  <si>
    <t>Salaries and Wages - Casual/Contractual</t>
  </si>
  <si>
    <t>Laundry Allowance</t>
  </si>
  <si>
    <t>Semi-Expendable Machinery and Equipment Expenses</t>
  </si>
  <si>
    <t>Semi-Expendable Furniture, Fixtures and Books Expenses</t>
  </si>
  <si>
    <t>Textbooks and Instructional Materials Expenses</t>
  </si>
  <si>
    <t>Repairs and Mainetance - Furniture and Fixture</t>
  </si>
  <si>
    <t>Statement of Financial Position - Special Education Fund</t>
  </si>
  <si>
    <t>Statement of Financial Position - Trust Fund</t>
  </si>
  <si>
    <t>Statement of Financial Performance - Special Education Fund</t>
  </si>
  <si>
    <t>Statement of Financial Performance - General Fund</t>
  </si>
  <si>
    <t>Statement of Changes in Net Assets/Equity - General Fund</t>
  </si>
  <si>
    <t>Statement of Changes in Net Assets/Equity - Special Education Fund</t>
  </si>
  <si>
    <t>Statement of Changes in Net Assets/Equity - Trust Fund</t>
  </si>
  <si>
    <t>Statement of Cash Flows - General Fund</t>
  </si>
  <si>
    <t>Statement of Cash Flows - Special Education Fund</t>
  </si>
  <si>
    <t>Statement of Cash Flows - Trust Fund</t>
  </si>
  <si>
    <t>Municipality of Baggao</t>
  </si>
  <si>
    <t>Cash in Bank - Local Currency, Current Account</t>
  </si>
  <si>
    <t>Cash in Bank - Local Currency, Savings Account</t>
  </si>
  <si>
    <t>Welfare Goods for Distribution</t>
  </si>
  <si>
    <t>Raw Materials Inventory</t>
  </si>
  <si>
    <t>Accountable Forms, Plates and Stickers</t>
  </si>
  <si>
    <t>Sewer Systems</t>
  </si>
  <si>
    <t>Accumulated Depreciation - Sewer Systems</t>
  </si>
  <si>
    <t>Other Infrastructure Assets</t>
  </si>
  <si>
    <t>Accumulated Depreciation - Other Infrastructure Assets</t>
  </si>
  <si>
    <t>Sports Equipment</t>
  </si>
  <si>
    <t>Accumulated Depreciation - Sports Equipment</t>
  </si>
  <si>
    <t>Watercrafts</t>
  </si>
  <si>
    <t>Accumulated Depreciation - Watercrafts</t>
  </si>
  <si>
    <t>Construction in Progress - Land Improvements</t>
  </si>
  <si>
    <t>Leave Benefits Payable</t>
  </si>
  <si>
    <t>Accumulated Depreciation - Flood Control Systems</t>
  </si>
  <si>
    <t>Construction in Progress - Building and Other Structures</t>
  </si>
  <si>
    <t>Customers' Deposits Payable</t>
  </si>
  <si>
    <t>Adjustmemnt of net revenue recognized directly in net assets/equity</t>
  </si>
  <si>
    <t>Discount on Real Property Tax - Basic</t>
  </si>
  <si>
    <t>Tax Revenue - Property Taxes</t>
  </si>
  <si>
    <t>Occupation Fees</t>
  </si>
  <si>
    <t>Longevity Pay</t>
  </si>
  <si>
    <t>Food Supplies Expenses</t>
  </si>
  <si>
    <t>Demolition/Relocation and Desilting/Dredging Expenses</t>
  </si>
  <si>
    <t>Desilting and Dredging Expenses</t>
  </si>
  <si>
    <t>Total General Services</t>
  </si>
  <si>
    <t>Repairs and Mainetance - Other Property, Plant and Equipment</t>
  </si>
  <si>
    <t>Grants and Donations in Kind</t>
  </si>
  <si>
    <t>Depreciation - Infrastracture Assets</t>
  </si>
  <si>
    <t>Statement of Financial Performance - Trust Fund</t>
  </si>
  <si>
    <t>Payments to suppliers and creditors</t>
  </si>
  <si>
    <t>Payment to supplier and creditors</t>
  </si>
  <si>
    <t>Payment to suppliers and creditors</t>
  </si>
  <si>
    <t>Payment to employees</t>
  </si>
  <si>
    <t xml:space="preserve">     Other Receipts</t>
  </si>
  <si>
    <t>Baggao, Cagayan</t>
  </si>
  <si>
    <t>INDIVIDUAL LOAN PROFILE</t>
  </si>
  <si>
    <t>Name of Loan                                                            :</t>
  </si>
  <si>
    <t>Disaster Management Assistance Fund (DMAF)</t>
  </si>
  <si>
    <t>Type of Loan</t>
  </si>
  <si>
    <t>:</t>
  </si>
  <si>
    <t>Kind of Indebtedness</t>
  </si>
  <si>
    <t>Domestic</t>
  </si>
  <si>
    <t>Purpose of loan</t>
  </si>
  <si>
    <t>Acquisition of Heavy Equipment</t>
  </si>
  <si>
    <t>Authority for Loan</t>
  </si>
  <si>
    <t>SB Resolution No. 087, S. 2011</t>
  </si>
  <si>
    <t>Bank/Lending Institution</t>
  </si>
  <si>
    <t>Department of Finance-MDFO</t>
  </si>
  <si>
    <t>Amount</t>
  </si>
  <si>
    <r>
      <t>Date of Loan:</t>
    </r>
    <r>
      <rPr>
        <sz val="10"/>
        <rFont val="Times New Roman"/>
        <family val="1"/>
      </rPr>
      <t xml:space="preserve">  07/25/2012</t>
    </r>
  </si>
  <si>
    <t>Maturity Date</t>
  </si>
  <si>
    <t>9/15/2027</t>
  </si>
  <si>
    <t>Payment Terms</t>
  </si>
  <si>
    <t>(See attached amortization schedule/repayments made)</t>
  </si>
  <si>
    <t>Interest Rate</t>
  </si>
  <si>
    <t>Amount of Interest:</t>
  </si>
  <si>
    <t>Other Charges</t>
  </si>
  <si>
    <t>Projects/ funded or to be funded out of the loan and amount/s involved:</t>
  </si>
  <si>
    <t>Acquisition of Heavy Equipments</t>
  </si>
  <si>
    <t>1 unit Wheel Loader</t>
  </si>
  <si>
    <r>
      <t xml:space="preserve">1 unit Bulldozer </t>
    </r>
    <r>
      <rPr>
        <b/>
        <i/>
        <sz val="10"/>
        <rFont val="Times New Roman"/>
        <family val="1"/>
      </rPr>
      <t>(Actual Cost 25,650,000.00)</t>
    </r>
  </si>
  <si>
    <t>Source of funding to be used in paying the loan           :</t>
  </si>
  <si>
    <t>Internal Revenue Allotamen (IRA)</t>
  </si>
  <si>
    <t>Guarantee/ Collateral provided, if any</t>
  </si>
  <si>
    <t>None</t>
  </si>
  <si>
    <t>Current Outstanding Loan Balance</t>
  </si>
  <si>
    <t>Arrears, if any</t>
  </si>
  <si>
    <t>Principal:None</t>
  </si>
  <si>
    <t>Interest:None</t>
  </si>
  <si>
    <t>Deposit to Bond Sinking Fund for the Year          :  None</t>
  </si>
  <si>
    <t xml:space="preserve">Name of Loan                                                         </t>
  </si>
  <si>
    <t>DBP under Assistance for Economic and Social Development (ASENSO) Program</t>
  </si>
  <si>
    <t>Term</t>
  </si>
  <si>
    <t>Acquisition of Land</t>
  </si>
  <si>
    <t>SB Resolution No. 151 S. 2023</t>
  </si>
  <si>
    <t>Development Bank of the Philippines</t>
  </si>
  <si>
    <r>
      <t>Date of Loan:</t>
    </r>
    <r>
      <rPr>
        <sz val="10"/>
        <rFont val="Times New Roman"/>
        <family val="1"/>
      </rPr>
      <t xml:space="preserve">  07/10/2023</t>
    </r>
  </si>
  <si>
    <t>7/10/2038</t>
  </si>
  <si>
    <t xml:space="preserve">Other Charges </t>
  </si>
  <si>
    <t>GRT    P331,086.11</t>
  </si>
  <si>
    <t>TCT No. 032-2923008533 - 9,956 sq m</t>
  </si>
  <si>
    <t>TCT No. 032-2023009567 - 1,200 sq m</t>
  </si>
  <si>
    <t>As of December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</si>
</sst>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 #,##0.00\ _€_-;\-* #,##0.00\ _€_-;_-* &quot;-&quot;??\ _€_-;_-@_-"/>
    <numFmt numFmtId="166" formatCode="_(* #,##0.0000_);_(* \(#,##0.0000\);_(* &quot;-&quot;??_);_(@_)"/>
  </numFmts>
  <fonts count="8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sz val="12"/>
      <name val="Arial"/>
      <family val="2"/>
    </font>
    <font>
      <b/>
      <sz val="11"/>
      <name val="Arial"/>
      <family val="2"/>
    </font>
    <font>
      <b/>
      <sz val="10"/>
      <name val="Arial"/>
      <family val="2"/>
    </font>
    <font>
      <b/>
      <sz val="9"/>
      <name val="Arial"/>
      <family val="2"/>
    </font>
    <font>
      <b/>
      <sz val="8"/>
      <name val="Arial"/>
      <family val="2"/>
    </font>
    <font>
      <sz val="10"/>
      <name val="Arial"/>
      <family val="2"/>
    </font>
    <font>
      <b/>
      <u/>
      <sz val="10"/>
      <name val="Arial"/>
      <family val="2"/>
    </font>
    <font>
      <sz val="8"/>
      <name val="Arial"/>
      <family val="2"/>
    </font>
    <font>
      <sz val="11"/>
      <name val="Arial"/>
      <family val="2"/>
    </font>
    <font>
      <sz val="8"/>
      <name val="Arial"/>
      <family val="2"/>
    </font>
    <font>
      <u/>
      <sz val="10"/>
      <name val="Copperplate Gothic Bold"/>
      <family val="2"/>
    </font>
    <font>
      <b/>
      <sz val="10"/>
      <name val="Arial"/>
      <family val="2"/>
    </font>
    <font>
      <sz val="10"/>
      <name val="Arial"/>
      <family val="2"/>
    </font>
    <font>
      <u/>
      <sz val="10"/>
      <name val="Arial"/>
      <family val="2"/>
    </font>
    <font>
      <sz val="11"/>
      <color indexed="8"/>
      <name val="Calibri"/>
      <family val="2"/>
    </font>
    <font>
      <sz val="10"/>
      <name val="Calibri"/>
      <family val="2"/>
    </font>
    <font>
      <sz val="10"/>
      <color indexed="8"/>
      <name val="Calibri"/>
      <family val="2"/>
    </font>
    <font>
      <b/>
      <i/>
      <sz val="10"/>
      <name val="Arial"/>
      <family val="2"/>
    </font>
    <font>
      <sz val="8"/>
      <name val="Arial"/>
      <family val="2"/>
    </font>
    <font>
      <b/>
      <i/>
      <sz val="12"/>
      <name val="Arial"/>
      <family val="2"/>
    </font>
    <font>
      <b/>
      <u/>
      <sz val="12"/>
      <name val="Century Schoolbook"/>
      <family val="1"/>
    </font>
    <font>
      <b/>
      <u/>
      <sz val="10"/>
      <name val="Century Schoolbook"/>
      <family val="1"/>
    </font>
    <font>
      <u/>
      <sz val="12"/>
      <name val="Century Schoolbook"/>
      <family val="1"/>
    </font>
    <font>
      <b/>
      <sz val="12"/>
      <name val="Century Schoolbook"/>
      <family val="1"/>
    </font>
    <font>
      <sz val="9"/>
      <name val="Arial"/>
      <family val="2"/>
    </font>
    <font>
      <b/>
      <i/>
      <sz val="9"/>
      <name val="Arial"/>
      <family val="2"/>
    </font>
    <font>
      <b/>
      <sz val="14"/>
      <name val="Times New Roman"/>
      <family val="1"/>
    </font>
    <font>
      <sz val="10"/>
      <color indexed="8"/>
      <name val="MS Sans Serif"/>
      <family val="2"/>
    </font>
    <font>
      <b/>
      <sz val="11.05"/>
      <color indexed="8"/>
      <name val="Arial"/>
      <family val="2"/>
    </font>
    <font>
      <sz val="10"/>
      <color indexed="8"/>
      <name val="MS Sans Serif"/>
      <family val="2"/>
    </font>
    <font>
      <sz val="11"/>
      <color theme="1"/>
      <name val="Calibri"/>
      <family val="2"/>
      <scheme val="minor"/>
    </font>
    <font>
      <u/>
      <sz val="11"/>
      <color theme="10"/>
      <name val="Calibri"/>
      <family val="2"/>
    </font>
    <font>
      <u/>
      <sz val="11.2"/>
      <color theme="10"/>
      <name val="MS Sans Serif"/>
      <family val="2"/>
    </font>
    <font>
      <sz val="14"/>
      <color theme="1"/>
      <name val="Times New Roman"/>
      <family val="1"/>
    </font>
    <font>
      <i/>
      <sz val="14"/>
      <color theme="1"/>
      <name val="Times New Roman"/>
      <family val="1"/>
    </font>
    <font>
      <b/>
      <sz val="14"/>
      <color theme="1"/>
      <name val="Times New Roman"/>
      <family val="1"/>
    </font>
    <font>
      <b/>
      <i/>
      <sz val="14"/>
      <color theme="1"/>
      <name val="Times New Roman"/>
      <family val="1"/>
    </font>
    <font>
      <sz val="10"/>
      <name val="Arial"/>
      <family val="2"/>
    </font>
    <font>
      <sz val="10"/>
      <color indexed="8"/>
      <name val="MS Sans Serif"/>
    </font>
    <font>
      <b/>
      <sz val="11.05"/>
      <color indexed="8"/>
      <name val="Arial"/>
      <family val="2"/>
    </font>
    <font>
      <b/>
      <sz val="8.9"/>
      <color indexed="8"/>
      <name val="Bookman Old Style"/>
      <family val="1"/>
    </font>
    <font>
      <b/>
      <sz val="8.9"/>
      <color indexed="8"/>
      <name val="Bookman Old Style"/>
      <family val="1"/>
    </font>
    <font>
      <b/>
      <sz val="12"/>
      <color theme="1"/>
      <name val="Times New Roman"/>
      <family val="1"/>
    </font>
    <font>
      <sz val="12"/>
      <color theme="1"/>
      <name val="Times New Roman"/>
      <family val="1"/>
    </font>
    <font>
      <sz val="11"/>
      <name val="Times New Roman"/>
      <family val="1"/>
    </font>
    <font>
      <b/>
      <sz val="11"/>
      <name val="Times New Roman"/>
      <family val="1"/>
    </font>
    <font>
      <sz val="10"/>
      <name val="Times New Roman"/>
      <family val="1"/>
    </font>
    <font>
      <b/>
      <sz val="10"/>
      <name val="Times New Roman"/>
      <family val="1"/>
    </font>
    <font>
      <sz val="11"/>
      <color indexed="8"/>
      <name val="Times New Roman"/>
      <family val="1"/>
    </font>
    <font>
      <b/>
      <sz val="11"/>
      <color rgb="FF000000"/>
      <name val="Times New Roman"/>
      <family val="1"/>
    </font>
    <font>
      <b/>
      <sz val="11"/>
      <color indexed="8"/>
      <name val="Times New Roman"/>
      <family val="1"/>
    </font>
    <font>
      <sz val="10"/>
      <color rgb="FF000000"/>
      <name val="Times New Roman"/>
      <family val="1"/>
    </font>
    <font>
      <sz val="11"/>
      <color theme="1"/>
      <name val="Times New Roman"/>
      <family val="1"/>
    </font>
    <font>
      <b/>
      <i/>
      <sz val="10"/>
      <name val="Times New Roman"/>
      <family val="1"/>
    </font>
    <font>
      <b/>
      <sz val="22"/>
      <color theme="1"/>
      <name val="Times New Roman"/>
      <family val="1"/>
    </font>
    <font>
      <b/>
      <sz val="11"/>
      <color theme="1"/>
      <name val="Times New Roman"/>
      <family val="1"/>
    </font>
    <font>
      <sz val="12"/>
      <name val="Times New Roman"/>
      <family val="1"/>
    </font>
    <font>
      <b/>
      <i/>
      <sz val="12"/>
      <color theme="1"/>
      <name val="Times New Roman"/>
      <family val="1"/>
    </font>
    <font>
      <b/>
      <sz val="12"/>
      <name val="Times New Roman"/>
      <family val="1"/>
    </font>
    <font>
      <i/>
      <sz val="12"/>
      <color theme="1"/>
      <name val="Times New Roman"/>
      <family val="1"/>
    </font>
    <font>
      <sz val="12"/>
      <color indexed="8"/>
      <name val="Times New Roman"/>
      <family val="1"/>
    </font>
    <font>
      <b/>
      <u val="singleAccounting"/>
      <sz val="12"/>
      <color indexed="8"/>
      <name val="Times New Roman"/>
      <family val="1"/>
    </font>
  </fonts>
  <fills count="8">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34998626667073579"/>
        <bgColor indexed="64"/>
      </patternFill>
    </fill>
  </fills>
  <borders count="17">
    <border>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right/>
      <top/>
      <bottom style="thin">
        <color indexed="64"/>
      </bottom>
      <diagonal/>
    </border>
    <border>
      <left/>
      <right/>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s>
  <cellStyleXfs count="164">
    <xf numFmtId="0" fontId="0" fillId="0" borderId="0"/>
    <xf numFmtId="164" fontId="18" fillId="0" borderId="0" applyFont="0" applyFill="0" applyBorder="0" applyAlignment="0" applyProtection="0"/>
    <xf numFmtId="164" fontId="25"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50"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25"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25"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34" fillId="0" borderId="0" applyFont="0" applyFill="0" applyBorder="0" applyAlignment="0" applyProtection="0"/>
    <xf numFmtId="164" fontId="48" fillId="0" borderId="0" applyFont="0" applyFill="0" applyBorder="0" applyAlignment="0" applyProtection="0"/>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25" fillId="0" borderId="0"/>
    <xf numFmtId="0" fontId="50" fillId="0" borderId="0"/>
    <xf numFmtId="0" fontId="50" fillId="0" borderId="0"/>
    <xf numFmtId="0" fontId="50" fillId="0" borderId="0"/>
    <xf numFmtId="0" fontId="50" fillId="0" borderId="0"/>
    <xf numFmtId="0" fontId="50" fillId="0" borderId="0"/>
    <xf numFmtId="0" fontId="50" fillId="0" borderId="0"/>
    <xf numFmtId="0" fontId="49" fillId="0" borderId="0"/>
    <xf numFmtId="0" fontId="49" fillId="0" borderId="0"/>
    <xf numFmtId="0" fontId="49" fillId="0" borderId="0"/>
    <xf numFmtId="0" fontId="49" fillId="0" borderId="0"/>
    <xf numFmtId="0" fontId="49" fillId="0" borderId="0"/>
    <xf numFmtId="0" fontId="4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9" fillId="0" borderId="0"/>
    <xf numFmtId="0" fontId="25" fillId="0" borderId="0"/>
    <xf numFmtId="0" fontId="50" fillId="0" borderId="0"/>
    <xf numFmtId="0" fontId="50" fillId="0" borderId="0"/>
    <xf numFmtId="0" fontId="50" fillId="0" borderId="0"/>
    <xf numFmtId="0" fontId="47" fillId="0" borderId="0"/>
    <xf numFmtId="0" fontId="18" fillId="0" borderId="0"/>
    <xf numFmtId="164" fontId="17" fillId="0" borderId="0" applyFont="0" applyFill="0" applyBorder="0" applyAlignment="0" applyProtection="0"/>
    <xf numFmtId="164" fontId="57" fillId="0" borderId="0" applyFont="0" applyFill="0" applyBorder="0" applyAlignment="0" applyProtection="0"/>
    <xf numFmtId="0" fontId="17"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57" fillId="0" borderId="0" applyFont="0" applyFill="0" applyBorder="0" applyAlignment="0" applyProtection="0"/>
    <xf numFmtId="0" fontId="18" fillId="0" borderId="0" applyFont="0" applyFill="0" applyBorder="0" applyAlignment="0" applyProtection="0"/>
    <xf numFmtId="0" fontId="49" fillId="0" borderId="0"/>
    <xf numFmtId="0" fontId="49" fillId="0" borderId="0"/>
    <xf numFmtId="0" fontId="57" fillId="0" borderId="0"/>
    <xf numFmtId="0" fontId="18" fillId="0" borderId="0"/>
    <xf numFmtId="0" fontId="17" fillId="0" borderId="0"/>
    <xf numFmtId="0" fontId="18" fillId="0" borderId="0"/>
    <xf numFmtId="0" fontId="18" fillId="0" borderId="0"/>
    <xf numFmtId="0" fontId="58" fillId="0" borderId="0"/>
    <xf numFmtId="0" fontId="16" fillId="0" borderId="0"/>
    <xf numFmtId="43" fontId="16" fillId="0" borderId="0" applyFont="0" applyFill="0" applyBorder="0" applyAlignment="0" applyProtection="0"/>
    <xf numFmtId="164" fontId="59" fillId="0" borderId="0" applyFont="0" applyFill="0" applyBorder="0" applyAlignment="0" applyProtection="0"/>
    <xf numFmtId="0" fontId="15" fillId="0" borderId="0"/>
    <xf numFmtId="0" fontId="58" fillId="0" borderId="0"/>
    <xf numFmtId="164" fontId="15" fillId="0" borderId="0" applyFont="0" applyFill="0" applyBorder="0" applyAlignment="0" applyProtection="0"/>
    <xf numFmtId="0" fontId="18" fillId="0" borderId="0"/>
    <xf numFmtId="164" fontId="18" fillId="0" borderId="0" applyFont="0" applyFill="0" applyBorder="0" applyAlignment="0" applyProtection="0"/>
    <xf numFmtId="0" fontId="14" fillId="0" borderId="0"/>
    <xf numFmtId="164" fontId="14" fillId="0" borderId="0" applyFont="0" applyFill="0" applyBorder="0" applyAlignment="0" applyProtection="0"/>
    <xf numFmtId="9" fontId="14" fillId="0" borderId="0" applyFont="0" applyFill="0" applyBorder="0" applyAlignment="0" applyProtection="0"/>
    <xf numFmtId="0" fontId="13" fillId="0" borderId="0"/>
    <xf numFmtId="9" fontId="13" fillId="0" borderId="0" applyFont="0" applyFill="0" applyBorder="0" applyAlignment="0" applyProtection="0"/>
    <xf numFmtId="164" fontId="13" fillId="0" borderId="0" applyFont="0" applyFill="0" applyBorder="0" applyAlignment="0" applyProtection="0"/>
    <xf numFmtId="164" fontId="48" fillId="0" borderId="0" applyFont="0" applyFill="0" applyBorder="0" applyAlignment="0" applyProtection="0"/>
    <xf numFmtId="0" fontId="12" fillId="0" borderId="0"/>
    <xf numFmtId="164" fontId="12" fillId="0" borderId="0" applyFont="0" applyFill="0" applyBorder="0" applyAlignment="0" applyProtection="0"/>
    <xf numFmtId="0" fontId="18" fillId="0" borderId="0"/>
    <xf numFmtId="164" fontId="48" fillId="0" borderId="0" applyFont="0" applyFill="0" applyBorder="0" applyAlignment="0" applyProtection="0"/>
    <xf numFmtId="164" fontId="12" fillId="0" borderId="0" applyFont="0" applyFill="0" applyBorder="0" applyAlignment="0" applyProtection="0"/>
    <xf numFmtId="164" fontId="18" fillId="0" borderId="0" applyFont="0" applyFill="0" applyBorder="0" applyAlignment="0" applyProtection="0"/>
    <xf numFmtId="0" fontId="12" fillId="0" borderId="0"/>
    <xf numFmtId="164" fontId="11" fillId="0" borderId="0" applyFont="0" applyFill="0" applyBorder="0" applyAlignment="0" applyProtection="0"/>
    <xf numFmtId="0" fontId="11" fillId="0" borderId="0"/>
    <xf numFmtId="43" fontId="11" fillId="0" borderId="0" applyFont="0" applyFill="0" applyBorder="0" applyAlignment="0" applyProtection="0"/>
    <xf numFmtId="0" fontId="47" fillId="0" borderId="0"/>
    <xf numFmtId="164" fontId="10" fillId="0" borderId="0" applyFont="0" applyFill="0" applyBorder="0" applyAlignment="0" applyProtection="0"/>
    <xf numFmtId="0" fontId="10" fillId="0" borderId="0"/>
    <xf numFmtId="43" fontId="10"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43" fontId="60" fillId="0" borderId="0" applyFont="0" applyFill="0" applyBorder="0" applyAlignment="0" applyProtection="0"/>
    <xf numFmtId="43" fontId="61" fillId="0" borderId="0" applyFont="0" applyFill="0" applyBorder="0" applyAlignment="0" applyProtection="0"/>
    <xf numFmtId="43" fontId="9" fillId="0" borderId="0" applyFont="0" applyFill="0" applyBorder="0" applyAlignment="0" applyProtection="0"/>
    <xf numFmtId="164"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164" fontId="8" fillId="0" borderId="0" applyFont="0" applyFill="0" applyBorder="0" applyAlignment="0" applyProtection="0"/>
    <xf numFmtId="0" fontId="8" fillId="0" borderId="0"/>
    <xf numFmtId="43" fontId="8"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164" fontId="7" fillId="0" borderId="0" applyFont="0" applyFill="0" applyBorder="0" applyAlignment="0" applyProtection="0"/>
    <xf numFmtId="0" fontId="6" fillId="0" borderId="0"/>
    <xf numFmtId="164" fontId="6" fillId="0" borderId="0" applyFont="0" applyFill="0" applyBorder="0" applyAlignment="0" applyProtection="0"/>
    <xf numFmtId="164" fontId="5" fillId="0" borderId="0" applyFont="0" applyFill="0" applyBorder="0" applyAlignment="0" applyProtection="0"/>
    <xf numFmtId="0" fontId="5" fillId="0" borderId="0"/>
    <xf numFmtId="164" fontId="5" fillId="0" borderId="0" applyFont="0" applyFill="0" applyBorder="0" applyAlignment="0" applyProtection="0"/>
    <xf numFmtId="0" fontId="18" fillId="0" borderId="0"/>
    <xf numFmtId="164" fontId="18" fillId="0" borderId="0" applyFont="0" applyFill="0" applyBorder="0" applyAlignment="0" applyProtection="0"/>
    <xf numFmtId="0" fontId="71" fillId="0" borderId="0"/>
    <xf numFmtId="43" fontId="71" fillId="0" borderId="0" applyFont="0" applyFill="0" applyBorder="0" applyAlignment="0" applyProtection="0"/>
    <xf numFmtId="0" fontId="4" fillId="0" borderId="0"/>
    <xf numFmtId="164" fontId="4" fillId="0" borderId="0" applyFont="0" applyFill="0" applyBorder="0" applyAlignment="0" applyProtection="0"/>
    <xf numFmtId="0" fontId="3" fillId="0" borderId="0"/>
    <xf numFmtId="43"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2" fillId="0" borderId="0"/>
    <xf numFmtId="164" fontId="2" fillId="0" borderId="0" applyFont="0" applyFill="0" applyBorder="0" applyAlignment="0" applyProtection="0"/>
    <xf numFmtId="0" fontId="1" fillId="0" borderId="0"/>
  </cellStyleXfs>
  <cellXfs count="393">
    <xf numFmtId="0" fontId="0" fillId="0" borderId="0" xfId="0"/>
    <xf numFmtId="0" fontId="19" fillId="0" borderId="0" xfId="0" applyFont="1" applyAlignment="1">
      <alignment horizontal="center"/>
    </xf>
    <xf numFmtId="0" fontId="19" fillId="0" borderId="0" xfId="0" applyFont="1"/>
    <xf numFmtId="0" fontId="20" fillId="0" borderId="0" xfId="0" applyFont="1"/>
    <xf numFmtId="0" fontId="24" fillId="0" borderId="0" xfId="0" applyFont="1"/>
    <xf numFmtId="0" fontId="25" fillId="0" borderId="0" xfId="0" applyFont="1"/>
    <xf numFmtId="164" fontId="27" fillId="0" borderId="0" xfId="0" applyNumberFormat="1" applyFont="1"/>
    <xf numFmtId="164" fontId="28" fillId="0" borderId="0" xfId="1" applyFont="1" applyBorder="1"/>
    <xf numFmtId="0" fontId="27" fillId="0" borderId="0" xfId="0" applyFont="1"/>
    <xf numFmtId="0" fontId="27" fillId="0" borderId="1" xfId="0" applyFont="1" applyBorder="1" applyAlignment="1">
      <alignment horizontal="center"/>
    </xf>
    <xf numFmtId="0" fontId="27" fillId="0" borderId="2" xfId="0" applyFont="1" applyBorder="1" applyAlignment="1">
      <alignment horizontal="center"/>
    </xf>
    <xf numFmtId="0" fontId="27" fillId="0" borderId="3" xfId="0" applyFont="1" applyBorder="1" applyAlignment="1">
      <alignment horizontal="center"/>
    </xf>
    <xf numFmtId="0" fontId="27" fillId="0" borderId="4" xfId="0" applyFont="1" applyBorder="1"/>
    <xf numFmtId="164" fontId="27" fillId="0" borderId="4" xfId="1" applyFont="1" applyBorder="1" applyAlignment="1">
      <alignment horizontal="center"/>
    </xf>
    <xf numFmtId="164" fontId="27" fillId="0" borderId="4" xfId="1" applyFont="1" applyBorder="1"/>
    <xf numFmtId="164" fontId="27" fillId="0" borderId="4" xfId="0" applyNumberFormat="1" applyFont="1" applyBorder="1"/>
    <xf numFmtId="0" fontId="27" fillId="0" borderId="5" xfId="0" applyFont="1" applyBorder="1" applyAlignment="1">
      <alignment horizontal="center"/>
    </xf>
    <xf numFmtId="0" fontId="28" fillId="0" borderId="0" xfId="0" applyFont="1"/>
    <xf numFmtId="164" fontId="28" fillId="0" borderId="0" xfId="1" applyFont="1" applyBorder="1" applyAlignment="1">
      <alignment horizontal="center"/>
    </xf>
    <xf numFmtId="39" fontId="27" fillId="0" borderId="4" xfId="1" applyNumberFormat="1" applyFont="1" applyBorder="1"/>
    <xf numFmtId="164" fontId="28" fillId="0" borderId="0" xfId="0" applyNumberFormat="1" applyFont="1"/>
    <xf numFmtId="164" fontId="0" fillId="0" borderId="0" xfId="1" applyFont="1" applyBorder="1"/>
    <xf numFmtId="39" fontId="28" fillId="0" borderId="0" xfId="0" applyNumberFormat="1" applyFont="1"/>
    <xf numFmtId="164" fontId="0" fillId="0" borderId="0" xfId="0" applyNumberFormat="1"/>
    <xf numFmtId="0" fontId="31" fillId="0" borderId="0" xfId="0" applyFont="1"/>
    <xf numFmtId="0" fontId="32" fillId="0" borderId="0" xfId="0" applyFont="1"/>
    <xf numFmtId="164" fontId="32" fillId="0" borderId="0" xfId="1" applyFont="1" applyBorder="1"/>
    <xf numFmtId="164" fontId="27" fillId="2" borderId="4" xfId="1" applyFont="1" applyFill="1" applyBorder="1"/>
    <xf numFmtId="164" fontId="27" fillId="0" borderId="3" xfId="1" applyFont="1" applyBorder="1" applyAlignment="1">
      <alignment horizontal="center"/>
    </xf>
    <xf numFmtId="165" fontId="0" fillId="0" borderId="0" xfId="0" applyNumberFormat="1"/>
    <xf numFmtId="164" fontId="25" fillId="0" borderId="6" xfId="1" applyFont="1" applyBorder="1"/>
    <xf numFmtId="164" fontId="25" fillId="0" borderId="4" xfId="1" applyFont="1" applyBorder="1"/>
    <xf numFmtId="164" fontId="25" fillId="0" borderId="4" xfId="1" applyFont="1" applyBorder="1" applyAlignment="1">
      <alignment horizontal="center"/>
    </xf>
    <xf numFmtId="164" fontId="25" fillId="0" borderId="0" xfId="0" applyNumberFormat="1" applyFont="1"/>
    <xf numFmtId="164" fontId="25" fillId="0" borderId="0" xfId="1" applyFont="1" applyBorder="1"/>
    <xf numFmtId="0" fontId="0" fillId="0" borderId="4" xfId="0" applyBorder="1"/>
    <xf numFmtId="164" fontId="32" fillId="0" borderId="0" xfId="0" applyNumberFormat="1" applyFont="1"/>
    <xf numFmtId="0" fontId="21" fillId="0" borderId="0" xfId="0" applyFont="1"/>
    <xf numFmtId="0" fontId="22" fillId="0" borderId="0" xfId="0" applyFont="1" applyAlignment="1">
      <alignment horizontal="center"/>
    </xf>
    <xf numFmtId="0" fontId="22" fillId="0" borderId="0" xfId="0" applyFont="1"/>
    <xf numFmtId="164" fontId="25" fillId="0" borderId="0" xfId="1" applyFont="1" applyBorder="1" applyAlignment="1">
      <alignment horizontal="center"/>
    </xf>
    <xf numFmtId="164" fontId="24" fillId="0" borderId="0" xfId="0" applyNumberFormat="1" applyFont="1"/>
    <xf numFmtId="0" fontId="21" fillId="0" borderId="0" xfId="0" applyFont="1" applyAlignment="1">
      <alignment horizontal="center"/>
    </xf>
    <xf numFmtId="164" fontId="27" fillId="0" borderId="6" xfId="1" applyFont="1" applyBorder="1"/>
    <xf numFmtId="164" fontId="27" fillId="0" borderId="0" xfId="1" applyFont="1" applyBorder="1" applyAlignment="1">
      <alignment horizontal="center"/>
    </xf>
    <xf numFmtId="164" fontId="38" fillId="0" borderId="0" xfId="0" applyNumberFormat="1" applyFont="1"/>
    <xf numFmtId="164" fontId="22" fillId="0" borderId="0" xfId="0" applyNumberFormat="1" applyFont="1"/>
    <xf numFmtId="164" fontId="22" fillId="0" borderId="7" xfId="0" applyNumberFormat="1" applyFont="1" applyBorder="1"/>
    <xf numFmtId="39" fontId="22" fillId="0" borderId="8" xfId="0" applyNumberFormat="1" applyFont="1" applyBorder="1"/>
    <xf numFmtId="164" fontId="22" fillId="0" borderId="9" xfId="1" applyFont="1" applyBorder="1"/>
    <xf numFmtId="39" fontId="22" fillId="0" borderId="9" xfId="0" applyNumberFormat="1" applyFont="1" applyBorder="1"/>
    <xf numFmtId="0" fontId="26" fillId="0" borderId="0" xfId="0" applyFont="1" applyAlignment="1">
      <alignment horizontal="center"/>
    </xf>
    <xf numFmtId="0" fontId="37" fillId="0" borderId="0" xfId="0" applyFont="1" applyAlignment="1">
      <alignment horizontal="right"/>
    </xf>
    <xf numFmtId="164" fontId="22" fillId="0" borderId="8" xfId="1" applyFont="1" applyBorder="1"/>
    <xf numFmtId="0" fontId="25" fillId="0" borderId="0" xfId="0" applyFont="1" applyAlignment="1">
      <alignment horizontal="center"/>
    </xf>
    <xf numFmtId="164" fontId="24" fillId="0" borderId="7" xfId="0" applyNumberFormat="1" applyFont="1" applyBorder="1"/>
    <xf numFmtId="0" fontId="37" fillId="0" borderId="0" xfId="0" applyFont="1"/>
    <xf numFmtId="164" fontId="37" fillId="0" borderId="0" xfId="0" applyNumberFormat="1" applyFont="1"/>
    <xf numFmtId="0" fontId="26" fillId="0" borderId="0" xfId="0" applyFont="1"/>
    <xf numFmtId="39" fontId="22" fillId="0" borderId="0" xfId="0" applyNumberFormat="1" applyFont="1"/>
    <xf numFmtId="164" fontId="27" fillId="0" borderId="10" xfId="1" applyFont="1" applyFill="1" applyBorder="1"/>
    <xf numFmtId="164" fontId="27" fillId="0" borderId="6" xfId="0" applyNumberFormat="1" applyFont="1" applyBorder="1"/>
    <xf numFmtId="0" fontId="24" fillId="0" borderId="0" xfId="0" applyFont="1" applyAlignment="1">
      <alignment horizontal="center"/>
    </xf>
    <xf numFmtId="0" fontId="24" fillId="0" borderId="0" xfId="0" applyFont="1" applyAlignment="1">
      <alignment horizontal="right"/>
    </xf>
    <xf numFmtId="164" fontId="20" fillId="0" borderId="0" xfId="0" applyNumberFormat="1" applyFont="1"/>
    <xf numFmtId="0" fontId="39" fillId="0" borderId="0" xfId="0" applyFont="1"/>
    <xf numFmtId="0" fontId="41" fillId="0" borderId="0" xfId="0" applyFont="1"/>
    <xf numFmtId="0" fontId="42" fillId="0" borderId="0" xfId="0" applyFont="1"/>
    <xf numFmtId="0" fontId="43" fillId="0" borderId="0" xfId="0" applyFont="1"/>
    <xf numFmtId="164" fontId="22" fillId="0" borderId="0" xfId="1" applyFont="1" applyBorder="1" applyAlignment="1">
      <alignment horizontal="center"/>
    </xf>
    <xf numFmtId="165" fontId="25" fillId="0" borderId="0" xfId="0" applyNumberFormat="1" applyFont="1"/>
    <xf numFmtId="0" fontId="44" fillId="0" borderId="0" xfId="0" applyFont="1"/>
    <xf numFmtId="164" fontId="44" fillId="0" borderId="0" xfId="0" applyNumberFormat="1" applyFont="1"/>
    <xf numFmtId="164" fontId="45" fillId="0" borderId="0" xfId="0" applyNumberFormat="1" applyFont="1"/>
    <xf numFmtId="39" fontId="0" fillId="0" borderId="0" xfId="0" applyNumberFormat="1"/>
    <xf numFmtId="164" fontId="22" fillId="0" borderId="0" xfId="1" applyFont="1" applyBorder="1"/>
    <xf numFmtId="164" fontId="34" fillId="0" borderId="0" xfId="1" applyFont="1" applyBorder="1"/>
    <xf numFmtId="39" fontId="21" fillId="0" borderId="0" xfId="0" applyNumberFormat="1" applyFont="1"/>
    <xf numFmtId="164" fontId="21" fillId="0" borderId="0" xfId="1" applyFont="1" applyBorder="1"/>
    <xf numFmtId="39" fontId="25" fillId="0" borderId="0" xfId="0" applyNumberFormat="1" applyFont="1"/>
    <xf numFmtId="164" fontId="22" fillId="0" borderId="9" xfId="1" applyFont="1" applyBorder="1" applyAlignment="1">
      <alignment horizontal="center"/>
    </xf>
    <xf numFmtId="0" fontId="30" fillId="0" borderId="0" xfId="0" applyFont="1"/>
    <xf numFmtId="164" fontId="22" fillId="3" borderId="9" xfId="1" applyFont="1" applyFill="1" applyBorder="1"/>
    <xf numFmtId="164" fontId="25" fillId="0" borderId="0" xfId="1" applyFont="1" applyFill="1" applyBorder="1"/>
    <xf numFmtId="164" fontId="22" fillId="0" borderId="0" xfId="1" applyFont="1" applyFill="1" applyBorder="1"/>
    <xf numFmtId="0" fontId="22" fillId="0" borderId="0" xfId="0" applyFont="1" applyAlignment="1">
      <alignment horizontal="left"/>
    </xf>
    <xf numFmtId="0" fontId="26" fillId="0" borderId="0" xfId="0" applyFont="1" applyAlignment="1">
      <alignment horizontal="left"/>
    </xf>
    <xf numFmtId="0" fontId="35" fillId="0" borderId="0" xfId="0" applyFont="1"/>
    <xf numFmtId="0" fontId="33" fillId="0" borderId="0" xfId="0" applyFont="1" applyAlignment="1">
      <alignment horizontal="left"/>
    </xf>
    <xf numFmtId="0" fontId="25" fillId="0" borderId="0" xfId="0" applyFont="1" applyAlignment="1">
      <alignment horizontal="left"/>
    </xf>
    <xf numFmtId="164" fontId="36" fillId="0" borderId="0" xfId="1" applyFont="1" applyFill="1" applyBorder="1"/>
    <xf numFmtId="0" fontId="53" fillId="0" borderId="0" xfId="76" applyFont="1"/>
    <xf numFmtId="0" fontId="54" fillId="0" borderId="0" xfId="76" applyFont="1" applyAlignment="1">
      <alignment horizontal="center"/>
    </xf>
    <xf numFmtId="0" fontId="54" fillId="0" borderId="0" xfId="76" applyFont="1" applyAlignment="1">
      <alignment horizontal="left"/>
    </xf>
    <xf numFmtId="0" fontId="55" fillId="0" borderId="0" xfId="76" applyFont="1" applyAlignment="1">
      <alignment horizontal="center"/>
    </xf>
    <xf numFmtId="0" fontId="55" fillId="0" borderId="0" xfId="76" applyFont="1"/>
    <xf numFmtId="0" fontId="53" fillId="0" borderId="0" xfId="76" applyFont="1" applyAlignment="1">
      <alignment horizontal="center"/>
    </xf>
    <xf numFmtId="0" fontId="53" fillId="0" borderId="0" xfId="76" applyFont="1" applyAlignment="1">
      <alignment horizontal="left"/>
    </xf>
    <xf numFmtId="0" fontId="53" fillId="0" borderId="0" xfId="76" applyFont="1" applyAlignment="1">
      <alignment horizontal="left" indent="2"/>
    </xf>
    <xf numFmtId="0" fontId="53" fillId="0" borderId="0" xfId="24" applyNumberFormat="1" applyFont="1" applyBorder="1" applyAlignment="1">
      <alignment horizontal="center"/>
    </xf>
    <xf numFmtId="164" fontId="53" fillId="0" borderId="0" xfId="24" applyFont="1"/>
    <xf numFmtId="0" fontId="55" fillId="0" borderId="0" xfId="76" applyFont="1" applyAlignment="1">
      <alignment horizontal="left" indent="2"/>
    </xf>
    <xf numFmtId="164" fontId="53" fillId="0" borderId="0" xfId="24" applyFont="1" applyBorder="1"/>
    <xf numFmtId="164" fontId="55" fillId="0" borderId="8" xfId="24" applyFont="1" applyBorder="1"/>
    <xf numFmtId="164" fontId="55" fillId="0" borderId="0" xfId="24" applyFont="1" applyBorder="1"/>
    <xf numFmtId="164" fontId="55" fillId="0" borderId="12" xfId="24" applyFont="1" applyBorder="1"/>
    <xf numFmtId="0" fontId="55" fillId="0" borderId="0" xfId="76" applyFont="1" applyAlignment="1">
      <alignment horizontal="left"/>
    </xf>
    <xf numFmtId="166" fontId="53" fillId="0" borderId="0" xfId="24" applyNumberFormat="1" applyFont="1" applyBorder="1"/>
    <xf numFmtId="164" fontId="53" fillId="0" borderId="0" xfId="24" applyFont="1" applyFill="1"/>
    <xf numFmtId="164" fontId="55" fillId="0" borderId="8" xfId="24" applyFont="1" applyFill="1" applyBorder="1"/>
    <xf numFmtId="0" fontId="0" fillId="4" borderId="0" xfId="0" applyFill="1"/>
    <xf numFmtId="0" fontId="62" fillId="4" borderId="0" xfId="146" applyFont="1" applyFill="1" applyAlignment="1">
      <alignment horizontal="left" vertical="center" wrapText="1"/>
    </xf>
    <xf numFmtId="0" fontId="63" fillId="4" borderId="0" xfId="146" applyFont="1" applyFill="1" applyAlignment="1">
      <alignment horizontal="left" vertical="center" wrapText="1"/>
    </xf>
    <xf numFmtId="0" fontId="0" fillId="4" borderId="0" xfId="0" applyFill="1" applyAlignment="1">
      <alignment horizontal="left" wrapText="1"/>
    </xf>
    <xf numFmtId="0" fontId="0" fillId="4" borderId="0" xfId="0" applyFill="1" applyAlignment="1">
      <alignment vertical="center" wrapText="1"/>
    </xf>
    <xf numFmtId="0" fontId="65" fillId="5" borderId="4" xfId="0" applyFont="1" applyFill="1" applyBorder="1" applyAlignment="1">
      <alignment horizontal="center" vertical="center" wrapText="1"/>
    </xf>
    <xf numFmtId="0" fontId="65" fillId="4" borderId="4" xfId="0" applyFont="1" applyFill="1" applyBorder="1" applyAlignment="1">
      <alignment horizontal="left" wrapText="1"/>
    </xf>
    <xf numFmtId="0" fontId="65" fillId="4" borderId="4" xfId="0" applyFont="1" applyFill="1" applyBorder="1"/>
    <xf numFmtId="0" fontId="64" fillId="4" borderId="4" xfId="0" applyFont="1" applyFill="1" applyBorder="1"/>
    <xf numFmtId="0" fontId="68" fillId="4" borderId="4" xfId="0" applyFont="1" applyFill="1" applyBorder="1" applyAlignment="1">
      <alignment horizontal="left" wrapText="1"/>
    </xf>
    <xf numFmtId="14" fontId="68" fillId="4" borderId="4" xfId="0" applyNumberFormat="1" applyFont="1" applyFill="1" applyBorder="1" applyAlignment="1">
      <alignment horizontal="center"/>
    </xf>
    <xf numFmtId="164" fontId="68" fillId="4" borderId="4" xfId="1" applyFont="1" applyFill="1" applyBorder="1"/>
    <xf numFmtId="0" fontId="69" fillId="6" borderId="4" xfId="0" applyFont="1" applyFill="1" applyBorder="1" applyAlignment="1">
      <alignment horizontal="center" wrapText="1"/>
    </xf>
    <xf numFmtId="14" fontId="70" fillId="6" borderId="4" xfId="0" applyNumberFormat="1" applyFont="1" applyFill="1" applyBorder="1" applyAlignment="1">
      <alignment horizontal="center"/>
    </xf>
    <xf numFmtId="164" fontId="70" fillId="6" borderId="4" xfId="1" applyFont="1" applyFill="1" applyBorder="1"/>
    <xf numFmtId="0" fontId="70" fillId="4" borderId="4" xfId="0" applyFont="1" applyFill="1" applyBorder="1" applyAlignment="1">
      <alignment horizontal="left" wrapText="1"/>
    </xf>
    <xf numFmtId="0" fontId="70" fillId="6" borderId="4" xfId="0" applyFont="1" applyFill="1" applyBorder="1" applyAlignment="1">
      <alignment horizontal="center" wrapText="1"/>
    </xf>
    <xf numFmtId="14" fontId="68" fillId="6" borderId="4" xfId="0" applyNumberFormat="1" applyFont="1" applyFill="1" applyBorder="1" applyAlignment="1">
      <alignment horizontal="center"/>
    </xf>
    <xf numFmtId="0" fontId="70" fillId="0" borderId="4" xfId="0" applyFont="1" applyBorder="1" applyAlignment="1">
      <alignment horizontal="left" wrapText="1"/>
    </xf>
    <xf numFmtId="14" fontId="70" fillId="0" borderId="4" xfId="0" applyNumberFormat="1" applyFont="1" applyBorder="1" applyAlignment="1">
      <alignment horizontal="center"/>
    </xf>
    <xf numFmtId="164" fontId="70" fillId="0" borderId="4" xfId="1" applyFont="1" applyFill="1" applyBorder="1"/>
    <xf numFmtId="0" fontId="68" fillId="0" borderId="4" xfId="0" applyFont="1" applyBorder="1" applyAlignment="1">
      <alignment horizontal="left" wrapText="1"/>
    </xf>
    <xf numFmtId="14" fontId="68" fillId="0" borderId="4" xfId="0" applyNumberFormat="1" applyFont="1" applyBorder="1" applyAlignment="1">
      <alignment horizontal="center"/>
    </xf>
    <xf numFmtId="164" fontId="68" fillId="0" borderId="4" xfId="1" applyFont="1" applyBorder="1"/>
    <xf numFmtId="0" fontId="70" fillId="7" borderId="4" xfId="0" applyFont="1" applyFill="1" applyBorder="1" applyAlignment="1">
      <alignment horizontal="center" wrapText="1"/>
    </xf>
    <xf numFmtId="14" fontId="70" fillId="7" borderId="4" xfId="0" applyNumberFormat="1" applyFont="1" applyFill="1" applyBorder="1" applyAlignment="1">
      <alignment horizontal="center"/>
    </xf>
    <xf numFmtId="164" fontId="70" fillId="7" borderId="4" xfId="1" applyFont="1" applyFill="1" applyBorder="1"/>
    <xf numFmtId="164" fontId="66" fillId="0" borderId="0" xfId="1" applyFont="1"/>
    <xf numFmtId="164" fontId="65" fillId="5" borderId="4" xfId="1" applyFont="1" applyFill="1" applyBorder="1" applyAlignment="1">
      <alignment horizontal="center" vertical="center" wrapText="1"/>
    </xf>
    <xf numFmtId="164" fontId="66" fillId="0" borderId="4" xfId="1" applyFont="1" applyBorder="1"/>
    <xf numFmtId="164" fontId="67" fillId="0" borderId="4" xfId="1" applyFont="1" applyBorder="1"/>
    <xf numFmtId="164" fontId="55" fillId="0" borderId="0" xfId="24" applyFont="1" applyFill="1" applyBorder="1"/>
    <xf numFmtId="164" fontId="53" fillId="0" borderId="8" xfId="24" applyFont="1" applyFill="1" applyBorder="1"/>
    <xf numFmtId="164" fontId="53" fillId="0" borderId="0" xfId="24" applyFont="1" applyFill="1" applyBorder="1"/>
    <xf numFmtId="0" fontId="54" fillId="0" borderId="0" xfId="76" applyFont="1" applyAlignment="1">
      <alignment horizontal="right"/>
    </xf>
    <xf numFmtId="0" fontId="53" fillId="0" borderId="0" xfId="76" applyFont="1" applyAlignment="1">
      <alignment horizontal="right"/>
    </xf>
    <xf numFmtId="164" fontId="53" fillId="0" borderId="0" xfId="24" applyFont="1" applyFill="1" applyAlignment="1">
      <alignment horizontal="right"/>
    </xf>
    <xf numFmtId="164" fontId="55" fillId="0" borderId="8" xfId="24" applyFont="1" applyFill="1" applyBorder="1" applyAlignment="1">
      <alignment horizontal="right"/>
    </xf>
    <xf numFmtId="164" fontId="55" fillId="0" borderId="0" xfId="24" applyFont="1" applyFill="1" applyBorder="1" applyAlignment="1">
      <alignment horizontal="right"/>
    </xf>
    <xf numFmtId="164" fontId="53" fillId="0" borderId="8" xfId="24" applyFont="1" applyFill="1" applyBorder="1" applyAlignment="1">
      <alignment horizontal="right"/>
    </xf>
    <xf numFmtId="164" fontId="53" fillId="0" borderId="0" xfId="24" applyFont="1" applyFill="1" applyBorder="1" applyAlignment="1">
      <alignment horizontal="right"/>
    </xf>
    <xf numFmtId="164" fontId="53" fillId="0" borderId="0" xfId="24" applyFont="1" applyBorder="1" applyAlignment="1">
      <alignment horizontal="right"/>
    </xf>
    <xf numFmtId="164" fontId="55" fillId="0" borderId="8" xfId="24" applyFont="1" applyBorder="1" applyAlignment="1">
      <alignment horizontal="right"/>
    </xf>
    <xf numFmtId="164" fontId="55" fillId="0" borderId="0" xfId="24" applyFont="1" applyBorder="1" applyAlignment="1">
      <alignment horizontal="right"/>
    </xf>
    <xf numFmtId="164" fontId="55" fillId="0" borderId="12" xfId="24" applyFont="1" applyBorder="1" applyAlignment="1">
      <alignment horizontal="right"/>
    </xf>
    <xf numFmtId="164" fontId="53" fillId="0" borderId="0" xfId="24" applyFont="1" applyAlignment="1">
      <alignment horizontal="right"/>
    </xf>
    <xf numFmtId="164" fontId="55" fillId="0" borderId="0" xfId="24" applyFont="1" applyFill="1" applyAlignment="1">
      <alignment horizontal="right"/>
    </xf>
    <xf numFmtId="164" fontId="55" fillId="0" borderId="0" xfId="24" applyFont="1" applyFill="1"/>
    <xf numFmtId="164" fontId="53" fillId="0" borderId="11" xfId="24" applyFont="1" applyFill="1" applyBorder="1" applyAlignment="1">
      <alignment horizontal="right"/>
    </xf>
    <xf numFmtId="164" fontId="53" fillId="0" borderId="11" xfId="24" applyFont="1" applyFill="1" applyBorder="1"/>
    <xf numFmtId="0" fontId="53" fillId="0" borderId="0" xfId="76" applyFont="1" applyAlignment="1">
      <alignment horizontal="left" wrapText="1" indent="2"/>
    </xf>
    <xf numFmtId="164" fontId="53" fillId="0" borderId="0" xfId="1" applyFont="1" applyAlignment="1">
      <alignment horizontal="right"/>
    </xf>
    <xf numFmtId="0" fontId="72" fillId="0" borderId="14" xfId="161" applyFont="1" applyBorder="1"/>
    <xf numFmtId="0" fontId="72" fillId="0" borderId="9" xfId="161" applyFont="1" applyBorder="1"/>
    <xf numFmtId="0" fontId="63" fillId="0" borderId="15" xfId="161" applyFont="1" applyBorder="1" applyAlignment="1">
      <alignment horizontal="right"/>
    </xf>
    <xf numFmtId="0" fontId="72" fillId="0" borderId="0" xfId="161" applyFont="1"/>
    <xf numFmtId="0" fontId="65" fillId="0" borderId="10" xfId="161" applyFont="1" applyBorder="1"/>
    <xf numFmtId="0" fontId="67" fillId="0" borderId="8" xfId="161" applyFont="1" applyBorder="1"/>
    <xf numFmtId="0" fontId="67" fillId="0" borderId="6" xfId="161" applyFont="1" applyBorder="1"/>
    <xf numFmtId="0" fontId="67" fillId="0" borderId="13" xfId="161" applyFont="1" applyBorder="1"/>
    <xf numFmtId="0" fontId="67" fillId="0" borderId="8" xfId="161" applyFont="1" applyBorder="1" applyAlignment="1">
      <alignment horizontal="right"/>
    </xf>
    <xf numFmtId="0" fontId="66" fillId="0" borderId="8" xfId="161" applyFont="1" applyBorder="1"/>
    <xf numFmtId="0" fontId="66" fillId="0" borderId="6" xfId="161" applyFont="1" applyBorder="1"/>
    <xf numFmtId="164" fontId="66" fillId="0" borderId="8" xfId="161" applyNumberFormat="1" applyFont="1" applyBorder="1"/>
    <xf numFmtId="0" fontId="67" fillId="0" borderId="14" xfId="161" applyFont="1" applyBorder="1" applyAlignment="1">
      <alignment vertical="top"/>
    </xf>
    <xf numFmtId="0" fontId="67" fillId="0" borderId="9" xfId="161" applyFont="1" applyBorder="1" applyAlignment="1">
      <alignment vertical="top"/>
    </xf>
    <xf numFmtId="0" fontId="67" fillId="0" borderId="9" xfId="161" applyFont="1" applyBorder="1" applyAlignment="1">
      <alignment horizontal="right" vertical="top"/>
    </xf>
    <xf numFmtId="0" fontId="66" fillId="0" borderId="9" xfId="161" applyFont="1" applyBorder="1" applyAlignment="1">
      <alignment vertical="top"/>
    </xf>
    <xf numFmtId="0" fontId="66" fillId="0" borderId="15" xfId="161" applyFont="1" applyBorder="1" applyAlignment="1">
      <alignment vertical="top"/>
    </xf>
    <xf numFmtId="0" fontId="67" fillId="0" borderId="2" xfId="161" applyFont="1" applyBorder="1" applyAlignment="1">
      <alignment vertical="top"/>
    </xf>
    <xf numFmtId="0" fontId="67" fillId="0" borderId="11" xfId="161" applyFont="1" applyBorder="1" applyAlignment="1">
      <alignment vertical="top"/>
    </xf>
    <xf numFmtId="0" fontId="66" fillId="0" borderId="11" xfId="161" applyFont="1" applyBorder="1" applyAlignment="1">
      <alignment vertical="top"/>
    </xf>
    <xf numFmtId="0" fontId="66" fillId="0" borderId="5" xfId="161" applyFont="1" applyBorder="1" applyAlignment="1">
      <alignment vertical="top"/>
    </xf>
    <xf numFmtId="9" fontId="66" fillId="0" borderId="8" xfId="161" applyNumberFormat="1" applyFont="1" applyBorder="1" applyAlignment="1">
      <alignment horizontal="left"/>
    </xf>
    <xf numFmtId="0" fontId="67" fillId="0" borderId="13" xfId="161" applyFont="1" applyBorder="1" applyAlignment="1">
      <alignment vertical="top"/>
    </xf>
    <xf numFmtId="0" fontId="67" fillId="0" borderId="8" xfId="161" applyFont="1" applyBorder="1" applyAlignment="1">
      <alignment vertical="top"/>
    </xf>
    <xf numFmtId="0" fontId="66" fillId="0" borderId="8" xfId="161" applyFont="1" applyBorder="1" applyAlignment="1">
      <alignment vertical="top"/>
    </xf>
    <xf numFmtId="0" fontId="66" fillId="0" borderId="8" xfId="161" applyFont="1" applyBorder="1" applyAlignment="1">
      <alignment vertical="top" wrapText="1"/>
    </xf>
    <xf numFmtId="0" fontId="66" fillId="0" borderId="6" xfId="161" applyFont="1" applyBorder="1" applyAlignment="1">
      <alignment vertical="top" wrapText="1"/>
    </xf>
    <xf numFmtId="0" fontId="67" fillId="0" borderId="16" xfId="161" applyFont="1" applyBorder="1" applyAlignment="1">
      <alignment vertical="top"/>
    </xf>
    <xf numFmtId="0" fontId="67" fillId="0" borderId="0" xfId="161" applyFont="1" applyAlignment="1">
      <alignment vertical="top" wrapText="1"/>
    </xf>
    <xf numFmtId="0" fontId="67" fillId="0" borderId="0" xfId="161" applyFont="1" applyAlignment="1">
      <alignment horizontal="right" vertical="top" wrapText="1"/>
    </xf>
    <xf numFmtId="0" fontId="66" fillId="0" borderId="0" xfId="161" applyFont="1" applyAlignment="1">
      <alignment vertical="top" wrapText="1"/>
    </xf>
    <xf numFmtId="0" fontId="67" fillId="0" borderId="16" xfId="161" applyFont="1" applyBorder="1"/>
    <xf numFmtId="0" fontId="67" fillId="0" borderId="0" xfId="161" applyFont="1"/>
    <xf numFmtId="0" fontId="66" fillId="0" borderId="0" xfId="161" applyFont="1"/>
    <xf numFmtId="0" fontId="66" fillId="0" borderId="10" xfId="161" applyFont="1" applyBorder="1"/>
    <xf numFmtId="0" fontId="67" fillId="0" borderId="14" xfId="161" applyFont="1" applyBorder="1" applyAlignment="1">
      <alignment vertical="center"/>
    </xf>
    <xf numFmtId="0" fontId="67" fillId="0" borderId="9" xfId="161" applyFont="1" applyBorder="1" applyAlignment="1">
      <alignment vertical="center"/>
    </xf>
    <xf numFmtId="0" fontId="67" fillId="0" borderId="9" xfId="161" applyFont="1" applyBorder="1" applyAlignment="1">
      <alignment horizontal="right" vertical="center"/>
    </xf>
    <xf numFmtId="0" fontId="66" fillId="0" borderId="15" xfId="161" applyFont="1" applyBorder="1"/>
    <xf numFmtId="0" fontId="67" fillId="0" borderId="2" xfId="161" applyFont="1" applyBorder="1" applyAlignment="1">
      <alignment horizontal="left"/>
    </xf>
    <xf numFmtId="0" fontId="67" fillId="0" borderId="11" xfId="161" applyFont="1" applyBorder="1" applyAlignment="1">
      <alignment horizontal="left"/>
    </xf>
    <xf numFmtId="0" fontId="67" fillId="0" borderId="11" xfId="161" applyFont="1" applyBorder="1" applyAlignment="1">
      <alignment horizontal="right"/>
    </xf>
    <xf numFmtId="0" fontId="66" fillId="0" borderId="11" xfId="161" applyFont="1" applyBorder="1" applyAlignment="1">
      <alignment horizontal="left"/>
    </xf>
    <xf numFmtId="0" fontId="66" fillId="0" borderId="5" xfId="161" applyFont="1" applyBorder="1" applyAlignment="1">
      <alignment horizontal="left"/>
    </xf>
    <xf numFmtId="0" fontId="67" fillId="0" borderId="14" xfId="161" applyFont="1" applyBorder="1"/>
    <xf numFmtId="0" fontId="67" fillId="0" borderId="9" xfId="161" applyFont="1" applyBorder="1"/>
    <xf numFmtId="0" fontId="67" fillId="0" borderId="9" xfId="161" applyFont="1" applyBorder="1" applyAlignment="1">
      <alignment horizontal="right"/>
    </xf>
    <xf numFmtId="0" fontId="66" fillId="0" borderId="9" xfId="161" applyFont="1" applyBorder="1"/>
    <xf numFmtId="0" fontId="67" fillId="0" borderId="2" xfId="161" applyFont="1" applyBorder="1" applyAlignment="1">
      <alignment vertical="center"/>
    </xf>
    <xf numFmtId="0" fontId="66" fillId="0" borderId="11" xfId="161" applyFont="1" applyBorder="1" applyAlignment="1">
      <alignment vertical="center"/>
    </xf>
    <xf numFmtId="0" fontId="66" fillId="0" borderId="11" xfId="161" applyFont="1" applyBorder="1"/>
    <xf numFmtId="0" fontId="66" fillId="0" borderId="5" xfId="161" applyFont="1" applyBorder="1"/>
    <xf numFmtId="0" fontId="67" fillId="0" borderId="13" xfId="161" applyFont="1" applyBorder="1" applyAlignment="1">
      <alignment vertical="center"/>
    </xf>
    <xf numFmtId="0" fontId="67" fillId="0" borderId="8" xfId="161" applyFont="1" applyBorder="1" applyAlignment="1">
      <alignment vertical="center"/>
    </xf>
    <xf numFmtId="0" fontId="67" fillId="0" borderId="8" xfId="161" applyFont="1" applyBorder="1" applyAlignment="1">
      <alignment horizontal="right" vertical="center"/>
    </xf>
    <xf numFmtId="0" fontId="73" fillId="0" borderId="16" xfId="161" applyFont="1" applyBorder="1" applyAlignment="1">
      <alignment vertical="top"/>
    </xf>
    <xf numFmtId="0" fontId="1" fillId="0" borderId="0" xfId="163"/>
    <xf numFmtId="0" fontId="63" fillId="0" borderId="0" xfId="163" applyFont="1"/>
    <xf numFmtId="0" fontId="72" fillId="0" borderId="0" xfId="163" applyFont="1" applyAlignment="1">
      <alignment vertical="center"/>
    </xf>
    <xf numFmtId="0" fontId="75" fillId="0" borderId="0" xfId="163" applyFont="1" applyAlignment="1">
      <alignment vertical="center"/>
    </xf>
    <xf numFmtId="0" fontId="63" fillId="0" borderId="0" xfId="76" applyFont="1"/>
    <xf numFmtId="0" fontId="79" fillId="0" borderId="0" xfId="76" applyFont="1" applyAlignment="1">
      <alignment horizontal="center"/>
    </xf>
    <xf numFmtId="0" fontId="79" fillId="0" borderId="0" xfId="76" applyFont="1" applyAlignment="1">
      <alignment horizontal="left"/>
    </xf>
    <xf numFmtId="0" fontId="79" fillId="0" borderId="0" xfId="76" applyFont="1" applyAlignment="1">
      <alignment horizontal="right"/>
    </xf>
    <xf numFmtId="0" fontId="62" fillId="0" borderId="0" xfId="76" applyFont="1" applyAlignment="1">
      <alignment horizontal="center"/>
    </xf>
    <xf numFmtId="0" fontId="62" fillId="0" borderId="0" xfId="76" applyFont="1"/>
    <xf numFmtId="0" fontId="63" fillId="0" borderId="0" xfId="76" applyFont="1" applyAlignment="1">
      <alignment horizontal="center"/>
    </xf>
    <xf numFmtId="0" fontId="63" fillId="0" borderId="0" xfId="76" applyFont="1" applyAlignment="1">
      <alignment horizontal="left"/>
    </xf>
    <xf numFmtId="0" fontId="63" fillId="0" borderId="0" xfId="76" applyFont="1" applyAlignment="1">
      <alignment horizontal="right"/>
    </xf>
    <xf numFmtId="0" fontId="62" fillId="0" borderId="0" xfId="76" applyFont="1" applyAlignment="1">
      <alignment horizontal="left" indent="2"/>
    </xf>
    <xf numFmtId="0" fontId="63" fillId="0" borderId="0" xfId="24" applyNumberFormat="1" applyFont="1" applyBorder="1" applyAlignment="1">
      <alignment horizontal="center"/>
    </xf>
    <xf numFmtId="0" fontId="63" fillId="0" borderId="0" xfId="76" applyFont="1" applyAlignment="1">
      <alignment horizontal="left" indent="2"/>
    </xf>
    <xf numFmtId="164" fontId="63" fillId="0" borderId="0" xfId="24" applyFont="1" applyFill="1" applyAlignment="1">
      <alignment horizontal="right"/>
    </xf>
    <xf numFmtId="164" fontId="63" fillId="0" borderId="0" xfId="24" applyFont="1" applyFill="1"/>
    <xf numFmtId="164" fontId="63" fillId="0" borderId="0" xfId="24" applyFont="1" applyBorder="1"/>
    <xf numFmtId="0" fontId="62" fillId="0" borderId="0" xfId="76" applyFont="1" applyAlignment="1">
      <alignment horizontal="left"/>
    </xf>
    <xf numFmtId="164" fontId="62" fillId="0" borderId="8" xfId="24" applyFont="1" applyFill="1" applyBorder="1" applyAlignment="1">
      <alignment horizontal="right"/>
    </xf>
    <xf numFmtId="164" fontId="62" fillId="0" borderId="8" xfId="24" applyFont="1" applyFill="1" applyBorder="1"/>
    <xf numFmtId="164" fontId="62" fillId="0" borderId="0" xfId="24" applyFont="1" applyFill="1" applyBorder="1" applyAlignment="1">
      <alignment horizontal="right"/>
    </xf>
    <xf numFmtId="164" fontId="62" fillId="0" borderId="0" xfId="24" applyFont="1" applyFill="1" applyBorder="1"/>
    <xf numFmtId="164" fontId="63" fillId="0" borderId="8" xfId="24" applyFont="1" applyFill="1" applyBorder="1" applyAlignment="1">
      <alignment horizontal="right"/>
    </xf>
    <xf numFmtId="164" fontId="63" fillId="0" borderId="8" xfId="24" applyFont="1" applyFill="1" applyBorder="1"/>
    <xf numFmtId="164" fontId="62" fillId="0" borderId="0" xfId="24" applyFont="1" applyFill="1" applyAlignment="1">
      <alignment horizontal="right"/>
    </xf>
    <xf numFmtId="164" fontId="62" fillId="0" borderId="0" xfId="24" applyFont="1" applyFill="1"/>
    <xf numFmtId="0" fontId="63" fillId="0" borderId="0" xfId="76" applyFont="1" applyAlignment="1">
      <alignment horizontal="left" wrapText="1" indent="2"/>
    </xf>
    <xf numFmtId="164" fontId="63" fillId="0" borderId="0" xfId="24" applyFont="1" applyFill="1" applyBorder="1" applyAlignment="1">
      <alignment horizontal="right"/>
    </xf>
    <xf numFmtId="164" fontId="63" fillId="0" borderId="0" xfId="24" applyFont="1" applyFill="1" applyBorder="1"/>
    <xf numFmtId="164" fontId="63" fillId="0" borderId="11" xfId="24" applyFont="1" applyFill="1" applyBorder="1" applyAlignment="1">
      <alignment horizontal="right"/>
    </xf>
    <xf numFmtId="164" fontId="63" fillId="0" borderId="11" xfId="24" applyFont="1" applyFill="1" applyBorder="1"/>
    <xf numFmtId="164" fontId="63" fillId="0" borderId="0" xfId="1" applyFont="1"/>
    <xf numFmtId="164" fontId="63" fillId="0" borderId="0" xfId="24" applyFont="1" applyBorder="1" applyAlignment="1">
      <alignment horizontal="right"/>
    </xf>
    <xf numFmtId="164" fontId="62" fillId="0" borderId="8" xfId="24" applyFont="1" applyBorder="1" applyAlignment="1">
      <alignment horizontal="right"/>
    </xf>
    <xf numFmtId="164" fontId="62" fillId="0" borderId="8" xfId="24" applyFont="1" applyBorder="1"/>
    <xf numFmtId="164" fontId="62" fillId="0" borderId="0" xfId="24" applyFont="1" applyBorder="1" applyAlignment="1">
      <alignment horizontal="right"/>
    </xf>
    <xf numFmtId="164" fontId="62" fillId="0" borderId="0" xfId="24" applyFont="1" applyBorder="1"/>
    <xf numFmtId="166" fontId="63" fillId="0" borderId="0" xfId="24" applyNumberFormat="1" applyFont="1" applyBorder="1"/>
    <xf numFmtId="164" fontId="62" fillId="0" borderId="12" xfId="24" applyFont="1" applyBorder="1" applyAlignment="1">
      <alignment horizontal="right"/>
    </xf>
    <xf numFmtId="164" fontId="62" fillId="0" borderId="12" xfId="24" applyFont="1" applyBorder="1"/>
    <xf numFmtId="164" fontId="63" fillId="0" borderId="0" xfId="24" applyFont="1" applyAlignment="1">
      <alignment horizontal="right"/>
    </xf>
    <xf numFmtId="164" fontId="63" fillId="0" borderId="0" xfId="24" applyFont="1"/>
    <xf numFmtId="164" fontId="63" fillId="0" borderId="0" xfId="1" applyFont="1" applyAlignment="1">
      <alignment horizontal="right"/>
    </xf>
    <xf numFmtId="0" fontId="63" fillId="0" borderId="0" xfId="78" applyFont="1"/>
    <xf numFmtId="0" fontId="79" fillId="0" borderId="0" xfId="78" applyFont="1" applyAlignment="1">
      <alignment horizontal="center"/>
    </xf>
    <xf numFmtId="0" fontId="79" fillId="0" borderId="0" xfId="78" applyFont="1" applyAlignment="1">
      <alignment horizontal="left"/>
    </xf>
    <xf numFmtId="0" fontId="62" fillId="0" borderId="0" xfId="78" applyFont="1" applyAlignment="1">
      <alignment horizontal="center"/>
    </xf>
    <xf numFmtId="0" fontId="62" fillId="0" borderId="0" xfId="78" applyFont="1"/>
    <xf numFmtId="0" fontId="63" fillId="0" borderId="0" xfId="78" applyFont="1" applyAlignment="1">
      <alignment horizontal="center"/>
    </xf>
    <xf numFmtId="0" fontId="63" fillId="0" borderId="0" xfId="78" applyFont="1" applyAlignment="1">
      <alignment horizontal="left"/>
    </xf>
    <xf numFmtId="0" fontId="63" fillId="0" borderId="0" xfId="78" applyFont="1" applyAlignment="1">
      <alignment horizontal="left" indent="2"/>
    </xf>
    <xf numFmtId="0" fontId="63" fillId="0" borderId="0" xfId="25" applyNumberFormat="1" applyFont="1" applyBorder="1" applyAlignment="1">
      <alignment horizontal="center"/>
    </xf>
    <xf numFmtId="164" fontId="63" fillId="0" borderId="0" xfId="25" applyFont="1" applyFill="1"/>
    <xf numFmtId="164" fontId="63" fillId="0" borderId="0" xfId="25" applyFont="1" applyBorder="1"/>
    <xf numFmtId="0" fontId="62" fillId="0" borderId="0" xfId="78" applyFont="1" applyAlignment="1">
      <alignment horizontal="left"/>
    </xf>
    <xf numFmtId="164" fontId="62" fillId="0" borderId="8" xfId="25" applyFont="1" applyFill="1" applyBorder="1"/>
    <xf numFmtId="164" fontId="62" fillId="0" borderId="0" xfId="25" applyFont="1" applyFill="1"/>
    <xf numFmtId="164" fontId="63" fillId="0" borderId="0" xfId="25" applyFont="1" applyFill="1" applyBorder="1"/>
    <xf numFmtId="164" fontId="62" fillId="0" borderId="0" xfId="25" applyFont="1" applyBorder="1"/>
    <xf numFmtId="166" fontId="63" fillId="0" borderId="0" xfId="25" applyNumberFormat="1" applyFont="1" applyBorder="1"/>
    <xf numFmtId="164" fontId="63" fillId="0" borderId="0" xfId="25" applyFont="1"/>
    <xf numFmtId="43" fontId="62" fillId="0" borderId="8" xfId="78" applyNumberFormat="1" applyFont="1" applyBorder="1"/>
    <xf numFmtId="0" fontId="62" fillId="0" borderId="0" xfId="78" applyFont="1" applyAlignment="1">
      <alignment horizontal="left" indent="2"/>
    </xf>
    <xf numFmtId="164" fontId="76" fillId="0" borderId="0" xfId="115" applyFont="1" applyFill="1" applyBorder="1" applyAlignment="1" applyProtection="1"/>
    <xf numFmtId="0" fontId="62" fillId="0" borderId="0" xfId="78" applyFont="1" applyAlignment="1">
      <alignment horizontal="left" wrapText="1" indent="2"/>
    </xf>
    <xf numFmtId="0" fontId="63" fillId="0" borderId="0" xfId="78" applyFont="1" applyAlignment="1">
      <alignment horizontal="left" wrapText="1" indent="2"/>
    </xf>
    <xf numFmtId="0" fontId="62" fillId="0" borderId="0" xfId="78" applyFont="1" applyAlignment="1">
      <alignment wrapText="1"/>
    </xf>
    <xf numFmtId="164" fontId="62" fillId="0" borderId="0" xfId="1" applyFont="1"/>
    <xf numFmtId="164" fontId="62" fillId="0" borderId="8" xfId="1" applyFont="1" applyBorder="1"/>
    <xf numFmtId="164" fontId="63" fillId="0" borderId="0" xfId="86" applyFont="1" applyBorder="1"/>
    <xf numFmtId="43" fontId="62" fillId="0" borderId="0" xfId="78" applyNumberFormat="1" applyFont="1"/>
    <xf numFmtId="0" fontId="63" fillId="0" borderId="0" xfId="112" applyFont="1"/>
    <xf numFmtId="0" fontId="79" fillId="0" borderId="0" xfId="112" applyFont="1" applyAlignment="1">
      <alignment horizontal="center"/>
    </xf>
    <xf numFmtId="0" fontId="62" fillId="0" borderId="0" xfId="112" applyFont="1" applyAlignment="1">
      <alignment horizontal="center"/>
    </xf>
    <xf numFmtId="0" fontId="62" fillId="0" borderId="0" xfId="112" applyFont="1" applyAlignment="1">
      <alignment horizontal="right"/>
    </xf>
    <xf numFmtId="0" fontId="62" fillId="0" borderId="0" xfId="112" applyFont="1"/>
    <xf numFmtId="0" fontId="63" fillId="0" borderId="0" xfId="113" applyNumberFormat="1" applyFont="1" applyBorder="1" applyAlignment="1">
      <alignment horizontal="center"/>
    </xf>
    <xf numFmtId="0" fontId="63" fillId="0" borderId="0" xfId="112" applyFont="1" applyAlignment="1">
      <alignment horizontal="right"/>
    </xf>
    <xf numFmtId="164" fontId="62" fillId="0" borderId="0" xfId="113" applyFont="1"/>
    <xf numFmtId="164" fontId="63" fillId="0" borderId="0" xfId="113" applyFont="1"/>
    <xf numFmtId="0" fontId="63" fillId="0" borderId="0" xfId="112" applyFont="1" applyAlignment="1">
      <alignment horizontal="left" indent="2"/>
    </xf>
    <xf numFmtId="164" fontId="63" fillId="0" borderId="0" xfId="113" applyFont="1" applyBorder="1"/>
    <xf numFmtId="164" fontId="62" fillId="0" borderId="8" xfId="113" applyFont="1" applyBorder="1"/>
    <xf numFmtId="0" fontId="63" fillId="0" borderId="0" xfId="112" applyFont="1" applyAlignment="1">
      <alignment wrapText="1"/>
    </xf>
    <xf numFmtId="164" fontId="63" fillId="0" borderId="11" xfId="113" applyFont="1" applyBorder="1"/>
    <xf numFmtId="164" fontId="62" fillId="0" borderId="7" xfId="113" applyFont="1" applyBorder="1"/>
    <xf numFmtId="0" fontId="62" fillId="0" borderId="0" xfId="112" applyFont="1" applyAlignment="1">
      <alignment horizontal="left"/>
    </xf>
    <xf numFmtId="166" fontId="63" fillId="0" borderId="0" xfId="113" applyNumberFormat="1" applyFont="1" applyBorder="1"/>
    <xf numFmtId="0" fontId="62" fillId="0" borderId="0" xfId="112" applyFont="1" applyAlignment="1">
      <alignment wrapText="1"/>
    </xf>
    <xf numFmtId="0" fontId="63" fillId="0" borderId="0" xfId="112" applyFont="1" applyAlignment="1">
      <alignment horizontal="center"/>
    </xf>
    <xf numFmtId="0" fontId="62" fillId="0" borderId="8" xfId="112" applyFont="1" applyBorder="1" applyAlignment="1">
      <alignment horizontal="right"/>
    </xf>
    <xf numFmtId="0" fontId="63" fillId="0" borderId="11" xfId="112" applyFont="1" applyBorder="1" applyAlignment="1">
      <alignment horizontal="right"/>
    </xf>
    <xf numFmtId="164" fontId="63" fillId="0" borderId="8" xfId="113" applyFont="1" applyBorder="1"/>
    <xf numFmtId="0" fontId="62" fillId="0" borderId="7" xfId="112" applyFont="1" applyBorder="1" applyAlignment="1">
      <alignment horizontal="right"/>
    </xf>
    <xf numFmtId="0" fontId="79" fillId="0" borderId="0" xfId="112" applyFont="1" applyAlignment="1">
      <alignment horizontal="left"/>
    </xf>
    <xf numFmtId="0" fontId="79" fillId="0" borderId="0" xfId="112" applyFont="1" applyAlignment="1">
      <alignment horizontal="right"/>
    </xf>
    <xf numFmtId="0" fontId="77" fillId="0" borderId="0" xfId="112" applyFont="1"/>
    <xf numFmtId="0" fontId="63" fillId="0" borderId="0" xfId="112" applyFont="1" applyAlignment="1">
      <alignment horizontal="left"/>
    </xf>
    <xf numFmtId="164" fontId="80" fillId="0" borderId="0" xfId="1" applyFont="1" applyFill="1" applyBorder="1" applyAlignment="1" applyProtection="1">
      <alignment vertical="center"/>
    </xf>
    <xf numFmtId="164" fontId="80" fillId="0" borderId="11" xfId="1" applyFont="1" applyFill="1" applyBorder="1" applyAlignment="1" applyProtection="1">
      <alignment vertical="center"/>
    </xf>
    <xf numFmtId="164" fontId="62" fillId="0" borderId="0" xfId="113" applyFont="1" applyBorder="1"/>
    <xf numFmtId="164" fontId="81" fillId="0" borderId="0" xfId="1" applyFont="1" applyFill="1" applyBorder="1" applyAlignment="1" applyProtection="1">
      <alignment vertical="center"/>
    </xf>
    <xf numFmtId="164" fontId="62" fillId="0" borderId="11" xfId="113" applyFont="1" applyFill="1" applyBorder="1"/>
    <xf numFmtId="164" fontId="63" fillId="0" borderId="0" xfId="113" applyFont="1" applyFill="1"/>
    <xf numFmtId="164" fontId="80" fillId="0" borderId="0" xfId="115" applyFont="1" applyBorder="1"/>
    <xf numFmtId="164" fontId="80" fillId="0" borderId="0" xfId="0" applyNumberFormat="1" applyFont="1" applyAlignment="1">
      <alignment vertical="center"/>
    </xf>
    <xf numFmtId="164" fontId="62" fillId="0" borderId="8" xfId="113" applyFont="1" applyFill="1" applyBorder="1"/>
    <xf numFmtId="164" fontId="62" fillId="0" borderId="0" xfId="113" applyFont="1" applyFill="1" applyBorder="1"/>
    <xf numFmtId="164" fontId="63" fillId="0" borderId="0" xfId="113" applyFont="1" applyFill="1" applyBorder="1"/>
    <xf numFmtId="0" fontId="77" fillId="0" borderId="0" xfId="112" applyFont="1" applyAlignment="1">
      <alignment horizontal="left"/>
    </xf>
    <xf numFmtId="164" fontId="63" fillId="0" borderId="11" xfId="113" applyFont="1" applyFill="1" applyBorder="1"/>
    <xf numFmtId="0" fontId="63" fillId="0" borderId="0" xfId="114" applyFont="1" applyAlignment="1">
      <alignment horizontal="left"/>
    </xf>
    <xf numFmtId="164" fontId="62" fillId="0" borderId="0" xfId="113" applyFont="1" applyFill="1"/>
    <xf numFmtId="164" fontId="62" fillId="0" borderId="7" xfId="113" applyFont="1" applyFill="1" applyBorder="1"/>
    <xf numFmtId="164" fontId="62" fillId="0" borderId="11" xfId="113" applyFont="1" applyBorder="1"/>
    <xf numFmtId="0" fontId="77" fillId="0" borderId="0" xfId="76" applyFont="1" applyAlignment="1">
      <alignment horizontal="center" vertical="center"/>
    </xf>
    <xf numFmtId="0" fontId="78" fillId="0" borderId="0" xfId="28" applyFont="1" applyAlignment="1" applyProtection="1">
      <alignment horizontal="center" vertical="center"/>
    </xf>
    <xf numFmtId="15" fontId="63" fillId="0" borderId="0" xfId="78" applyNumberFormat="1" applyFont="1" applyAlignment="1">
      <alignment horizontal="center" vertical="center"/>
    </xf>
    <xf numFmtId="15" fontId="63" fillId="0" borderId="0" xfId="78" quotePrefix="1" applyNumberFormat="1" applyFont="1" applyAlignment="1">
      <alignment horizontal="center" vertical="center"/>
    </xf>
    <xf numFmtId="0" fontId="79" fillId="0" borderId="0" xfId="76" applyFont="1" applyAlignment="1">
      <alignment horizontal="center" vertical="center"/>
    </xf>
    <xf numFmtId="0" fontId="62" fillId="0" borderId="0" xfId="76" applyFont="1" applyAlignment="1">
      <alignment horizontal="center"/>
    </xf>
    <xf numFmtId="0" fontId="25" fillId="0" borderId="0" xfId="0" applyFont="1" applyAlignment="1">
      <alignment horizontal="center"/>
    </xf>
    <xf numFmtId="0" fontId="41" fillId="0" borderId="0" xfId="0" applyFont="1" applyAlignment="1">
      <alignment horizontal="center"/>
    </xf>
    <xf numFmtId="0" fontId="22" fillId="0" borderId="0" xfId="0" applyFont="1" applyAlignment="1">
      <alignment horizontal="center"/>
    </xf>
    <xf numFmtId="0" fontId="22" fillId="0" borderId="0" xfId="0" applyFont="1" applyAlignment="1">
      <alignment horizontal="left"/>
    </xf>
    <xf numFmtId="0" fontId="26" fillId="0" borderId="0" xfId="0" applyFont="1" applyAlignment="1">
      <alignment horizontal="left"/>
    </xf>
    <xf numFmtId="0" fontId="26" fillId="0" borderId="0" xfId="0" applyFont="1" applyAlignment="1">
      <alignment horizontal="center"/>
    </xf>
    <xf numFmtId="0" fontId="21" fillId="0" borderId="0" xfId="0" applyFont="1" applyAlignment="1">
      <alignment horizontal="center"/>
    </xf>
    <xf numFmtId="0" fontId="28" fillId="0" borderId="0" xfId="0" applyFont="1" applyAlignment="1">
      <alignment horizontal="center"/>
    </xf>
    <xf numFmtId="0" fontId="19" fillId="0" borderId="0" xfId="0" applyFont="1" applyAlignment="1">
      <alignment horizontal="center"/>
    </xf>
    <xf numFmtId="0" fontId="23" fillId="0" borderId="0" xfId="0" applyFont="1" applyAlignment="1">
      <alignment horizontal="center"/>
    </xf>
    <xf numFmtId="0" fontId="74" fillId="0" borderId="0" xfId="163" applyFont="1" applyAlignment="1">
      <alignment horizontal="center"/>
    </xf>
    <xf numFmtId="15" fontId="63" fillId="0" borderId="0" xfId="76" applyNumberFormat="1" applyFont="1" applyAlignment="1">
      <alignment horizontal="center" vertical="center"/>
    </xf>
    <xf numFmtId="15" fontId="63" fillId="0" borderId="0" xfId="76" quotePrefix="1" applyNumberFormat="1" applyFont="1" applyAlignment="1">
      <alignment horizontal="center" vertical="center"/>
    </xf>
    <xf numFmtId="0" fontId="56" fillId="0" borderId="0" xfId="76" applyFont="1" applyAlignment="1">
      <alignment horizontal="center" vertical="center"/>
    </xf>
    <xf numFmtId="0" fontId="46" fillId="0" borderId="0" xfId="28" applyFont="1" applyAlignment="1" applyProtection="1">
      <alignment horizontal="center" vertical="center"/>
    </xf>
    <xf numFmtId="15" fontId="53" fillId="0" borderId="0" xfId="76" applyNumberFormat="1" applyFont="1" applyAlignment="1">
      <alignment horizontal="center" vertical="center"/>
    </xf>
    <xf numFmtId="15" fontId="53" fillId="0" borderId="0" xfId="76" quotePrefix="1" applyNumberFormat="1" applyFont="1" applyAlignment="1">
      <alignment horizontal="center" vertical="center"/>
    </xf>
    <xf numFmtId="0" fontId="54" fillId="0" borderId="0" xfId="76" applyFont="1" applyAlignment="1">
      <alignment horizontal="center" vertical="center"/>
    </xf>
    <xf numFmtId="0" fontId="55" fillId="0" borderId="0" xfId="76" applyFont="1" applyAlignment="1">
      <alignment horizontal="center"/>
    </xf>
    <xf numFmtId="0" fontId="62" fillId="0" borderId="0" xfId="112" applyFont="1" applyAlignment="1">
      <alignment horizontal="center"/>
    </xf>
    <xf numFmtId="0" fontId="77" fillId="0" borderId="0" xfId="112" applyFont="1" applyAlignment="1">
      <alignment horizontal="center" vertical="center"/>
    </xf>
    <xf numFmtId="0" fontId="66" fillId="0" borderId="9" xfId="161" applyFont="1" applyBorder="1" applyAlignment="1">
      <alignment wrapText="1"/>
    </xf>
    <xf numFmtId="164" fontId="66" fillId="0" borderId="8" xfId="162" applyFont="1" applyFill="1" applyBorder="1" applyAlignment="1">
      <alignment horizontal="center"/>
    </xf>
    <xf numFmtId="0" fontId="67" fillId="0" borderId="13" xfId="161" applyFont="1" applyBorder="1" applyAlignment="1">
      <alignment horizontal="left"/>
    </xf>
    <xf numFmtId="0" fontId="67" fillId="0" borderId="8" xfId="161" applyFont="1" applyBorder="1" applyAlignment="1">
      <alignment horizontal="left"/>
    </xf>
    <xf numFmtId="14" fontId="66" fillId="0" borderId="8" xfId="161" quotePrefix="1" applyNumberFormat="1" applyFont="1" applyBorder="1" applyAlignment="1">
      <alignment horizontal="left"/>
    </xf>
    <xf numFmtId="14" fontId="66" fillId="0" borderId="8" xfId="161" applyNumberFormat="1" applyFont="1" applyBorder="1" applyAlignment="1">
      <alignment horizontal="left"/>
    </xf>
    <xf numFmtId="4" fontId="66" fillId="0" borderId="8" xfId="161" applyNumberFormat="1" applyFont="1" applyBorder="1" applyAlignment="1">
      <alignment horizontal="center"/>
    </xf>
    <xf numFmtId="4" fontId="66" fillId="0" borderId="6" xfId="161" applyNumberFormat="1" applyFont="1" applyBorder="1" applyAlignment="1">
      <alignment horizontal="center"/>
    </xf>
    <xf numFmtId="0" fontId="67" fillId="0" borderId="13" xfId="161" applyFont="1" applyBorder="1" applyAlignment="1">
      <alignment horizontal="center" vertical="top"/>
    </xf>
    <xf numFmtId="0" fontId="67" fillId="0" borderId="8" xfId="161" applyFont="1" applyBorder="1" applyAlignment="1">
      <alignment horizontal="center" vertical="top"/>
    </xf>
    <xf numFmtId="0" fontId="67" fillId="0" borderId="6" xfId="161" applyFont="1" applyBorder="1" applyAlignment="1">
      <alignment horizontal="center" vertical="top"/>
    </xf>
    <xf numFmtId="164" fontId="66" fillId="0" borderId="9" xfId="161" applyNumberFormat="1" applyFont="1" applyBorder="1" applyAlignment="1">
      <alignment horizontal="center" vertical="top" wrapText="1"/>
    </xf>
    <xf numFmtId="164" fontId="66" fillId="0" borderId="15" xfId="161" applyNumberFormat="1" applyFont="1" applyBorder="1" applyAlignment="1">
      <alignment horizontal="center" vertical="top" wrapText="1"/>
    </xf>
    <xf numFmtId="164" fontId="66" fillId="0" borderId="11" xfId="161" applyNumberFormat="1" applyFont="1" applyBorder="1" applyAlignment="1">
      <alignment horizontal="center" vertical="top" wrapText="1"/>
    </xf>
    <xf numFmtId="164" fontId="66" fillId="0" borderId="5" xfId="161" applyNumberFormat="1" applyFont="1" applyBorder="1" applyAlignment="1">
      <alignment horizontal="center" vertical="top" wrapText="1"/>
    </xf>
    <xf numFmtId="0" fontId="65" fillId="0" borderId="16" xfId="161" applyFont="1" applyBorder="1" applyAlignment="1">
      <alignment horizontal="center"/>
    </xf>
    <xf numFmtId="0" fontId="65" fillId="0" borderId="0" xfId="161" applyFont="1" applyAlignment="1">
      <alignment horizontal="center"/>
    </xf>
    <xf numFmtId="0" fontId="64" fillId="0" borderId="16" xfId="161" applyFont="1" applyBorder="1" applyAlignment="1">
      <alignment horizontal="center"/>
    </xf>
    <xf numFmtId="0" fontId="64" fillId="0" borderId="0" xfId="161" applyFont="1" applyAlignment="1">
      <alignment horizontal="center"/>
    </xf>
    <xf numFmtId="0" fontId="64" fillId="0" borderId="10" xfId="161" applyFont="1" applyBorder="1" applyAlignment="1">
      <alignment horizontal="center"/>
    </xf>
    <xf numFmtId="0" fontId="65" fillId="0" borderId="10" xfId="161" applyFont="1" applyBorder="1" applyAlignment="1">
      <alignment horizontal="center"/>
    </xf>
    <xf numFmtId="0" fontId="67" fillId="0" borderId="8" xfId="161" applyFont="1" applyBorder="1" applyAlignment="1">
      <alignment horizontal="left" vertical="center" wrapText="1"/>
    </xf>
    <xf numFmtId="0" fontId="67" fillId="0" borderId="6" xfId="161" applyFont="1" applyBorder="1" applyAlignment="1">
      <alignment horizontal="left" vertical="center" wrapText="1"/>
    </xf>
    <xf numFmtId="0" fontId="40" fillId="0" borderId="0" xfId="0" applyFont="1" applyAlignment="1">
      <alignment horizontal="center"/>
    </xf>
    <xf numFmtId="0" fontId="24" fillId="0" borderId="0" xfId="0" applyFont="1" applyAlignment="1">
      <alignment horizontal="center"/>
    </xf>
    <xf numFmtId="0" fontId="27" fillId="0" borderId="13" xfId="0" applyFont="1" applyBorder="1" applyAlignment="1">
      <alignment horizontal="center"/>
    </xf>
    <xf numFmtId="0" fontId="27" fillId="0" borderId="6" xfId="0" applyFont="1" applyBorder="1" applyAlignment="1">
      <alignment horizontal="center"/>
    </xf>
    <xf numFmtId="0" fontId="27" fillId="0" borderId="8" xfId="0" applyFont="1" applyBorder="1" applyAlignment="1">
      <alignment horizontal="center"/>
    </xf>
    <xf numFmtId="0" fontId="72" fillId="0" borderId="0" xfId="161" applyFont="1" applyBorder="1"/>
    <xf numFmtId="0" fontId="67" fillId="0" borderId="0" xfId="161" applyFont="1" applyBorder="1"/>
    <xf numFmtId="0" fontId="66" fillId="0" borderId="0" xfId="161" applyFont="1" applyBorder="1"/>
  </cellXfs>
  <cellStyles count="164">
    <cellStyle name="Comma" xfId="1" builtinId="3"/>
    <cellStyle name="Comma 10" xfId="99" xr:uid="{00000000-0005-0000-0000-000001000000}"/>
    <cellStyle name="Comma 10 2" xfId="84" xr:uid="{00000000-0005-0000-0000-000002000000}"/>
    <cellStyle name="Comma 10 3" xfId="115" xr:uid="{00000000-0005-0000-0000-000003000000}"/>
    <cellStyle name="Comma 11" xfId="85" xr:uid="{00000000-0005-0000-0000-000004000000}"/>
    <cellStyle name="Comma 12" xfId="102" xr:uid="{00000000-0005-0000-0000-000005000000}"/>
    <cellStyle name="Comma 13" xfId="106" xr:uid="{00000000-0005-0000-0000-000006000000}"/>
    <cellStyle name="Comma 14" xfId="110" xr:uid="{00000000-0005-0000-0000-000007000000}"/>
    <cellStyle name="Comma 15" xfId="121" xr:uid="{00000000-0005-0000-0000-000008000000}"/>
    <cellStyle name="Comma 16" xfId="125" xr:uid="{00000000-0005-0000-0000-000009000000}"/>
    <cellStyle name="Comma 16 2" xfId="127" xr:uid="{00000000-0005-0000-0000-00000A000000}"/>
    <cellStyle name="Comma 16 2 2" xfId="136" xr:uid="{00000000-0005-0000-0000-00000B000000}"/>
    <cellStyle name="Comma 17" xfId="133" xr:uid="{00000000-0005-0000-0000-00000C000000}"/>
    <cellStyle name="Comma 18" xfId="134" xr:uid="{00000000-0005-0000-0000-00000D000000}"/>
    <cellStyle name="Comma 18 2" xfId="141" xr:uid="{00000000-0005-0000-0000-00000E000000}"/>
    <cellStyle name="Comma 19" xfId="132" xr:uid="{00000000-0005-0000-0000-00000F000000}"/>
    <cellStyle name="Comma 2" xfId="2" xr:uid="{00000000-0005-0000-0000-000010000000}"/>
    <cellStyle name="Comma 2 10" xfId="3" xr:uid="{00000000-0005-0000-0000-000011000000}"/>
    <cellStyle name="Comma 2 11" xfId="4" xr:uid="{00000000-0005-0000-0000-000012000000}"/>
    <cellStyle name="Comma 2 12" xfId="5" xr:uid="{00000000-0005-0000-0000-000013000000}"/>
    <cellStyle name="Comma 2 13" xfId="6" xr:uid="{00000000-0005-0000-0000-000014000000}"/>
    <cellStyle name="Comma 2 14" xfId="7" xr:uid="{00000000-0005-0000-0000-000015000000}"/>
    <cellStyle name="Comma 2 15" xfId="8" xr:uid="{00000000-0005-0000-0000-000016000000}"/>
    <cellStyle name="Comma 2 16" xfId="111" xr:uid="{00000000-0005-0000-0000-000017000000}"/>
    <cellStyle name="Comma 2 17" xfId="147" xr:uid="{00000000-0005-0000-0000-000018000000}"/>
    <cellStyle name="Comma 2 18" xfId="159" xr:uid="{00000000-0005-0000-0000-000019000000}"/>
    <cellStyle name="Comma 2 19" xfId="162" xr:uid="{00000000-0005-0000-0000-00001A000000}"/>
    <cellStyle name="Comma 2 2" xfId="9" xr:uid="{00000000-0005-0000-0000-00001B000000}"/>
    <cellStyle name="Comma 2 2 2" xfId="86" xr:uid="{00000000-0005-0000-0000-00001C000000}"/>
    <cellStyle name="Comma 2 3" xfId="10" xr:uid="{00000000-0005-0000-0000-00001D000000}"/>
    <cellStyle name="Comma 2 3 2" xfId="82" xr:uid="{00000000-0005-0000-0000-00001E000000}"/>
    <cellStyle name="Comma 2 3 2 2" xfId="117" xr:uid="{00000000-0005-0000-0000-00001F000000}"/>
    <cellStyle name="Comma 2 4" xfId="11" xr:uid="{00000000-0005-0000-0000-000020000000}"/>
    <cellStyle name="Comma 2 5" xfId="12" xr:uid="{00000000-0005-0000-0000-000021000000}"/>
    <cellStyle name="Comma 2 6" xfId="13" xr:uid="{00000000-0005-0000-0000-000022000000}"/>
    <cellStyle name="Comma 2 7" xfId="14" xr:uid="{00000000-0005-0000-0000-000023000000}"/>
    <cellStyle name="Comma 2 8" xfId="15" xr:uid="{00000000-0005-0000-0000-000024000000}"/>
    <cellStyle name="Comma 2 9" xfId="16" xr:uid="{00000000-0005-0000-0000-000025000000}"/>
    <cellStyle name="Comma 20" xfId="154" xr:uid="{00000000-0005-0000-0000-000026000000}"/>
    <cellStyle name="Comma 21" xfId="156" xr:uid="{00000000-0005-0000-0000-000027000000}"/>
    <cellStyle name="Comma 22" xfId="158" xr:uid="{00000000-0005-0000-0000-000028000000}"/>
    <cellStyle name="Comma 3" xfId="17" xr:uid="{00000000-0005-0000-0000-000029000000}"/>
    <cellStyle name="Comma 3 2" xfId="18" xr:uid="{00000000-0005-0000-0000-00002A000000}"/>
    <cellStyle name="Comma 3 2 2" xfId="104" xr:uid="{00000000-0005-0000-0000-00002B000000}"/>
    <cellStyle name="Comma 3 3" xfId="19" xr:uid="{00000000-0005-0000-0000-00002C000000}"/>
    <cellStyle name="Comma 4" xfId="20" xr:uid="{00000000-0005-0000-0000-00002D000000}"/>
    <cellStyle name="Comma 4 2" xfId="21" xr:uid="{00000000-0005-0000-0000-00002E000000}"/>
    <cellStyle name="Comma 4 3" xfId="22" xr:uid="{00000000-0005-0000-0000-00002F000000}"/>
    <cellStyle name="Comma 5" xfId="23" xr:uid="{00000000-0005-0000-0000-000030000000}"/>
    <cellStyle name="Comma 5 2" xfId="24" xr:uid="{00000000-0005-0000-0000-000031000000}"/>
    <cellStyle name="Comma 5 3" xfId="25" xr:uid="{00000000-0005-0000-0000-000032000000}"/>
    <cellStyle name="Comma 5 3 2" xfId="113" xr:uid="{00000000-0005-0000-0000-000033000000}"/>
    <cellStyle name="Comma 5 4" xfId="26" xr:uid="{00000000-0005-0000-0000-000034000000}"/>
    <cellStyle name="Comma 6" xfId="27" xr:uid="{00000000-0005-0000-0000-000035000000}"/>
    <cellStyle name="Comma 7" xfId="81" xr:uid="{00000000-0005-0000-0000-000036000000}"/>
    <cellStyle name="Comma 7 2" xfId="116" xr:uid="{00000000-0005-0000-0000-000037000000}"/>
    <cellStyle name="Comma 7 2 2" xfId="119" xr:uid="{00000000-0005-0000-0000-000038000000}"/>
    <cellStyle name="Comma 7 2 2 2" xfId="130" xr:uid="{00000000-0005-0000-0000-000039000000}"/>
    <cellStyle name="Comma 7 2 2 2 2" xfId="139" xr:uid="{00000000-0005-0000-0000-00003A000000}"/>
    <cellStyle name="Comma 7 2 2 2 2 2" xfId="145" xr:uid="{00000000-0005-0000-0000-00003B000000}"/>
    <cellStyle name="Comma 7 2 2 2 2 2 2" xfId="150" xr:uid="{00000000-0005-0000-0000-00003C000000}"/>
    <cellStyle name="Comma 7 2 3" xfId="123" xr:uid="{00000000-0005-0000-0000-00003D000000}"/>
    <cellStyle name="Comma 7 2 3 2" xfId="126" xr:uid="{00000000-0005-0000-0000-00003E000000}"/>
    <cellStyle name="Comma 7 2 3 2 2" xfId="135" xr:uid="{00000000-0005-0000-0000-00003F000000}"/>
    <cellStyle name="Comma 7 2 3 2 2 2" xfId="142" xr:uid="{00000000-0005-0000-0000-000040000000}"/>
    <cellStyle name="Comma 7 2 3 2 2 2 2" xfId="148" xr:uid="{00000000-0005-0000-0000-000041000000}"/>
    <cellStyle name="Comma 7 3" xfId="152" xr:uid="{00000000-0005-0000-0000-000042000000}"/>
    <cellStyle name="Comma 8" xfId="87" xr:uid="{00000000-0005-0000-0000-000043000000}"/>
    <cellStyle name="Comma 9" xfId="98" xr:uid="{00000000-0005-0000-0000-000044000000}"/>
    <cellStyle name="Currency 3" xfId="88" xr:uid="{00000000-0005-0000-0000-000045000000}"/>
    <cellStyle name="Hyperlink" xfId="28" builtinId="8"/>
    <cellStyle name="Hyperlink 2" xfId="29" xr:uid="{00000000-0005-0000-0000-000047000000}"/>
    <cellStyle name="Normal" xfId="0" builtinId="0"/>
    <cellStyle name="Normal 10" xfId="89" xr:uid="{00000000-0005-0000-0000-000049000000}"/>
    <cellStyle name="Normal 10 2" xfId="90" xr:uid="{00000000-0005-0000-0000-00004A000000}"/>
    <cellStyle name="Normal 11" xfId="91" xr:uid="{00000000-0005-0000-0000-00004B000000}"/>
    <cellStyle name="Normal 12" xfId="96" xr:uid="{00000000-0005-0000-0000-00004C000000}"/>
    <cellStyle name="Normal 13" xfId="97" xr:uid="{00000000-0005-0000-0000-00004D000000}"/>
    <cellStyle name="Normal 14" xfId="100" xr:uid="{00000000-0005-0000-0000-00004E000000}"/>
    <cellStyle name="Normal 15" xfId="105" xr:uid="{00000000-0005-0000-0000-00004F000000}"/>
    <cellStyle name="Normal 16" xfId="108" xr:uid="{00000000-0005-0000-0000-000050000000}"/>
    <cellStyle name="Normal 17" xfId="131" xr:uid="{00000000-0005-0000-0000-000051000000}"/>
    <cellStyle name="Normal 17 2" xfId="140" xr:uid="{00000000-0005-0000-0000-000052000000}"/>
    <cellStyle name="Normal 18" xfId="153" xr:uid="{00000000-0005-0000-0000-000053000000}"/>
    <cellStyle name="Normal 19" xfId="157" xr:uid="{00000000-0005-0000-0000-000054000000}"/>
    <cellStyle name="Normal 2" xfId="30" xr:uid="{00000000-0005-0000-0000-000055000000}"/>
    <cellStyle name="Normal 2 10" xfId="31" xr:uid="{00000000-0005-0000-0000-000056000000}"/>
    <cellStyle name="Normal 2 11" xfId="32" xr:uid="{00000000-0005-0000-0000-000057000000}"/>
    <cellStyle name="Normal 2 12" xfId="33" xr:uid="{00000000-0005-0000-0000-000058000000}"/>
    <cellStyle name="Normal 2 13" xfId="34" xr:uid="{00000000-0005-0000-0000-000059000000}"/>
    <cellStyle name="Normal 2 14" xfId="35" xr:uid="{00000000-0005-0000-0000-00005A000000}"/>
    <cellStyle name="Normal 2 15" xfId="36" xr:uid="{00000000-0005-0000-0000-00005B000000}"/>
    <cellStyle name="Normal 2 16" xfId="101" xr:uid="{00000000-0005-0000-0000-00005C000000}"/>
    <cellStyle name="Normal 2 17" xfId="122" xr:uid="{00000000-0005-0000-0000-00005D000000}"/>
    <cellStyle name="Normal 2 18" xfId="146" xr:uid="{00000000-0005-0000-0000-00005E000000}"/>
    <cellStyle name="Normal 2 2" xfId="37" xr:uid="{00000000-0005-0000-0000-00005F000000}"/>
    <cellStyle name="Normal 2 2 10" xfId="38" xr:uid="{00000000-0005-0000-0000-000060000000}"/>
    <cellStyle name="Normal 2 2 11" xfId="39" xr:uid="{00000000-0005-0000-0000-000061000000}"/>
    <cellStyle name="Normal 2 2 12" xfId="40" xr:uid="{00000000-0005-0000-0000-000062000000}"/>
    <cellStyle name="Normal 2 2 13" xfId="41" xr:uid="{00000000-0005-0000-0000-000063000000}"/>
    <cellStyle name="Normal 2 2 14" xfId="42" xr:uid="{00000000-0005-0000-0000-000064000000}"/>
    <cellStyle name="Normal 2 2 15" xfId="103" xr:uid="{00000000-0005-0000-0000-000065000000}"/>
    <cellStyle name="Normal 2 2 2" xfId="43" xr:uid="{00000000-0005-0000-0000-000066000000}"/>
    <cellStyle name="Normal 2 2 2 10" xfId="44" xr:uid="{00000000-0005-0000-0000-000067000000}"/>
    <cellStyle name="Normal 2 2 2 11" xfId="45" xr:uid="{00000000-0005-0000-0000-000068000000}"/>
    <cellStyle name="Normal 2 2 2 12" xfId="46" xr:uid="{00000000-0005-0000-0000-000069000000}"/>
    <cellStyle name="Normal 2 2 2 13" xfId="47" xr:uid="{00000000-0005-0000-0000-00006A000000}"/>
    <cellStyle name="Normal 2 2 2 14" xfId="48" xr:uid="{00000000-0005-0000-0000-00006B000000}"/>
    <cellStyle name="Normal 2 2 2 2" xfId="49" xr:uid="{00000000-0005-0000-0000-00006C000000}"/>
    <cellStyle name="Normal 2 2 2 3" xfId="50" xr:uid="{00000000-0005-0000-0000-00006D000000}"/>
    <cellStyle name="Normal 2 2 2 4" xfId="51" xr:uid="{00000000-0005-0000-0000-00006E000000}"/>
    <cellStyle name="Normal 2 2 2 5" xfId="52" xr:uid="{00000000-0005-0000-0000-00006F000000}"/>
    <cellStyle name="Normal 2 2 2 6" xfId="53" xr:uid="{00000000-0005-0000-0000-000070000000}"/>
    <cellStyle name="Normal 2 2 2 7" xfId="54" xr:uid="{00000000-0005-0000-0000-000071000000}"/>
    <cellStyle name="Normal 2 2 2 8" xfId="55" xr:uid="{00000000-0005-0000-0000-000072000000}"/>
    <cellStyle name="Normal 2 2 2 9" xfId="56" xr:uid="{00000000-0005-0000-0000-000073000000}"/>
    <cellStyle name="Normal 2 2 3" xfId="57" xr:uid="{00000000-0005-0000-0000-000074000000}"/>
    <cellStyle name="Normal 2 2 4" xfId="58" xr:uid="{00000000-0005-0000-0000-000075000000}"/>
    <cellStyle name="Normal 2 2 5" xfId="59" xr:uid="{00000000-0005-0000-0000-000076000000}"/>
    <cellStyle name="Normal 2 2 6" xfId="60" xr:uid="{00000000-0005-0000-0000-000077000000}"/>
    <cellStyle name="Normal 2 2 7" xfId="61" xr:uid="{00000000-0005-0000-0000-000078000000}"/>
    <cellStyle name="Normal 2 2 8" xfId="62" xr:uid="{00000000-0005-0000-0000-000079000000}"/>
    <cellStyle name="Normal 2 2 9" xfId="63" xr:uid="{00000000-0005-0000-0000-00007A000000}"/>
    <cellStyle name="Normal 2 3" xfId="64" xr:uid="{00000000-0005-0000-0000-00007B000000}"/>
    <cellStyle name="Normal 2 4" xfId="65" xr:uid="{00000000-0005-0000-0000-00007C000000}"/>
    <cellStyle name="Normal 2 5" xfId="66" xr:uid="{00000000-0005-0000-0000-00007D000000}"/>
    <cellStyle name="Normal 2 5 2" xfId="151" xr:uid="{00000000-0005-0000-0000-00007E000000}"/>
    <cellStyle name="Normal 2 6" xfId="67" xr:uid="{00000000-0005-0000-0000-00007F000000}"/>
    <cellStyle name="Normal 2 7" xfId="68" xr:uid="{00000000-0005-0000-0000-000080000000}"/>
    <cellStyle name="Normal 2 8" xfId="69" xr:uid="{00000000-0005-0000-0000-000081000000}"/>
    <cellStyle name="Normal 2 9" xfId="70" xr:uid="{00000000-0005-0000-0000-000082000000}"/>
    <cellStyle name="Normal 20" xfId="161" xr:uid="{00000000-0005-0000-0000-000083000000}"/>
    <cellStyle name="Normal 21" xfId="163" xr:uid="{00000000-0005-0000-0000-000084000000}"/>
    <cellStyle name="Normal 3" xfId="71" xr:uid="{00000000-0005-0000-0000-000085000000}"/>
    <cellStyle name="Normal 3 2" xfId="72" xr:uid="{00000000-0005-0000-0000-000086000000}"/>
    <cellStyle name="Normal 3 3" xfId="73" xr:uid="{00000000-0005-0000-0000-000087000000}"/>
    <cellStyle name="Normal 3 4" xfId="80" xr:uid="{00000000-0005-0000-0000-000088000000}"/>
    <cellStyle name="Normal 4" xfId="74" xr:uid="{00000000-0005-0000-0000-000089000000}"/>
    <cellStyle name="Normal 4 2" xfId="92" xr:uid="{00000000-0005-0000-0000-00008A000000}"/>
    <cellStyle name="Normal 4 3" xfId="155" xr:uid="{00000000-0005-0000-0000-00008B000000}"/>
    <cellStyle name="Normal 5" xfId="75" xr:uid="{00000000-0005-0000-0000-00008C000000}"/>
    <cellStyle name="Normal 5 2" xfId="76" xr:uid="{00000000-0005-0000-0000-00008D000000}"/>
    <cellStyle name="Normal 5 2 2" xfId="77" xr:uid="{00000000-0005-0000-0000-00008E000000}"/>
    <cellStyle name="Normal 5 2 2 2" xfId="112" xr:uid="{00000000-0005-0000-0000-00008F000000}"/>
    <cellStyle name="Normal 5 3" xfId="78" xr:uid="{00000000-0005-0000-0000-000090000000}"/>
    <cellStyle name="Normal 5 4" xfId="114" xr:uid="{00000000-0005-0000-0000-000091000000}"/>
    <cellStyle name="Normal 6" xfId="79" xr:uid="{00000000-0005-0000-0000-000092000000}"/>
    <cellStyle name="Normal 7" xfId="83" xr:uid="{00000000-0005-0000-0000-000093000000}"/>
    <cellStyle name="Normal 7 2" xfId="118" xr:uid="{00000000-0005-0000-0000-000094000000}"/>
    <cellStyle name="Normal 7 2 2" xfId="120" xr:uid="{00000000-0005-0000-0000-000095000000}"/>
    <cellStyle name="Normal 7 2 2 2" xfId="129" xr:uid="{00000000-0005-0000-0000-000096000000}"/>
    <cellStyle name="Normal 7 2 2 2 2" xfId="138" xr:uid="{00000000-0005-0000-0000-000097000000}"/>
    <cellStyle name="Normal 7 2 2 2 2 2" xfId="144" xr:uid="{00000000-0005-0000-0000-000098000000}"/>
    <cellStyle name="Normal 7 2 2 2 2 2 2" xfId="149" xr:uid="{00000000-0005-0000-0000-000099000000}"/>
    <cellStyle name="Normal 7 2 3" xfId="124" xr:uid="{00000000-0005-0000-0000-00009A000000}"/>
    <cellStyle name="Normal 7 2 3 2" xfId="128" xr:uid="{00000000-0005-0000-0000-00009B000000}"/>
    <cellStyle name="Normal 7 2 3 2 2" xfId="137" xr:uid="{00000000-0005-0000-0000-00009C000000}"/>
    <cellStyle name="Normal 7 2 3 2 2 2" xfId="143" xr:uid="{00000000-0005-0000-0000-00009D000000}"/>
    <cellStyle name="Normal 8" xfId="93" xr:uid="{00000000-0005-0000-0000-00009E000000}"/>
    <cellStyle name="Normal 8 2" xfId="94" xr:uid="{00000000-0005-0000-0000-00009F000000}"/>
    <cellStyle name="Normal 9" xfId="95" xr:uid="{00000000-0005-0000-0000-0000A0000000}"/>
    <cellStyle name="Percent 2" xfId="107" xr:uid="{00000000-0005-0000-0000-0000A1000000}"/>
    <cellStyle name="Percent 3" xfId="109" xr:uid="{00000000-0005-0000-0000-0000A2000000}"/>
    <cellStyle name="Percent 4" xfId="160" xr:uid="{00000000-0005-0000-0000-0000A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3298</xdr:colOff>
      <xdr:row>0</xdr:row>
      <xdr:rowOff>4107</xdr:rowOff>
    </xdr:from>
    <xdr:to>
      <xdr:col>10</xdr:col>
      <xdr:colOff>523875</xdr:colOff>
      <xdr:row>53</xdr:row>
      <xdr:rowOff>88603</xdr:rowOff>
    </xdr:to>
    <xdr:pic>
      <xdr:nvPicPr>
        <xdr:cNvPr id="2" name="Picture 1">
          <a:extLst>
            <a:ext uri="{FF2B5EF4-FFF2-40B4-BE49-F238E27FC236}">
              <a16:creationId xmlns:a16="http://schemas.microsoft.com/office/drawing/2014/main" id="{4F15A889-B117-4D95-AA9F-1163DC93BB7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98" y="4107"/>
          <a:ext cx="6616577" cy="8834796"/>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10</xdr:col>
      <xdr:colOff>428625</xdr:colOff>
      <xdr:row>63</xdr:row>
      <xdr:rowOff>114300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04775"/>
          <a:ext cx="6524625" cy="102108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Eli/AppData/Roaming/Microsoft/Excel/02%20CCET%20Analysis%20Tool%20for%20Cities%20and%20Municipalities.xlsx" TargetMode="External"/><Relationship Id="rId1" Type="http://schemas.openxmlformats.org/officeDocument/2006/relationships/externalLinkPath" Target="/Users/Eli/AppData/Roaming/Microsoft/Excel/02%20CCET%20Analysis%20Tool%20for%20Cities%20and%20Municipaliti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02%20CCET%20Analysis%20Tool%20for%20Cities%20and%20Municipal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ource - All LGUs"/>
      <sheetName val="Source  - Provincial Data"/>
      <sheetName val="Provinces"/>
      <sheetName val="HVP List"/>
      <sheetName val="VList-LGUs"/>
      <sheetName val="VCondList-LGUs"/>
      <sheetName val="VList-Typology"/>
      <sheetName val="LGU SumDataSheet"/>
      <sheetName val="AIP CCET Data Bank - CityMuni"/>
      <sheetName val="AIP (2)"/>
      <sheetName val="AIPCCET"/>
      <sheetName val="GF"/>
      <sheetName val="LDRRMF"/>
      <sheetName val="CC vs NonCC Budget"/>
      <sheetName val="CCA vs CCM Budget"/>
      <sheetName val="Budget by NCCAP Alignment"/>
      <sheetName val="CC Expenditure by Fund Source"/>
      <sheetName val="Guide-Standardized Fund Source"/>
      <sheetName val="Standardized FS - Total"/>
      <sheetName val="Standardized FS - Adaptation"/>
      <sheetName val="Standardized FS - Mitigation"/>
      <sheetName val="Frequency - All Codes"/>
      <sheetName val="Frequency - Adaptation Codes"/>
      <sheetName val="Frequency - Mitigation Codes"/>
    </sheetNames>
    <sheetDataSet>
      <sheetData sheetId="0" refreshError="1"/>
      <sheetData sheetId="1" refreshError="1"/>
      <sheetData sheetId="2" refreshError="1"/>
      <sheetData sheetId="3">
        <row r="2">
          <cell r="B2" t="str">
            <v>Maguindanao</v>
          </cell>
        </row>
        <row r="3">
          <cell r="B3" t="str">
            <v>Negros_Oriental</v>
          </cell>
        </row>
        <row r="4">
          <cell r="B4" t="str">
            <v>La_Union</v>
          </cell>
        </row>
        <row r="5">
          <cell r="B5" t="str">
            <v>Pangasinan</v>
          </cell>
        </row>
        <row r="6">
          <cell r="B6" t="str">
            <v>Cagayan</v>
          </cell>
        </row>
        <row r="7">
          <cell r="B7" t="str">
            <v>Isabela</v>
          </cell>
        </row>
        <row r="8">
          <cell r="B8" t="str">
            <v>Bataan</v>
          </cell>
        </row>
        <row r="9">
          <cell r="B9" t="str">
            <v>Bulacan</v>
          </cell>
        </row>
        <row r="10">
          <cell r="B10" t="str">
            <v>Tarlac</v>
          </cell>
        </row>
        <row r="11">
          <cell r="B11" t="str">
            <v>Zambales</v>
          </cell>
        </row>
        <row r="12">
          <cell r="B12" t="str">
            <v>Nueva_Ecija</v>
          </cell>
        </row>
        <row r="13">
          <cell r="B13" t="str">
            <v>Pampanga</v>
          </cell>
        </row>
        <row r="14">
          <cell r="B14" t="str">
            <v>Laguna</v>
          </cell>
        </row>
        <row r="15">
          <cell r="B15" t="str">
            <v>Quezon</v>
          </cell>
        </row>
        <row r="16">
          <cell r="B16" t="str">
            <v>Albay</v>
          </cell>
        </row>
        <row r="17">
          <cell r="B17" t="str">
            <v>Sorsogon</v>
          </cell>
        </row>
        <row r="18">
          <cell r="B18" t="str">
            <v>Camarines_Sur</v>
          </cell>
        </row>
        <row r="19">
          <cell r="B19" t="str">
            <v>Capiz</v>
          </cell>
        </row>
        <row r="20">
          <cell r="B20" t="str">
            <v>Bohol</v>
          </cell>
        </row>
        <row r="21">
          <cell r="B21" t="str">
            <v>Leyte</v>
          </cell>
        </row>
        <row r="22">
          <cell r="B22" t="str">
            <v>Southern_Leyte</v>
          </cell>
        </row>
        <row r="23">
          <cell r="B23" t="str">
            <v>Zamboanga_del_Sur</v>
          </cell>
        </row>
        <row r="24">
          <cell r="B24" t="str">
            <v>Bukidnon</v>
          </cell>
        </row>
        <row r="25">
          <cell r="B25" t="str">
            <v>Davao_Oriental</v>
          </cell>
        </row>
        <row r="26">
          <cell r="B26" t="str">
            <v>North_Cotabato</v>
          </cell>
        </row>
        <row r="27">
          <cell r="B27" t="str">
            <v>Surigao_del_Norte</v>
          </cell>
        </row>
        <row r="28">
          <cell r="B28" t="str">
            <v>Surigao_del_Sur</v>
          </cell>
        </row>
      </sheetData>
      <sheetData sheetId="4">
        <row r="5">
          <cell r="B5" t="str">
            <v>Basilan</v>
          </cell>
          <cell r="J5" t="str">
            <v>Akbar</v>
          </cell>
          <cell r="K5" t="str">
            <v>Municipality</v>
          </cell>
          <cell r="M5" t="str">
            <v>-</v>
          </cell>
          <cell r="T5" t="str">
            <v>No</v>
          </cell>
        </row>
        <row r="6">
          <cell r="B6" t="str">
            <v>Basilan</v>
          </cell>
          <cell r="J6" t="str">
            <v>Al-Barka</v>
          </cell>
          <cell r="K6" t="str">
            <v>Municipality</v>
          </cell>
          <cell r="M6" t="str">
            <v>-</v>
          </cell>
          <cell r="T6" t="str">
            <v>No</v>
          </cell>
        </row>
        <row r="7">
          <cell r="B7" t="str">
            <v>Basilan</v>
          </cell>
          <cell r="J7" t="str">
            <v>City Of Lamitan</v>
          </cell>
          <cell r="K7" t="str">
            <v>City</v>
          </cell>
          <cell r="M7" t="str">
            <v>6th</v>
          </cell>
          <cell r="T7" t="str">
            <v>No</v>
          </cell>
        </row>
        <row r="8">
          <cell r="B8" t="str">
            <v>Basilan</v>
          </cell>
          <cell r="J8" t="str">
            <v>Hadji Mohammad Ajul</v>
          </cell>
          <cell r="K8" t="str">
            <v>Municipality</v>
          </cell>
          <cell r="M8" t="str">
            <v>-</v>
          </cell>
          <cell r="T8" t="str">
            <v>No</v>
          </cell>
        </row>
        <row r="9">
          <cell r="B9" t="str">
            <v>Basilan</v>
          </cell>
          <cell r="J9" t="str">
            <v>Hadji Muhtamad</v>
          </cell>
          <cell r="K9" t="str">
            <v>Municipality</v>
          </cell>
          <cell r="M9" t="str">
            <v>-</v>
          </cell>
          <cell r="T9" t="str">
            <v>No</v>
          </cell>
        </row>
        <row r="10">
          <cell r="B10" t="str">
            <v>Basilan</v>
          </cell>
          <cell r="J10" t="str">
            <v>Lantawan</v>
          </cell>
          <cell r="K10" t="str">
            <v>Municipality</v>
          </cell>
          <cell r="M10" t="str">
            <v>3rd</v>
          </cell>
          <cell r="T10" t="str">
            <v>No</v>
          </cell>
        </row>
        <row r="11">
          <cell r="B11" t="str">
            <v>Basilan</v>
          </cell>
          <cell r="J11" t="str">
            <v>Maluso</v>
          </cell>
          <cell r="K11" t="str">
            <v>Municipality</v>
          </cell>
          <cell r="M11" t="str">
            <v>4th</v>
          </cell>
          <cell r="T11" t="str">
            <v>No</v>
          </cell>
        </row>
        <row r="12">
          <cell r="B12" t="str">
            <v>Basilan</v>
          </cell>
          <cell r="J12" t="str">
            <v>Sumisip</v>
          </cell>
          <cell r="K12" t="str">
            <v>Municipality</v>
          </cell>
          <cell r="M12" t="str">
            <v>1st</v>
          </cell>
          <cell r="T12" t="str">
            <v>No</v>
          </cell>
        </row>
        <row r="13">
          <cell r="B13" t="str">
            <v>Basilan</v>
          </cell>
          <cell r="J13" t="str">
            <v>Tabuan-Lasa</v>
          </cell>
          <cell r="K13" t="str">
            <v>Municipality</v>
          </cell>
          <cell r="M13" t="str">
            <v>-</v>
          </cell>
          <cell r="T13" t="str">
            <v>No</v>
          </cell>
        </row>
        <row r="14">
          <cell r="B14" t="str">
            <v>Basilan</v>
          </cell>
          <cell r="J14" t="str">
            <v>Tipo-Tipo</v>
          </cell>
          <cell r="K14" t="str">
            <v>Municipality</v>
          </cell>
          <cell r="M14" t="str">
            <v>3rd</v>
          </cell>
          <cell r="T14" t="str">
            <v>No</v>
          </cell>
        </row>
        <row r="15">
          <cell r="B15" t="str">
            <v>Basilan</v>
          </cell>
          <cell r="J15" t="str">
            <v>Tuburan</v>
          </cell>
          <cell r="K15" t="str">
            <v>Municipality</v>
          </cell>
          <cell r="M15" t="str">
            <v>2nd</v>
          </cell>
          <cell r="T15" t="str">
            <v>No</v>
          </cell>
        </row>
        <row r="16">
          <cell r="B16" t="str">
            <v>Basilan</v>
          </cell>
          <cell r="J16" t="str">
            <v>Ungkaya Pukan</v>
          </cell>
          <cell r="K16" t="str">
            <v>Municipality</v>
          </cell>
          <cell r="M16" t="str">
            <v>-</v>
          </cell>
          <cell r="T16" t="str">
            <v>No</v>
          </cell>
        </row>
        <row r="17">
          <cell r="B17" t="str">
            <v>Lanao_del_Sur</v>
          </cell>
          <cell r="J17" t="str">
            <v>Bacolod-Kalawi (Bacolod Grande)</v>
          </cell>
          <cell r="K17" t="str">
            <v>Municipality</v>
          </cell>
          <cell r="M17" t="str">
            <v>3rd</v>
          </cell>
          <cell r="T17" t="str">
            <v>No</v>
          </cell>
        </row>
        <row r="18">
          <cell r="B18" t="str">
            <v>Lanao_del_Sur</v>
          </cell>
          <cell r="J18" t="str">
            <v>Balabagan</v>
          </cell>
          <cell r="K18" t="str">
            <v>Municipality</v>
          </cell>
          <cell r="M18" t="str">
            <v>4th</v>
          </cell>
          <cell r="T18" t="str">
            <v>No</v>
          </cell>
        </row>
        <row r="19">
          <cell r="B19" t="str">
            <v>Lanao_del_Sur</v>
          </cell>
          <cell r="J19" t="str">
            <v>Balindong (Watu)</v>
          </cell>
          <cell r="K19" t="str">
            <v>Municipality</v>
          </cell>
          <cell r="M19" t="str">
            <v>4th</v>
          </cell>
          <cell r="T19" t="str">
            <v>No</v>
          </cell>
        </row>
        <row r="20">
          <cell r="B20" t="str">
            <v>Lanao_del_Sur</v>
          </cell>
          <cell r="J20" t="str">
            <v>Bayang</v>
          </cell>
          <cell r="K20" t="str">
            <v>Municipality</v>
          </cell>
          <cell r="M20" t="str">
            <v>5th</v>
          </cell>
          <cell r="T20" t="str">
            <v>No</v>
          </cell>
        </row>
        <row r="21">
          <cell r="B21" t="str">
            <v>Lanao_del_Sur</v>
          </cell>
          <cell r="J21" t="str">
            <v>Binidayan</v>
          </cell>
          <cell r="K21" t="str">
            <v>Municipality</v>
          </cell>
          <cell r="M21" t="str">
            <v>4th</v>
          </cell>
          <cell r="T21" t="str">
            <v>No</v>
          </cell>
        </row>
        <row r="22">
          <cell r="B22" t="str">
            <v>Lanao_del_Sur</v>
          </cell>
          <cell r="J22" t="str">
            <v>Buadiposo-Buntong</v>
          </cell>
          <cell r="K22" t="str">
            <v>Municipality</v>
          </cell>
          <cell r="M22" t="str">
            <v>4th</v>
          </cell>
          <cell r="T22" t="str">
            <v>No</v>
          </cell>
        </row>
        <row r="23">
          <cell r="B23" t="str">
            <v>Lanao_del_Sur</v>
          </cell>
          <cell r="J23" t="str">
            <v>Bubong</v>
          </cell>
          <cell r="K23" t="str">
            <v>Municipality</v>
          </cell>
          <cell r="M23" t="str">
            <v>2nd</v>
          </cell>
          <cell r="T23" t="str">
            <v>No</v>
          </cell>
        </row>
        <row r="24">
          <cell r="B24" t="str">
            <v>Lanao_del_Sur</v>
          </cell>
          <cell r="J24" t="str">
            <v>Bumbaran</v>
          </cell>
          <cell r="K24" t="str">
            <v>Municipality</v>
          </cell>
          <cell r="M24" t="str">
            <v>3rd</v>
          </cell>
          <cell r="T24" t="str">
            <v>No</v>
          </cell>
        </row>
        <row r="25">
          <cell r="B25" t="str">
            <v>Lanao_del_Sur</v>
          </cell>
          <cell r="J25" t="str">
            <v>Butig</v>
          </cell>
          <cell r="K25" t="str">
            <v>Municipality</v>
          </cell>
          <cell r="M25" t="str">
            <v>6th</v>
          </cell>
          <cell r="T25" t="str">
            <v>No</v>
          </cell>
        </row>
        <row r="26">
          <cell r="B26" t="str">
            <v>Lanao_del_Sur</v>
          </cell>
          <cell r="J26" t="str">
            <v>Calanogas</v>
          </cell>
          <cell r="K26" t="str">
            <v>Municipality</v>
          </cell>
          <cell r="M26" t="str">
            <v>5th</v>
          </cell>
          <cell r="T26" t="str">
            <v>No</v>
          </cell>
        </row>
        <row r="27">
          <cell r="B27" t="str">
            <v>Lanao_del_Sur</v>
          </cell>
          <cell r="J27" t="str">
            <v>Ditsaan-Ramain</v>
          </cell>
          <cell r="K27" t="str">
            <v>Municipality</v>
          </cell>
          <cell r="M27" t="str">
            <v>3rd</v>
          </cell>
          <cell r="T27" t="str">
            <v>No</v>
          </cell>
        </row>
        <row r="28">
          <cell r="B28" t="str">
            <v>Lanao_del_Sur</v>
          </cell>
          <cell r="J28" t="str">
            <v>Ganassi</v>
          </cell>
          <cell r="K28" t="str">
            <v>Municipality</v>
          </cell>
          <cell r="M28" t="str">
            <v>4th</v>
          </cell>
          <cell r="T28" t="str">
            <v>No</v>
          </cell>
        </row>
        <row r="29">
          <cell r="B29" t="str">
            <v>Lanao_del_Sur</v>
          </cell>
          <cell r="J29" t="str">
            <v>Kapai</v>
          </cell>
          <cell r="K29" t="str">
            <v>Municipality</v>
          </cell>
          <cell r="M29" t="str">
            <v>4th</v>
          </cell>
          <cell r="T29" t="str">
            <v>No</v>
          </cell>
        </row>
        <row r="30">
          <cell r="B30" t="str">
            <v>Lanao_del_Sur</v>
          </cell>
          <cell r="J30" t="str">
            <v>Kapatagan</v>
          </cell>
          <cell r="K30" t="str">
            <v>Municipality</v>
          </cell>
          <cell r="M30" t="str">
            <v>4th</v>
          </cell>
          <cell r="T30" t="str">
            <v>No</v>
          </cell>
        </row>
        <row r="31">
          <cell r="B31" t="str">
            <v>Lanao_del_Sur</v>
          </cell>
          <cell r="J31" t="str">
            <v>Lumba-Bayabao (Maguing)</v>
          </cell>
          <cell r="K31" t="str">
            <v>Municipality</v>
          </cell>
          <cell r="M31" t="str">
            <v>2nd</v>
          </cell>
          <cell r="T31" t="str">
            <v>No</v>
          </cell>
        </row>
        <row r="32">
          <cell r="B32" t="str">
            <v>Lanao_del_Sur</v>
          </cell>
          <cell r="J32" t="str">
            <v>Lumbaca-Unayan</v>
          </cell>
          <cell r="K32" t="str">
            <v>Municipality</v>
          </cell>
          <cell r="M32" t="str">
            <v>-</v>
          </cell>
          <cell r="T32" t="str">
            <v>No</v>
          </cell>
        </row>
        <row r="33">
          <cell r="B33" t="str">
            <v>Lanao_del_Sur</v>
          </cell>
          <cell r="J33" t="str">
            <v>Lumbatan</v>
          </cell>
          <cell r="K33" t="str">
            <v>Municipality</v>
          </cell>
          <cell r="M33" t="str">
            <v>5th</v>
          </cell>
          <cell r="T33" t="str">
            <v>No</v>
          </cell>
        </row>
        <row r="34">
          <cell r="B34" t="str">
            <v>Lanao_del_Sur</v>
          </cell>
          <cell r="J34" t="str">
            <v>Lumbayanague</v>
          </cell>
          <cell r="K34" t="str">
            <v>Municipality</v>
          </cell>
          <cell r="M34" t="str">
            <v>4th</v>
          </cell>
          <cell r="T34" t="str">
            <v>No</v>
          </cell>
        </row>
        <row r="35">
          <cell r="B35" t="str">
            <v>Lanao_del_Sur</v>
          </cell>
          <cell r="J35" t="str">
            <v>Madalum</v>
          </cell>
          <cell r="K35" t="str">
            <v>Municipality</v>
          </cell>
          <cell r="M35" t="str">
            <v>3rd</v>
          </cell>
          <cell r="T35" t="str">
            <v>No</v>
          </cell>
        </row>
        <row r="36">
          <cell r="B36" t="str">
            <v>Lanao_del_Sur</v>
          </cell>
          <cell r="J36" t="str">
            <v>Madamba</v>
          </cell>
          <cell r="K36" t="str">
            <v>Municipality</v>
          </cell>
          <cell r="M36" t="str">
            <v>4th</v>
          </cell>
          <cell r="T36" t="str">
            <v>No</v>
          </cell>
        </row>
        <row r="37">
          <cell r="B37" t="str">
            <v>Lanao_del_Sur</v>
          </cell>
          <cell r="J37" t="str">
            <v>Maguing</v>
          </cell>
          <cell r="K37" t="str">
            <v>Municipality</v>
          </cell>
          <cell r="M37" t="str">
            <v>2nd</v>
          </cell>
          <cell r="T37" t="str">
            <v>No</v>
          </cell>
        </row>
        <row r="38">
          <cell r="B38" t="str">
            <v>Lanao_del_Sur</v>
          </cell>
          <cell r="J38" t="str">
            <v>Malabang</v>
          </cell>
          <cell r="K38" t="str">
            <v>Municipality</v>
          </cell>
          <cell r="M38" t="str">
            <v>3rd</v>
          </cell>
          <cell r="T38" t="str">
            <v>No</v>
          </cell>
        </row>
        <row r="39">
          <cell r="B39" t="str">
            <v>Lanao_del_Sur</v>
          </cell>
          <cell r="J39" t="str">
            <v>Marantao</v>
          </cell>
          <cell r="K39" t="str">
            <v>Municipality</v>
          </cell>
          <cell r="M39" t="str">
            <v>2nd</v>
          </cell>
          <cell r="T39" t="str">
            <v>No</v>
          </cell>
        </row>
        <row r="40">
          <cell r="B40" t="str">
            <v>Lanao_del_Sur</v>
          </cell>
          <cell r="J40" t="str">
            <v>Marawi City (Capital)</v>
          </cell>
          <cell r="K40" t="str">
            <v>City</v>
          </cell>
          <cell r="M40" t="str">
            <v>4th</v>
          </cell>
          <cell r="T40" t="str">
            <v>No</v>
          </cell>
        </row>
        <row r="41">
          <cell r="B41" t="str">
            <v>Lanao_del_Sur</v>
          </cell>
          <cell r="J41" t="str">
            <v>Marogong</v>
          </cell>
          <cell r="K41" t="str">
            <v>Municipality</v>
          </cell>
          <cell r="M41" t="str">
            <v>4th</v>
          </cell>
          <cell r="T41" t="str">
            <v>No</v>
          </cell>
        </row>
        <row r="42">
          <cell r="B42" t="str">
            <v>Lanao_del_Sur</v>
          </cell>
          <cell r="J42" t="str">
            <v>Masiu</v>
          </cell>
          <cell r="K42" t="str">
            <v>Municipality</v>
          </cell>
          <cell r="M42" t="str">
            <v>5th</v>
          </cell>
          <cell r="T42" t="str">
            <v>No</v>
          </cell>
        </row>
        <row r="43">
          <cell r="B43" t="str">
            <v>Lanao_del_Sur</v>
          </cell>
          <cell r="J43" t="str">
            <v>Mulondo</v>
          </cell>
          <cell r="K43" t="str">
            <v>Municipality</v>
          </cell>
          <cell r="M43" t="str">
            <v>3rd</v>
          </cell>
          <cell r="T43" t="str">
            <v>No</v>
          </cell>
        </row>
        <row r="44">
          <cell r="B44" t="str">
            <v>Lanao_del_Sur</v>
          </cell>
          <cell r="J44" t="str">
            <v>Pagayawan (Tatarikan)</v>
          </cell>
          <cell r="K44" t="str">
            <v>Municipality</v>
          </cell>
          <cell r="M44" t="str">
            <v>5th</v>
          </cell>
          <cell r="T44" t="str">
            <v>No</v>
          </cell>
        </row>
        <row r="45">
          <cell r="B45" t="str">
            <v>Lanao_del_Sur</v>
          </cell>
          <cell r="J45" t="str">
            <v>Piagapo</v>
          </cell>
          <cell r="K45" t="str">
            <v>Municipality</v>
          </cell>
          <cell r="M45" t="str">
            <v>4th</v>
          </cell>
          <cell r="T45" t="str">
            <v>No</v>
          </cell>
        </row>
        <row r="46">
          <cell r="B46" t="str">
            <v>Lanao_del_Sur</v>
          </cell>
          <cell r="J46" t="str">
            <v>Picong (Sultan Gumander)</v>
          </cell>
          <cell r="K46" t="str">
            <v>Municipality</v>
          </cell>
          <cell r="M46" t="str">
            <v>-</v>
          </cell>
          <cell r="T46" t="str">
            <v>No</v>
          </cell>
        </row>
        <row r="47">
          <cell r="B47" t="str">
            <v>Lanao_del_Sur</v>
          </cell>
          <cell r="J47" t="str">
            <v>Poona Bayabao (Gata)</v>
          </cell>
          <cell r="K47" t="str">
            <v>Municipality</v>
          </cell>
          <cell r="M47" t="str">
            <v>4th</v>
          </cell>
          <cell r="T47" t="str">
            <v>No</v>
          </cell>
        </row>
        <row r="48">
          <cell r="B48" t="str">
            <v>Lanao_del_Sur</v>
          </cell>
          <cell r="J48" t="str">
            <v>Pualas</v>
          </cell>
          <cell r="K48" t="str">
            <v>Municipality</v>
          </cell>
          <cell r="M48" t="str">
            <v>5th</v>
          </cell>
          <cell r="T48" t="str">
            <v>No</v>
          </cell>
        </row>
        <row r="49">
          <cell r="B49" t="str">
            <v>Lanao_del_Sur</v>
          </cell>
          <cell r="J49" t="str">
            <v>Saguiaran</v>
          </cell>
          <cell r="K49" t="str">
            <v>Municipality</v>
          </cell>
          <cell r="M49" t="str">
            <v>4th</v>
          </cell>
          <cell r="T49" t="str">
            <v>No</v>
          </cell>
        </row>
        <row r="50">
          <cell r="B50" t="str">
            <v>Lanao_del_Sur</v>
          </cell>
          <cell r="J50" t="str">
            <v>Sultan Dumalondong</v>
          </cell>
          <cell r="K50" t="str">
            <v>Municipality</v>
          </cell>
          <cell r="M50" t="str">
            <v>6th</v>
          </cell>
          <cell r="T50" t="str">
            <v>No</v>
          </cell>
        </row>
        <row r="51">
          <cell r="B51" t="str">
            <v>Lanao_del_Sur</v>
          </cell>
          <cell r="J51" t="str">
            <v>Tagoloan Ii</v>
          </cell>
          <cell r="K51" t="str">
            <v>Municipality</v>
          </cell>
          <cell r="M51" t="str">
            <v>4th</v>
          </cell>
          <cell r="T51" t="str">
            <v>No</v>
          </cell>
        </row>
        <row r="52">
          <cell r="B52" t="str">
            <v>Lanao_del_Sur</v>
          </cell>
          <cell r="J52" t="str">
            <v>Tamparan</v>
          </cell>
          <cell r="K52" t="str">
            <v>Municipality</v>
          </cell>
          <cell r="M52" t="str">
            <v>5th</v>
          </cell>
          <cell r="T52" t="str">
            <v>No</v>
          </cell>
        </row>
        <row r="53">
          <cell r="B53" t="str">
            <v>Lanao_del_Sur</v>
          </cell>
          <cell r="J53" t="str">
            <v>Taraka</v>
          </cell>
          <cell r="K53" t="str">
            <v>Municipality</v>
          </cell>
          <cell r="M53" t="str">
            <v>4th</v>
          </cell>
          <cell r="T53" t="str">
            <v>No</v>
          </cell>
        </row>
        <row r="54">
          <cell r="B54" t="str">
            <v>Lanao_del_Sur</v>
          </cell>
          <cell r="J54" t="str">
            <v>Tubaran</v>
          </cell>
          <cell r="K54" t="str">
            <v>Municipality</v>
          </cell>
          <cell r="M54" t="str">
            <v>4th</v>
          </cell>
          <cell r="T54" t="str">
            <v>No</v>
          </cell>
        </row>
        <row r="55">
          <cell r="B55" t="str">
            <v>Lanao_del_Sur</v>
          </cell>
          <cell r="J55" t="str">
            <v>Tugaya</v>
          </cell>
          <cell r="K55" t="str">
            <v>Municipality</v>
          </cell>
          <cell r="M55" t="str">
            <v>5th</v>
          </cell>
          <cell r="T55" t="str">
            <v>No</v>
          </cell>
        </row>
        <row r="56">
          <cell r="B56" t="str">
            <v>Lanao_del_Sur</v>
          </cell>
          <cell r="J56" t="str">
            <v>Wao</v>
          </cell>
          <cell r="K56" t="str">
            <v>Municipality</v>
          </cell>
          <cell r="M56" t="str">
            <v>2nd</v>
          </cell>
          <cell r="T56" t="str">
            <v>No</v>
          </cell>
        </row>
        <row r="57">
          <cell r="B57" t="str">
            <v>Maguindanao</v>
          </cell>
          <cell r="J57" t="str">
            <v>Ampatuan</v>
          </cell>
          <cell r="K57" t="str">
            <v>Municipality</v>
          </cell>
          <cell r="M57" t="str">
            <v>4th</v>
          </cell>
          <cell r="T57" t="str">
            <v>Yes</v>
          </cell>
        </row>
        <row r="58">
          <cell r="B58" t="str">
            <v>Maguindanao</v>
          </cell>
          <cell r="J58" t="str">
            <v>Barira</v>
          </cell>
          <cell r="K58" t="str">
            <v>Municipality</v>
          </cell>
          <cell r="M58" t="str">
            <v>4th</v>
          </cell>
          <cell r="T58" t="str">
            <v>Yes</v>
          </cell>
        </row>
        <row r="59">
          <cell r="B59" t="str">
            <v>Maguindanao</v>
          </cell>
          <cell r="J59" t="str">
            <v>Buldon</v>
          </cell>
          <cell r="K59" t="str">
            <v>Municipality</v>
          </cell>
          <cell r="M59" t="str">
            <v>4th</v>
          </cell>
          <cell r="T59" t="str">
            <v>Yes</v>
          </cell>
        </row>
        <row r="60">
          <cell r="B60" t="str">
            <v>Maguindanao</v>
          </cell>
          <cell r="J60" t="str">
            <v>Buluan</v>
          </cell>
          <cell r="K60" t="str">
            <v>Municipality</v>
          </cell>
          <cell r="M60" t="str">
            <v>4th</v>
          </cell>
          <cell r="T60" t="str">
            <v>Yes</v>
          </cell>
        </row>
        <row r="61">
          <cell r="B61" t="str">
            <v>Maguindanao</v>
          </cell>
          <cell r="J61" t="str">
            <v>Datu Abdullah Sangki</v>
          </cell>
          <cell r="K61" t="str">
            <v>Municipality</v>
          </cell>
          <cell r="M61" t="str">
            <v>-</v>
          </cell>
          <cell r="T61" t="str">
            <v>Yes</v>
          </cell>
        </row>
        <row r="62">
          <cell r="B62" t="str">
            <v>Maguindanao</v>
          </cell>
          <cell r="J62" t="str">
            <v>Datu Anggal Midtimbang</v>
          </cell>
          <cell r="K62" t="str">
            <v>Municipality</v>
          </cell>
          <cell r="M62" t="str">
            <v>-</v>
          </cell>
          <cell r="T62" t="str">
            <v>Yes</v>
          </cell>
        </row>
        <row r="63">
          <cell r="B63" t="str">
            <v>Maguindanao</v>
          </cell>
          <cell r="J63" t="str">
            <v>Datu Blah T.  Sinsuat</v>
          </cell>
          <cell r="K63" t="str">
            <v>Municipality</v>
          </cell>
          <cell r="M63" t="str">
            <v>1st</v>
          </cell>
          <cell r="T63" t="str">
            <v>Yes</v>
          </cell>
        </row>
        <row r="64">
          <cell r="B64" t="str">
            <v>Maguindanao</v>
          </cell>
          <cell r="J64" t="str">
            <v>Datu Hoffer Ampatuan</v>
          </cell>
          <cell r="K64" t="str">
            <v>Municipality</v>
          </cell>
          <cell r="M64" t="str">
            <v>-</v>
          </cell>
          <cell r="T64" t="str">
            <v>Yes</v>
          </cell>
        </row>
        <row r="65">
          <cell r="B65" t="str">
            <v>Maguindanao</v>
          </cell>
          <cell r="J65" t="str">
            <v>Datu Odin Sinsuat (Dinaig)</v>
          </cell>
          <cell r="K65" t="str">
            <v>Municipality</v>
          </cell>
          <cell r="M65" t="str">
            <v>-</v>
          </cell>
          <cell r="T65" t="str">
            <v>Yes</v>
          </cell>
        </row>
        <row r="66">
          <cell r="B66" t="str">
            <v>Maguindanao</v>
          </cell>
          <cell r="J66" t="str">
            <v>Datu Paglas</v>
          </cell>
          <cell r="K66" t="str">
            <v>Municipality</v>
          </cell>
          <cell r="M66" t="str">
            <v>4th</v>
          </cell>
          <cell r="T66" t="str">
            <v>Yes</v>
          </cell>
        </row>
        <row r="67">
          <cell r="B67" t="str">
            <v>Maguindanao</v>
          </cell>
          <cell r="J67" t="str">
            <v>Datu Piang</v>
          </cell>
          <cell r="K67" t="str">
            <v>Municipality</v>
          </cell>
          <cell r="M67" t="str">
            <v>2nd</v>
          </cell>
          <cell r="T67" t="str">
            <v>Yes</v>
          </cell>
        </row>
        <row r="68">
          <cell r="B68" t="str">
            <v>Maguindanao</v>
          </cell>
          <cell r="J68" t="str">
            <v>Datu Salibo</v>
          </cell>
          <cell r="K68" t="str">
            <v>Municipality</v>
          </cell>
          <cell r="M68" t="str">
            <v>-</v>
          </cell>
          <cell r="T68" t="str">
            <v>Yes</v>
          </cell>
        </row>
        <row r="69">
          <cell r="B69" t="str">
            <v>Maguindanao</v>
          </cell>
          <cell r="J69" t="str">
            <v>Datu Saudi-Ampatuan</v>
          </cell>
          <cell r="K69" t="str">
            <v>Municipality</v>
          </cell>
          <cell r="M69" t="str">
            <v>4th</v>
          </cell>
          <cell r="T69" t="str">
            <v>Yes</v>
          </cell>
        </row>
        <row r="70">
          <cell r="B70" t="str">
            <v>Maguindanao</v>
          </cell>
          <cell r="J70" t="str">
            <v>Datu Unsay</v>
          </cell>
          <cell r="K70" t="str">
            <v>Municipality</v>
          </cell>
          <cell r="M70" t="str">
            <v>5th</v>
          </cell>
          <cell r="T70" t="str">
            <v>Yes</v>
          </cell>
        </row>
        <row r="71">
          <cell r="B71" t="str">
            <v>Maguindanao</v>
          </cell>
          <cell r="J71" t="str">
            <v>Gen. S. K. Pendatun</v>
          </cell>
          <cell r="K71" t="str">
            <v>Municipality</v>
          </cell>
          <cell r="M71" t="str">
            <v>4th</v>
          </cell>
          <cell r="T71" t="str">
            <v>Yes</v>
          </cell>
        </row>
        <row r="72">
          <cell r="B72" t="str">
            <v>Maguindanao</v>
          </cell>
          <cell r="J72" t="str">
            <v>Guindulungan</v>
          </cell>
          <cell r="K72" t="str">
            <v>Municipality</v>
          </cell>
          <cell r="M72" t="str">
            <v>-</v>
          </cell>
          <cell r="T72" t="str">
            <v>Yes</v>
          </cell>
        </row>
        <row r="73">
          <cell r="B73" t="str">
            <v>Maguindanao</v>
          </cell>
          <cell r="J73" t="str">
            <v>Kabuntalan (Tumbao)</v>
          </cell>
          <cell r="K73" t="str">
            <v>Municipality</v>
          </cell>
          <cell r="M73" t="str">
            <v>5th</v>
          </cell>
          <cell r="T73" t="str">
            <v>Yes</v>
          </cell>
        </row>
        <row r="74">
          <cell r="B74" t="str">
            <v>Maguindanao</v>
          </cell>
          <cell r="J74" t="str">
            <v>Mamasapano</v>
          </cell>
          <cell r="K74" t="str">
            <v>Municipality</v>
          </cell>
          <cell r="M74" t="str">
            <v>5th</v>
          </cell>
          <cell r="T74" t="str">
            <v>Yes</v>
          </cell>
        </row>
        <row r="75">
          <cell r="B75" t="str">
            <v>Maguindanao</v>
          </cell>
          <cell r="J75" t="str">
            <v>Mangudadatu</v>
          </cell>
          <cell r="K75" t="str">
            <v>Municipality</v>
          </cell>
          <cell r="M75" t="str">
            <v>-</v>
          </cell>
          <cell r="T75" t="str">
            <v>Yes</v>
          </cell>
        </row>
        <row r="76">
          <cell r="B76" t="str">
            <v>Maguindanao</v>
          </cell>
          <cell r="J76" t="str">
            <v>Matanog</v>
          </cell>
          <cell r="K76" t="str">
            <v>Municipality</v>
          </cell>
          <cell r="M76" t="str">
            <v>4th</v>
          </cell>
          <cell r="T76" t="str">
            <v>Yes</v>
          </cell>
        </row>
        <row r="77">
          <cell r="B77" t="str">
            <v>Maguindanao</v>
          </cell>
          <cell r="J77" t="str">
            <v>Northern Kabuntalan</v>
          </cell>
          <cell r="K77" t="str">
            <v>Municipality</v>
          </cell>
          <cell r="M77" t="str">
            <v>5th</v>
          </cell>
          <cell r="T77" t="str">
            <v>Yes</v>
          </cell>
        </row>
        <row r="78">
          <cell r="B78" t="str">
            <v>Maguindanao</v>
          </cell>
          <cell r="J78" t="str">
            <v>Pagagawan</v>
          </cell>
          <cell r="K78" t="str">
            <v>Municipality</v>
          </cell>
          <cell r="M78" t="str">
            <v>-</v>
          </cell>
          <cell r="T78" t="str">
            <v>Yes</v>
          </cell>
        </row>
        <row r="79">
          <cell r="B79" t="str">
            <v>Maguindanao</v>
          </cell>
          <cell r="J79" t="str">
            <v>Pagalungan</v>
          </cell>
          <cell r="K79" t="str">
            <v>Municipality</v>
          </cell>
          <cell r="M79" t="str">
            <v>1st</v>
          </cell>
          <cell r="T79" t="str">
            <v>Yes</v>
          </cell>
        </row>
        <row r="80">
          <cell r="B80" t="str">
            <v>Maguindanao</v>
          </cell>
          <cell r="J80" t="str">
            <v>Paglat</v>
          </cell>
          <cell r="K80" t="str">
            <v>Municipality</v>
          </cell>
          <cell r="M80" t="str">
            <v>-</v>
          </cell>
          <cell r="T80" t="str">
            <v>Yes</v>
          </cell>
        </row>
        <row r="81">
          <cell r="B81" t="str">
            <v>Maguindanao</v>
          </cell>
          <cell r="J81" t="str">
            <v>Pandag</v>
          </cell>
          <cell r="K81" t="str">
            <v>Municipality</v>
          </cell>
          <cell r="M81" t="str">
            <v>-</v>
          </cell>
          <cell r="T81" t="str">
            <v>Yes</v>
          </cell>
        </row>
        <row r="82">
          <cell r="B82" t="str">
            <v>Maguindanao</v>
          </cell>
          <cell r="J82" t="str">
            <v>Parang</v>
          </cell>
          <cell r="K82" t="str">
            <v>Municipality</v>
          </cell>
          <cell r="M82" t="str">
            <v>1st</v>
          </cell>
          <cell r="T82" t="str">
            <v>Yes</v>
          </cell>
        </row>
        <row r="83">
          <cell r="B83" t="str">
            <v>Maguindanao</v>
          </cell>
          <cell r="J83" t="str">
            <v>Rajah Buayan</v>
          </cell>
          <cell r="K83" t="str">
            <v>Municipality</v>
          </cell>
          <cell r="M83" t="str">
            <v>-</v>
          </cell>
          <cell r="T83" t="str">
            <v>Yes</v>
          </cell>
        </row>
        <row r="84">
          <cell r="B84" t="str">
            <v>Maguindanao</v>
          </cell>
          <cell r="J84" t="str">
            <v>Shariff Aguak (Maganoy) (Capital)</v>
          </cell>
          <cell r="K84" t="str">
            <v>Municipality</v>
          </cell>
          <cell r="M84" t="str">
            <v>3rd</v>
          </cell>
          <cell r="T84" t="str">
            <v>Yes</v>
          </cell>
        </row>
        <row r="85">
          <cell r="B85" t="str">
            <v>Maguindanao</v>
          </cell>
          <cell r="J85" t="str">
            <v>Shariff Saydona Mustapha</v>
          </cell>
          <cell r="K85" t="str">
            <v>Municipality</v>
          </cell>
          <cell r="M85" t="str">
            <v>-</v>
          </cell>
          <cell r="T85" t="str">
            <v>Yes</v>
          </cell>
        </row>
        <row r="86">
          <cell r="B86" t="str">
            <v>Maguindanao</v>
          </cell>
          <cell r="J86" t="str">
            <v>South Upi</v>
          </cell>
          <cell r="K86" t="str">
            <v>Municipality</v>
          </cell>
          <cell r="M86" t="str">
            <v>4th</v>
          </cell>
          <cell r="T86" t="str">
            <v>Yes</v>
          </cell>
        </row>
        <row r="87">
          <cell r="B87" t="str">
            <v>Maguindanao</v>
          </cell>
          <cell r="J87" t="str">
            <v>Sultan Kudarat (Nuling)</v>
          </cell>
          <cell r="K87" t="str">
            <v>Municipality</v>
          </cell>
          <cell r="M87" t="str">
            <v>1st</v>
          </cell>
          <cell r="T87" t="str">
            <v>Yes</v>
          </cell>
        </row>
        <row r="88">
          <cell r="B88" t="str">
            <v>Maguindanao</v>
          </cell>
          <cell r="J88" t="str">
            <v>Sultan Mastura</v>
          </cell>
          <cell r="K88" t="str">
            <v>Municipality</v>
          </cell>
          <cell r="M88" t="str">
            <v>5th</v>
          </cell>
          <cell r="T88" t="str">
            <v>Yes</v>
          </cell>
        </row>
        <row r="89">
          <cell r="B89" t="str">
            <v>Maguindanao</v>
          </cell>
          <cell r="J89" t="str">
            <v>Sultan Sa Barongis (Lambayong)</v>
          </cell>
          <cell r="K89" t="str">
            <v>Municipality</v>
          </cell>
          <cell r="M89" t="str">
            <v>2nd</v>
          </cell>
          <cell r="T89" t="str">
            <v>Yes</v>
          </cell>
        </row>
        <row r="90">
          <cell r="B90" t="str">
            <v>Maguindanao</v>
          </cell>
          <cell r="J90" t="str">
            <v>Talayan</v>
          </cell>
          <cell r="K90" t="str">
            <v>Municipality</v>
          </cell>
          <cell r="M90" t="str">
            <v>4th</v>
          </cell>
          <cell r="T90" t="str">
            <v>Yes</v>
          </cell>
        </row>
        <row r="91">
          <cell r="B91" t="str">
            <v>Maguindanao</v>
          </cell>
          <cell r="J91" t="str">
            <v>Talitay</v>
          </cell>
          <cell r="K91" t="str">
            <v>Municipality</v>
          </cell>
          <cell r="M91" t="str">
            <v>-</v>
          </cell>
          <cell r="T91" t="str">
            <v>Yes</v>
          </cell>
        </row>
        <row r="92">
          <cell r="B92" t="str">
            <v>Maguindanao</v>
          </cell>
          <cell r="J92" t="str">
            <v>Upi</v>
          </cell>
          <cell r="K92" t="str">
            <v>Municipality</v>
          </cell>
          <cell r="M92" t="str">
            <v>1st</v>
          </cell>
          <cell r="T92" t="str">
            <v>Yes</v>
          </cell>
        </row>
        <row r="93">
          <cell r="B93" t="str">
            <v>Sulu</v>
          </cell>
          <cell r="J93" t="str">
            <v>Hadji Panglima Tahil (Marunggas)</v>
          </cell>
          <cell r="K93" t="str">
            <v>Municipality</v>
          </cell>
          <cell r="M93" t="str">
            <v>6th</v>
          </cell>
          <cell r="T93" t="str">
            <v>No</v>
          </cell>
        </row>
        <row r="94">
          <cell r="B94" t="str">
            <v>Sulu</v>
          </cell>
          <cell r="J94" t="str">
            <v>Indanan</v>
          </cell>
          <cell r="K94" t="str">
            <v>Municipality</v>
          </cell>
          <cell r="M94" t="str">
            <v>3rd</v>
          </cell>
          <cell r="T94" t="str">
            <v>No</v>
          </cell>
        </row>
        <row r="95">
          <cell r="B95" t="str">
            <v>Sulu</v>
          </cell>
          <cell r="J95" t="str">
            <v>Jolo (Capital)</v>
          </cell>
          <cell r="K95" t="str">
            <v>Municipality</v>
          </cell>
          <cell r="M95" t="str">
            <v>1st</v>
          </cell>
          <cell r="T95" t="str">
            <v>No</v>
          </cell>
        </row>
        <row r="96">
          <cell r="B96" t="str">
            <v>Sulu</v>
          </cell>
          <cell r="J96" t="str">
            <v>Kalingalan Caluang</v>
          </cell>
          <cell r="K96" t="str">
            <v>Municipality</v>
          </cell>
          <cell r="M96" t="str">
            <v>5th</v>
          </cell>
          <cell r="T96" t="str">
            <v>No</v>
          </cell>
        </row>
        <row r="97">
          <cell r="B97" t="str">
            <v>Sulu</v>
          </cell>
          <cell r="J97" t="str">
            <v>Lugus</v>
          </cell>
          <cell r="K97" t="str">
            <v>Municipality</v>
          </cell>
          <cell r="M97" t="str">
            <v>5th</v>
          </cell>
          <cell r="T97" t="str">
            <v>No</v>
          </cell>
        </row>
        <row r="98">
          <cell r="B98" t="str">
            <v>Sulu</v>
          </cell>
          <cell r="J98" t="str">
            <v>Luuk</v>
          </cell>
          <cell r="K98" t="str">
            <v>Municipality</v>
          </cell>
          <cell r="M98" t="str">
            <v>3rd</v>
          </cell>
          <cell r="T98" t="str">
            <v>No</v>
          </cell>
        </row>
        <row r="99">
          <cell r="B99" t="str">
            <v>Sulu</v>
          </cell>
          <cell r="J99" t="str">
            <v>Maimbung</v>
          </cell>
          <cell r="K99" t="str">
            <v>Municipality</v>
          </cell>
          <cell r="M99" t="str">
            <v>5th</v>
          </cell>
          <cell r="T99" t="str">
            <v>No</v>
          </cell>
        </row>
        <row r="100">
          <cell r="B100" t="str">
            <v>Sulu</v>
          </cell>
          <cell r="J100" t="str">
            <v>Old Panamao</v>
          </cell>
          <cell r="K100" t="str">
            <v>Municipality</v>
          </cell>
          <cell r="M100" t="str">
            <v>4th</v>
          </cell>
          <cell r="T100" t="str">
            <v>No</v>
          </cell>
        </row>
        <row r="101">
          <cell r="B101" t="str">
            <v>Sulu</v>
          </cell>
          <cell r="J101" t="str">
            <v>Omar</v>
          </cell>
          <cell r="K101" t="str">
            <v>Municipality</v>
          </cell>
          <cell r="M101" t="str">
            <v>-</v>
          </cell>
          <cell r="T101" t="str">
            <v>No</v>
          </cell>
        </row>
        <row r="102">
          <cell r="B102" t="str">
            <v>Sulu</v>
          </cell>
          <cell r="J102" t="str">
            <v>Pandami</v>
          </cell>
          <cell r="K102" t="str">
            <v>Municipality</v>
          </cell>
          <cell r="M102" t="str">
            <v>4th</v>
          </cell>
          <cell r="T102" t="str">
            <v>No</v>
          </cell>
        </row>
        <row r="103">
          <cell r="B103" t="str">
            <v>Sulu</v>
          </cell>
          <cell r="J103" t="str">
            <v>Panglima Estino (New Panamao)</v>
          </cell>
          <cell r="K103" t="str">
            <v>Municipality</v>
          </cell>
          <cell r="M103" t="str">
            <v>5th</v>
          </cell>
          <cell r="T103" t="str">
            <v>No</v>
          </cell>
        </row>
        <row r="104">
          <cell r="B104" t="str">
            <v>Sulu</v>
          </cell>
          <cell r="J104" t="str">
            <v>Pangutaran</v>
          </cell>
          <cell r="K104" t="str">
            <v>Municipality</v>
          </cell>
          <cell r="M104" t="str">
            <v>4th</v>
          </cell>
          <cell r="T104" t="str">
            <v>No</v>
          </cell>
        </row>
        <row r="105">
          <cell r="B105" t="str">
            <v>Sulu</v>
          </cell>
          <cell r="J105" t="str">
            <v>Parang</v>
          </cell>
          <cell r="K105" t="str">
            <v>Municipality</v>
          </cell>
          <cell r="M105" t="str">
            <v>2nd</v>
          </cell>
          <cell r="T105" t="str">
            <v>No</v>
          </cell>
        </row>
        <row r="106">
          <cell r="B106" t="str">
            <v>Sulu</v>
          </cell>
          <cell r="J106" t="str">
            <v>Pata</v>
          </cell>
          <cell r="K106" t="str">
            <v>Municipality</v>
          </cell>
          <cell r="M106" t="str">
            <v>5th</v>
          </cell>
          <cell r="T106" t="str">
            <v>No</v>
          </cell>
        </row>
        <row r="107">
          <cell r="B107" t="str">
            <v>Sulu</v>
          </cell>
          <cell r="J107" t="str">
            <v>Patikul</v>
          </cell>
          <cell r="K107" t="str">
            <v>Municipality</v>
          </cell>
          <cell r="M107" t="str">
            <v>3rd</v>
          </cell>
          <cell r="T107" t="str">
            <v>No</v>
          </cell>
        </row>
        <row r="108">
          <cell r="B108" t="str">
            <v>Sulu</v>
          </cell>
          <cell r="J108" t="str">
            <v>Siasi</v>
          </cell>
          <cell r="K108" t="str">
            <v>Municipality</v>
          </cell>
          <cell r="M108" t="str">
            <v>2nd</v>
          </cell>
          <cell r="T108" t="str">
            <v>No</v>
          </cell>
        </row>
        <row r="109">
          <cell r="B109" t="str">
            <v>Sulu</v>
          </cell>
          <cell r="J109" t="str">
            <v>Talipao</v>
          </cell>
          <cell r="K109" t="str">
            <v>Municipality</v>
          </cell>
          <cell r="M109" t="str">
            <v>1st</v>
          </cell>
          <cell r="T109" t="str">
            <v>No</v>
          </cell>
        </row>
        <row r="110">
          <cell r="B110" t="str">
            <v>Sulu</v>
          </cell>
          <cell r="J110" t="str">
            <v>Tapul</v>
          </cell>
          <cell r="K110" t="str">
            <v>Municipality</v>
          </cell>
          <cell r="M110" t="str">
            <v>5th</v>
          </cell>
          <cell r="T110" t="str">
            <v>No</v>
          </cell>
        </row>
        <row r="111">
          <cell r="B111" t="str">
            <v>Sulu</v>
          </cell>
          <cell r="J111" t="str">
            <v>Tongkil</v>
          </cell>
          <cell r="K111" t="str">
            <v>Municipality</v>
          </cell>
          <cell r="M111" t="str">
            <v>4th</v>
          </cell>
          <cell r="T111" t="str">
            <v>No</v>
          </cell>
        </row>
        <row r="112">
          <cell r="B112" t="str">
            <v>Tawi_Tawi</v>
          </cell>
          <cell r="J112" t="str">
            <v>Bongao (Capital)</v>
          </cell>
          <cell r="K112" t="str">
            <v>Municipality</v>
          </cell>
          <cell r="M112" t="str">
            <v>2nd</v>
          </cell>
          <cell r="T112" t="str">
            <v>No</v>
          </cell>
        </row>
        <row r="113">
          <cell r="B113" t="str">
            <v>Tawi_Tawi</v>
          </cell>
          <cell r="J113" t="str">
            <v>Languyan</v>
          </cell>
          <cell r="K113" t="str">
            <v>Municipality</v>
          </cell>
          <cell r="M113" t="str">
            <v>1st</v>
          </cell>
          <cell r="T113" t="str">
            <v>No</v>
          </cell>
        </row>
        <row r="114">
          <cell r="B114" t="str">
            <v>Tawi_Tawi</v>
          </cell>
          <cell r="J114" t="str">
            <v>Mapun (Cagayan De Tawi-Tawi)</v>
          </cell>
          <cell r="K114" t="str">
            <v>Municipality</v>
          </cell>
          <cell r="M114" t="str">
            <v>4th</v>
          </cell>
          <cell r="T114" t="str">
            <v>No</v>
          </cell>
        </row>
        <row r="115">
          <cell r="B115" t="str">
            <v>Tawi_Tawi</v>
          </cell>
          <cell r="J115" t="str">
            <v>Panglima Sugala (Balimbing)</v>
          </cell>
          <cell r="K115" t="str">
            <v>Municipality</v>
          </cell>
          <cell r="M115" t="str">
            <v>3rd</v>
          </cell>
          <cell r="T115" t="str">
            <v>No</v>
          </cell>
        </row>
        <row r="116">
          <cell r="B116" t="str">
            <v>Tawi_Tawi</v>
          </cell>
          <cell r="J116" t="str">
            <v>Sapa-Sapa</v>
          </cell>
          <cell r="K116" t="str">
            <v>Municipality</v>
          </cell>
          <cell r="M116" t="str">
            <v>3rd</v>
          </cell>
          <cell r="T116" t="str">
            <v>No</v>
          </cell>
        </row>
        <row r="117">
          <cell r="B117" t="str">
            <v>Tawi_Tawi</v>
          </cell>
          <cell r="J117" t="str">
            <v>Sibutu</v>
          </cell>
          <cell r="K117" t="str">
            <v>Municipality</v>
          </cell>
          <cell r="M117" t="str">
            <v>-</v>
          </cell>
          <cell r="T117" t="str">
            <v>No</v>
          </cell>
        </row>
        <row r="118">
          <cell r="B118" t="str">
            <v>Tawi_Tawi</v>
          </cell>
          <cell r="J118" t="str">
            <v>Simunul</v>
          </cell>
          <cell r="K118" t="str">
            <v>Municipality</v>
          </cell>
          <cell r="M118" t="str">
            <v>4th</v>
          </cell>
          <cell r="T118" t="str">
            <v>No</v>
          </cell>
        </row>
        <row r="119">
          <cell r="B119" t="str">
            <v>Tawi_Tawi</v>
          </cell>
          <cell r="J119" t="str">
            <v>Sitangkai</v>
          </cell>
          <cell r="K119" t="str">
            <v>Municipality</v>
          </cell>
          <cell r="M119" t="str">
            <v>1st</v>
          </cell>
          <cell r="T119" t="str">
            <v>No</v>
          </cell>
        </row>
        <row r="120">
          <cell r="B120" t="str">
            <v>Tawi_Tawi</v>
          </cell>
          <cell r="J120" t="str">
            <v>South Ubian</v>
          </cell>
          <cell r="K120" t="str">
            <v>Municipality</v>
          </cell>
          <cell r="M120" t="str">
            <v>3rd</v>
          </cell>
          <cell r="T120" t="str">
            <v>No</v>
          </cell>
        </row>
        <row r="121">
          <cell r="B121" t="str">
            <v>Tawi_Tawi</v>
          </cell>
          <cell r="J121" t="str">
            <v>Tandubas</v>
          </cell>
          <cell r="K121" t="str">
            <v>Municipality</v>
          </cell>
          <cell r="M121" t="str">
            <v>2nd</v>
          </cell>
          <cell r="T121" t="str">
            <v>No</v>
          </cell>
        </row>
        <row r="122">
          <cell r="B122" t="str">
            <v>Tawi_Tawi</v>
          </cell>
          <cell r="J122" t="str">
            <v>Turtle Islands</v>
          </cell>
          <cell r="K122" t="str">
            <v>Municipality</v>
          </cell>
          <cell r="M122" t="str">
            <v>5th</v>
          </cell>
          <cell r="T122" t="str">
            <v>No</v>
          </cell>
        </row>
        <row r="123">
          <cell r="B123" t="str">
            <v>Abra</v>
          </cell>
          <cell r="J123" t="str">
            <v>Bangued (Capital)</v>
          </cell>
          <cell r="K123" t="str">
            <v>Municipality</v>
          </cell>
          <cell r="M123" t="str">
            <v>1st</v>
          </cell>
          <cell r="T123" t="str">
            <v>No</v>
          </cell>
        </row>
        <row r="124">
          <cell r="B124" t="str">
            <v>Abra</v>
          </cell>
          <cell r="J124" t="str">
            <v>Boliney</v>
          </cell>
          <cell r="K124" t="str">
            <v>Municipality</v>
          </cell>
          <cell r="M124" t="str">
            <v>5th</v>
          </cell>
          <cell r="T124" t="str">
            <v>No</v>
          </cell>
        </row>
        <row r="125">
          <cell r="B125" t="str">
            <v>Abra</v>
          </cell>
          <cell r="J125" t="str">
            <v>Bucay</v>
          </cell>
          <cell r="K125" t="str">
            <v>Municipality</v>
          </cell>
          <cell r="M125" t="str">
            <v>5th</v>
          </cell>
          <cell r="T125" t="str">
            <v>No</v>
          </cell>
        </row>
        <row r="126">
          <cell r="B126" t="str">
            <v>Abra</v>
          </cell>
          <cell r="J126" t="str">
            <v>Bucloc</v>
          </cell>
          <cell r="K126" t="str">
            <v>Municipality</v>
          </cell>
          <cell r="M126" t="str">
            <v>6th</v>
          </cell>
          <cell r="T126" t="str">
            <v>No</v>
          </cell>
        </row>
        <row r="127">
          <cell r="B127" t="str">
            <v>Abra</v>
          </cell>
          <cell r="J127" t="str">
            <v>Daguioman</v>
          </cell>
          <cell r="K127" t="str">
            <v>Municipality</v>
          </cell>
          <cell r="M127" t="str">
            <v>5th</v>
          </cell>
          <cell r="T127" t="str">
            <v>No</v>
          </cell>
        </row>
        <row r="128">
          <cell r="B128" t="str">
            <v>Abra</v>
          </cell>
          <cell r="J128" t="str">
            <v>Danglas</v>
          </cell>
          <cell r="K128" t="str">
            <v>Municipality</v>
          </cell>
          <cell r="M128" t="str">
            <v>5th</v>
          </cell>
          <cell r="T128" t="str">
            <v>No</v>
          </cell>
        </row>
        <row r="129">
          <cell r="B129" t="str">
            <v>Abra</v>
          </cell>
          <cell r="J129" t="str">
            <v>Dolores</v>
          </cell>
          <cell r="K129" t="str">
            <v>Municipality</v>
          </cell>
          <cell r="M129" t="str">
            <v>5th</v>
          </cell>
          <cell r="T129" t="str">
            <v>No</v>
          </cell>
        </row>
        <row r="130">
          <cell r="B130" t="str">
            <v>Abra</v>
          </cell>
          <cell r="J130" t="str">
            <v>La Paz</v>
          </cell>
          <cell r="K130" t="str">
            <v>Municipality</v>
          </cell>
          <cell r="M130" t="str">
            <v>5th</v>
          </cell>
          <cell r="T130" t="str">
            <v>No</v>
          </cell>
        </row>
        <row r="131">
          <cell r="B131" t="str">
            <v>Abra</v>
          </cell>
          <cell r="J131" t="str">
            <v>Lacub</v>
          </cell>
          <cell r="K131" t="str">
            <v>Municipality</v>
          </cell>
          <cell r="M131" t="str">
            <v>5th</v>
          </cell>
          <cell r="T131" t="str">
            <v>No</v>
          </cell>
        </row>
        <row r="132">
          <cell r="B132" t="str">
            <v>Abra</v>
          </cell>
          <cell r="J132" t="str">
            <v>Lagangilang</v>
          </cell>
          <cell r="K132" t="str">
            <v>Municipality</v>
          </cell>
          <cell r="M132" t="str">
            <v>5th</v>
          </cell>
          <cell r="T132" t="str">
            <v>No</v>
          </cell>
        </row>
        <row r="133">
          <cell r="B133" t="str">
            <v>Abra</v>
          </cell>
          <cell r="J133" t="str">
            <v>Lagayan</v>
          </cell>
          <cell r="K133" t="str">
            <v>Municipality</v>
          </cell>
          <cell r="M133" t="str">
            <v>5th</v>
          </cell>
          <cell r="T133" t="str">
            <v>No</v>
          </cell>
        </row>
        <row r="134">
          <cell r="B134" t="str">
            <v>Abra</v>
          </cell>
          <cell r="J134" t="str">
            <v>Langiden</v>
          </cell>
          <cell r="K134" t="str">
            <v>Municipality</v>
          </cell>
          <cell r="M134" t="str">
            <v>5th</v>
          </cell>
          <cell r="T134" t="str">
            <v>No</v>
          </cell>
        </row>
        <row r="135">
          <cell r="B135" t="str">
            <v>Abra</v>
          </cell>
          <cell r="J135" t="str">
            <v>Licuan-Baay (Licuan)</v>
          </cell>
          <cell r="K135" t="str">
            <v>Municipality</v>
          </cell>
          <cell r="M135" t="str">
            <v>5th</v>
          </cell>
          <cell r="T135" t="str">
            <v>No</v>
          </cell>
        </row>
        <row r="136">
          <cell r="B136" t="str">
            <v>Abra</v>
          </cell>
          <cell r="J136" t="str">
            <v>Luba</v>
          </cell>
          <cell r="K136" t="str">
            <v>Municipality</v>
          </cell>
          <cell r="M136" t="str">
            <v>5th</v>
          </cell>
          <cell r="T136" t="str">
            <v>No</v>
          </cell>
        </row>
        <row r="137">
          <cell r="B137" t="str">
            <v>Abra</v>
          </cell>
          <cell r="J137" t="str">
            <v>Malibcong</v>
          </cell>
          <cell r="K137" t="str">
            <v>Municipality</v>
          </cell>
          <cell r="M137" t="str">
            <v>5th</v>
          </cell>
          <cell r="T137" t="str">
            <v>No</v>
          </cell>
        </row>
        <row r="138">
          <cell r="B138" t="str">
            <v>Abra</v>
          </cell>
          <cell r="J138" t="str">
            <v>Manabo</v>
          </cell>
          <cell r="K138" t="str">
            <v>Municipality</v>
          </cell>
          <cell r="M138" t="str">
            <v>5th</v>
          </cell>
          <cell r="T138" t="str">
            <v>No</v>
          </cell>
        </row>
        <row r="139">
          <cell r="B139" t="str">
            <v>Abra</v>
          </cell>
          <cell r="J139" t="str">
            <v>Peñarrubia</v>
          </cell>
          <cell r="K139" t="str">
            <v>Municipality</v>
          </cell>
          <cell r="M139" t="str">
            <v>6th</v>
          </cell>
          <cell r="T139" t="str">
            <v>No</v>
          </cell>
        </row>
        <row r="140">
          <cell r="B140" t="str">
            <v>Abra</v>
          </cell>
          <cell r="J140" t="str">
            <v>Pidigan</v>
          </cell>
          <cell r="K140" t="str">
            <v>Municipality</v>
          </cell>
          <cell r="M140" t="str">
            <v>5th</v>
          </cell>
          <cell r="T140" t="str">
            <v>No</v>
          </cell>
        </row>
        <row r="141">
          <cell r="B141" t="str">
            <v>Abra</v>
          </cell>
          <cell r="J141" t="str">
            <v>Pilar</v>
          </cell>
          <cell r="K141" t="str">
            <v>Municipality</v>
          </cell>
          <cell r="M141" t="str">
            <v>5th</v>
          </cell>
          <cell r="T141" t="str">
            <v>No</v>
          </cell>
        </row>
        <row r="142">
          <cell r="B142" t="str">
            <v>Abra</v>
          </cell>
          <cell r="J142" t="str">
            <v>Sallapadan</v>
          </cell>
          <cell r="K142" t="str">
            <v>Municipality</v>
          </cell>
          <cell r="M142" t="str">
            <v>5th</v>
          </cell>
          <cell r="T142" t="str">
            <v>No</v>
          </cell>
        </row>
        <row r="143">
          <cell r="B143" t="str">
            <v>Abra</v>
          </cell>
          <cell r="J143" t="str">
            <v>San Isidro</v>
          </cell>
          <cell r="K143" t="str">
            <v>Municipality</v>
          </cell>
          <cell r="M143" t="str">
            <v>5th</v>
          </cell>
          <cell r="T143" t="str">
            <v>No</v>
          </cell>
        </row>
        <row r="144">
          <cell r="B144" t="str">
            <v>Abra</v>
          </cell>
          <cell r="J144" t="str">
            <v>San Juan</v>
          </cell>
          <cell r="K144" t="str">
            <v>Municipality</v>
          </cell>
          <cell r="M144" t="str">
            <v>5th</v>
          </cell>
          <cell r="T144" t="str">
            <v>No</v>
          </cell>
        </row>
        <row r="145">
          <cell r="B145" t="str">
            <v>Abra</v>
          </cell>
          <cell r="J145" t="str">
            <v>San Quintin</v>
          </cell>
          <cell r="K145" t="str">
            <v>Municipality</v>
          </cell>
          <cell r="M145" t="str">
            <v>5th</v>
          </cell>
          <cell r="T145" t="str">
            <v>No</v>
          </cell>
        </row>
        <row r="146">
          <cell r="B146" t="str">
            <v>Abra</v>
          </cell>
          <cell r="J146" t="str">
            <v>Tayum</v>
          </cell>
          <cell r="K146" t="str">
            <v>Municipality</v>
          </cell>
          <cell r="M146" t="str">
            <v>5th</v>
          </cell>
          <cell r="T146" t="str">
            <v>No</v>
          </cell>
        </row>
        <row r="147">
          <cell r="B147" t="str">
            <v>Abra</v>
          </cell>
          <cell r="J147" t="str">
            <v>Tineg</v>
          </cell>
          <cell r="K147" t="str">
            <v>Municipality</v>
          </cell>
          <cell r="M147" t="str">
            <v>2nd</v>
          </cell>
          <cell r="T147" t="str">
            <v>No</v>
          </cell>
        </row>
        <row r="148">
          <cell r="B148" t="str">
            <v>Abra</v>
          </cell>
          <cell r="J148" t="str">
            <v>Tubo</v>
          </cell>
          <cell r="K148" t="str">
            <v>Municipality</v>
          </cell>
          <cell r="M148" t="str">
            <v>4th</v>
          </cell>
          <cell r="T148" t="str">
            <v>No</v>
          </cell>
        </row>
        <row r="149">
          <cell r="B149" t="str">
            <v>Abra</v>
          </cell>
          <cell r="J149" t="str">
            <v>Villaviciosa</v>
          </cell>
          <cell r="K149" t="str">
            <v>Municipality</v>
          </cell>
          <cell r="M149" t="str">
            <v>5th</v>
          </cell>
          <cell r="T149" t="str">
            <v>No</v>
          </cell>
        </row>
        <row r="150">
          <cell r="B150" t="str">
            <v>Apayao</v>
          </cell>
          <cell r="J150" t="str">
            <v>Calanasan (Bayag)</v>
          </cell>
          <cell r="K150" t="str">
            <v>Municipality</v>
          </cell>
          <cell r="M150" t="str">
            <v>1st</v>
          </cell>
          <cell r="T150" t="str">
            <v>No</v>
          </cell>
        </row>
        <row r="151">
          <cell r="B151" t="str">
            <v>Apayao</v>
          </cell>
          <cell r="J151" t="str">
            <v>Conner</v>
          </cell>
          <cell r="K151" t="str">
            <v>Municipality</v>
          </cell>
          <cell r="M151" t="str">
            <v>2nd</v>
          </cell>
          <cell r="T151" t="str">
            <v>No</v>
          </cell>
        </row>
        <row r="152">
          <cell r="B152" t="str">
            <v>Apayao</v>
          </cell>
          <cell r="J152" t="str">
            <v>Flora</v>
          </cell>
          <cell r="K152" t="str">
            <v>Municipality</v>
          </cell>
          <cell r="M152" t="str">
            <v>3rd</v>
          </cell>
          <cell r="T152" t="str">
            <v>No</v>
          </cell>
        </row>
        <row r="153">
          <cell r="B153" t="str">
            <v>Apayao</v>
          </cell>
          <cell r="J153" t="str">
            <v>Kabugao (Capital)</v>
          </cell>
          <cell r="K153" t="str">
            <v>Municipality</v>
          </cell>
          <cell r="M153" t="str">
            <v>1st</v>
          </cell>
          <cell r="T153" t="str">
            <v>No</v>
          </cell>
        </row>
        <row r="154">
          <cell r="B154" t="str">
            <v>Apayao</v>
          </cell>
          <cell r="J154" t="str">
            <v>Luna</v>
          </cell>
          <cell r="K154" t="str">
            <v>Municipality</v>
          </cell>
          <cell r="M154" t="str">
            <v>2nd</v>
          </cell>
          <cell r="T154" t="str">
            <v>No</v>
          </cell>
        </row>
        <row r="155">
          <cell r="B155" t="str">
            <v>Apayao</v>
          </cell>
          <cell r="J155" t="str">
            <v>Pudtol</v>
          </cell>
          <cell r="K155" t="str">
            <v>Municipality</v>
          </cell>
          <cell r="M155" t="str">
            <v>4th</v>
          </cell>
          <cell r="T155" t="str">
            <v>No</v>
          </cell>
        </row>
        <row r="156">
          <cell r="B156" t="str">
            <v>Apayao</v>
          </cell>
          <cell r="J156" t="str">
            <v>Santa Marcela</v>
          </cell>
          <cell r="K156" t="str">
            <v>Municipality</v>
          </cell>
          <cell r="M156" t="str">
            <v>4th</v>
          </cell>
          <cell r="T156" t="str">
            <v>No</v>
          </cell>
        </row>
        <row r="157">
          <cell r="B157" t="str">
            <v>Benguet</v>
          </cell>
          <cell r="J157" t="str">
            <v>Atok</v>
          </cell>
          <cell r="K157" t="str">
            <v>Municipality</v>
          </cell>
          <cell r="M157" t="str">
            <v>4th</v>
          </cell>
          <cell r="T157" t="str">
            <v>No</v>
          </cell>
        </row>
        <row r="158">
          <cell r="B158" t="str">
            <v>Benguet</v>
          </cell>
          <cell r="J158" t="str">
            <v>Baguio City</v>
          </cell>
          <cell r="K158" t="str">
            <v>City</v>
          </cell>
          <cell r="M158" t="str">
            <v>1st</v>
          </cell>
          <cell r="T158" t="str">
            <v>No</v>
          </cell>
        </row>
        <row r="159">
          <cell r="B159" t="str">
            <v>Benguet</v>
          </cell>
          <cell r="J159" t="str">
            <v>Bakun</v>
          </cell>
          <cell r="K159" t="str">
            <v>Municipality</v>
          </cell>
          <cell r="M159" t="str">
            <v>3rd</v>
          </cell>
          <cell r="T159" t="str">
            <v>No</v>
          </cell>
        </row>
        <row r="160">
          <cell r="B160" t="str">
            <v>Benguet</v>
          </cell>
          <cell r="J160" t="str">
            <v>Bokod</v>
          </cell>
          <cell r="K160" t="str">
            <v>Municipality</v>
          </cell>
          <cell r="M160" t="str">
            <v>4th</v>
          </cell>
          <cell r="T160" t="str">
            <v>No</v>
          </cell>
        </row>
        <row r="161">
          <cell r="B161" t="str">
            <v>Benguet</v>
          </cell>
          <cell r="J161" t="str">
            <v>Buguias</v>
          </cell>
          <cell r="K161" t="str">
            <v>Municipality</v>
          </cell>
          <cell r="M161" t="str">
            <v>3rd</v>
          </cell>
          <cell r="T161" t="str">
            <v>No</v>
          </cell>
        </row>
        <row r="162">
          <cell r="B162" t="str">
            <v>Benguet</v>
          </cell>
          <cell r="J162" t="str">
            <v>Itogon</v>
          </cell>
          <cell r="K162" t="str">
            <v>Municipality</v>
          </cell>
          <cell r="M162" t="str">
            <v>1st</v>
          </cell>
          <cell r="T162" t="str">
            <v>No</v>
          </cell>
        </row>
        <row r="163">
          <cell r="B163" t="str">
            <v>Benguet</v>
          </cell>
          <cell r="J163" t="str">
            <v>Kabayan</v>
          </cell>
          <cell r="K163" t="str">
            <v>Municipality</v>
          </cell>
          <cell r="M163" t="str">
            <v>4th</v>
          </cell>
          <cell r="T163" t="str">
            <v>No</v>
          </cell>
        </row>
        <row r="164">
          <cell r="B164" t="str">
            <v>Benguet</v>
          </cell>
          <cell r="J164" t="str">
            <v>Kapangan</v>
          </cell>
          <cell r="K164" t="str">
            <v>Municipality</v>
          </cell>
          <cell r="M164" t="str">
            <v>4th</v>
          </cell>
          <cell r="T164" t="str">
            <v>No</v>
          </cell>
        </row>
        <row r="165">
          <cell r="B165" t="str">
            <v>Benguet</v>
          </cell>
          <cell r="J165" t="str">
            <v>Kibungan</v>
          </cell>
          <cell r="K165" t="str">
            <v>Municipality</v>
          </cell>
          <cell r="M165" t="str">
            <v>4th</v>
          </cell>
          <cell r="T165" t="str">
            <v>No</v>
          </cell>
        </row>
        <row r="166">
          <cell r="B166" t="str">
            <v>Benguet</v>
          </cell>
          <cell r="J166" t="str">
            <v>La Trinidad (Capital)</v>
          </cell>
          <cell r="K166" t="str">
            <v>Municipality</v>
          </cell>
          <cell r="M166" t="str">
            <v>1st</v>
          </cell>
          <cell r="T166" t="str">
            <v>No</v>
          </cell>
        </row>
        <row r="167">
          <cell r="B167" t="str">
            <v>Benguet</v>
          </cell>
          <cell r="J167" t="str">
            <v>Mankayan</v>
          </cell>
          <cell r="K167" t="str">
            <v>Municipality</v>
          </cell>
          <cell r="M167" t="str">
            <v>1st</v>
          </cell>
          <cell r="T167" t="str">
            <v>No</v>
          </cell>
        </row>
        <row r="168">
          <cell r="B168" t="str">
            <v>Benguet</v>
          </cell>
          <cell r="J168" t="str">
            <v>Sablan</v>
          </cell>
          <cell r="K168" t="str">
            <v>Municipality</v>
          </cell>
          <cell r="M168" t="str">
            <v>5th</v>
          </cell>
          <cell r="T168" t="str">
            <v>No</v>
          </cell>
        </row>
        <row r="169">
          <cell r="B169" t="str">
            <v>Benguet</v>
          </cell>
          <cell r="J169" t="str">
            <v>Tuba</v>
          </cell>
          <cell r="K169" t="str">
            <v>Municipality</v>
          </cell>
          <cell r="M169" t="str">
            <v>1st</v>
          </cell>
          <cell r="T169" t="str">
            <v>No</v>
          </cell>
        </row>
        <row r="170">
          <cell r="B170" t="str">
            <v>Benguet</v>
          </cell>
          <cell r="J170" t="str">
            <v>Tublay</v>
          </cell>
          <cell r="K170" t="str">
            <v>Municipality</v>
          </cell>
          <cell r="M170" t="str">
            <v>5th</v>
          </cell>
          <cell r="T170" t="str">
            <v>No</v>
          </cell>
        </row>
        <row r="171">
          <cell r="B171" t="str">
            <v>Ifugao</v>
          </cell>
          <cell r="J171" t="str">
            <v>Aguinaldo</v>
          </cell>
          <cell r="K171" t="str">
            <v>Municipality</v>
          </cell>
          <cell r="M171" t="str">
            <v>2nd</v>
          </cell>
          <cell r="T171" t="str">
            <v>No</v>
          </cell>
        </row>
        <row r="172">
          <cell r="B172" t="str">
            <v>Ifugao</v>
          </cell>
          <cell r="J172" t="str">
            <v>Alfonso Lista (Potia)</v>
          </cell>
          <cell r="K172" t="str">
            <v>Municipality</v>
          </cell>
          <cell r="M172" t="str">
            <v>3rd</v>
          </cell>
          <cell r="T172" t="str">
            <v>No</v>
          </cell>
        </row>
        <row r="173">
          <cell r="B173" t="str">
            <v>Ifugao</v>
          </cell>
          <cell r="J173" t="str">
            <v>Asipulo</v>
          </cell>
          <cell r="K173" t="str">
            <v>Municipality</v>
          </cell>
          <cell r="M173" t="str">
            <v>5th</v>
          </cell>
          <cell r="T173" t="str">
            <v>No</v>
          </cell>
        </row>
        <row r="174">
          <cell r="B174" t="str">
            <v>Ifugao</v>
          </cell>
          <cell r="J174" t="str">
            <v>Banaue</v>
          </cell>
          <cell r="K174" t="str">
            <v>Municipality</v>
          </cell>
          <cell r="M174" t="str">
            <v>4th</v>
          </cell>
          <cell r="T174" t="str">
            <v>No</v>
          </cell>
        </row>
        <row r="175">
          <cell r="B175" t="str">
            <v>Ifugao</v>
          </cell>
          <cell r="J175" t="str">
            <v>Hingyon</v>
          </cell>
          <cell r="K175" t="str">
            <v>Municipality</v>
          </cell>
          <cell r="M175" t="str">
            <v>5th</v>
          </cell>
          <cell r="T175" t="str">
            <v>No</v>
          </cell>
        </row>
        <row r="176">
          <cell r="B176" t="str">
            <v>Ifugao</v>
          </cell>
          <cell r="J176" t="str">
            <v>Hungduan</v>
          </cell>
          <cell r="K176" t="str">
            <v>Municipality</v>
          </cell>
          <cell r="M176" t="str">
            <v>4th</v>
          </cell>
          <cell r="T176" t="str">
            <v>No</v>
          </cell>
        </row>
        <row r="177">
          <cell r="B177" t="str">
            <v>Ifugao</v>
          </cell>
          <cell r="J177" t="str">
            <v>Kiangan</v>
          </cell>
          <cell r="K177" t="str">
            <v>Municipality</v>
          </cell>
          <cell r="M177" t="str">
            <v>4th</v>
          </cell>
          <cell r="T177" t="str">
            <v>No</v>
          </cell>
        </row>
        <row r="178">
          <cell r="B178" t="str">
            <v>Ifugao</v>
          </cell>
          <cell r="J178" t="str">
            <v>Lagawe (Capital)</v>
          </cell>
          <cell r="K178" t="str">
            <v>Municipality</v>
          </cell>
          <cell r="M178" t="str">
            <v>4th</v>
          </cell>
          <cell r="T178" t="str">
            <v>No</v>
          </cell>
        </row>
        <row r="179">
          <cell r="B179" t="str">
            <v>Ifugao</v>
          </cell>
          <cell r="J179" t="str">
            <v>Lamut</v>
          </cell>
          <cell r="K179" t="str">
            <v>Municipality</v>
          </cell>
          <cell r="M179" t="str">
            <v>4th</v>
          </cell>
          <cell r="T179" t="str">
            <v>No</v>
          </cell>
        </row>
        <row r="180">
          <cell r="B180" t="str">
            <v>Ifugao</v>
          </cell>
          <cell r="J180" t="str">
            <v>Mayoyao</v>
          </cell>
          <cell r="K180" t="str">
            <v>Municipality</v>
          </cell>
          <cell r="M180" t="str">
            <v>4th</v>
          </cell>
          <cell r="T180" t="str">
            <v>No</v>
          </cell>
        </row>
        <row r="181">
          <cell r="B181" t="str">
            <v>Ifugao</v>
          </cell>
          <cell r="J181" t="str">
            <v>Tinoc</v>
          </cell>
          <cell r="K181" t="str">
            <v>Municipality</v>
          </cell>
          <cell r="M181" t="str">
            <v>4th</v>
          </cell>
          <cell r="T181" t="str">
            <v>No</v>
          </cell>
        </row>
        <row r="182">
          <cell r="B182" t="str">
            <v>Kalinga</v>
          </cell>
          <cell r="J182" t="str">
            <v>Balbalan</v>
          </cell>
          <cell r="K182" t="str">
            <v>Municipality</v>
          </cell>
          <cell r="M182" t="str">
            <v>3rd</v>
          </cell>
          <cell r="T182" t="str">
            <v>No</v>
          </cell>
        </row>
        <row r="183">
          <cell r="B183" t="str">
            <v>Kalinga</v>
          </cell>
          <cell r="J183" t="str">
            <v>City Of Tabuk (Capital)</v>
          </cell>
          <cell r="K183" t="str">
            <v>City</v>
          </cell>
          <cell r="M183" t="str">
            <v>5th</v>
          </cell>
          <cell r="T183" t="str">
            <v>No</v>
          </cell>
        </row>
        <row r="184">
          <cell r="B184" t="str">
            <v>Kalinga</v>
          </cell>
          <cell r="J184" t="str">
            <v>Lubuagan</v>
          </cell>
          <cell r="K184" t="str">
            <v>Municipality</v>
          </cell>
          <cell r="M184" t="str">
            <v>4th</v>
          </cell>
          <cell r="T184" t="str">
            <v>No</v>
          </cell>
        </row>
        <row r="185">
          <cell r="B185" t="str">
            <v>Kalinga</v>
          </cell>
          <cell r="J185" t="str">
            <v>Pasil</v>
          </cell>
          <cell r="K185" t="str">
            <v>Municipality</v>
          </cell>
          <cell r="M185" t="str">
            <v>5th</v>
          </cell>
          <cell r="T185" t="str">
            <v>No</v>
          </cell>
        </row>
        <row r="186">
          <cell r="B186" t="str">
            <v>Kalinga</v>
          </cell>
          <cell r="J186" t="str">
            <v>Pinukpuk</v>
          </cell>
          <cell r="K186" t="str">
            <v>Municipality</v>
          </cell>
          <cell r="M186" t="str">
            <v>1st</v>
          </cell>
          <cell r="T186" t="str">
            <v>No</v>
          </cell>
        </row>
        <row r="187">
          <cell r="B187" t="str">
            <v>Kalinga</v>
          </cell>
          <cell r="J187" t="str">
            <v>Rizal (Liwan)</v>
          </cell>
          <cell r="K187" t="str">
            <v>Municipality</v>
          </cell>
          <cell r="M187" t="str">
            <v>4th</v>
          </cell>
          <cell r="T187" t="str">
            <v>No</v>
          </cell>
        </row>
        <row r="188">
          <cell r="B188" t="str">
            <v>Kalinga</v>
          </cell>
          <cell r="J188" t="str">
            <v>Tanudan</v>
          </cell>
          <cell r="K188" t="str">
            <v>Municipality</v>
          </cell>
          <cell r="M188" t="str">
            <v>4th</v>
          </cell>
          <cell r="T188" t="str">
            <v>No</v>
          </cell>
        </row>
        <row r="189">
          <cell r="B189" t="str">
            <v>Kalinga</v>
          </cell>
          <cell r="J189" t="str">
            <v>Tinglayan</v>
          </cell>
          <cell r="K189" t="str">
            <v>Municipality</v>
          </cell>
          <cell r="M189" t="str">
            <v>4th</v>
          </cell>
          <cell r="T189" t="str">
            <v>No</v>
          </cell>
        </row>
        <row r="190">
          <cell r="B190" t="str">
            <v>Mountain_Province</v>
          </cell>
          <cell r="J190" t="str">
            <v>Barlig</v>
          </cell>
          <cell r="K190" t="str">
            <v>Municipality</v>
          </cell>
          <cell r="M190" t="str">
            <v>5th</v>
          </cell>
          <cell r="T190" t="str">
            <v>No</v>
          </cell>
        </row>
        <row r="191">
          <cell r="B191" t="str">
            <v>Mountain_Province</v>
          </cell>
          <cell r="J191" t="str">
            <v>Bauko</v>
          </cell>
          <cell r="K191" t="str">
            <v>Municipality</v>
          </cell>
          <cell r="M191" t="str">
            <v>4th</v>
          </cell>
          <cell r="T191" t="str">
            <v>No</v>
          </cell>
        </row>
        <row r="192">
          <cell r="B192" t="str">
            <v>Mountain_Province</v>
          </cell>
          <cell r="J192" t="str">
            <v>Besao</v>
          </cell>
          <cell r="K192" t="str">
            <v>Municipality</v>
          </cell>
          <cell r="M192" t="str">
            <v>5th</v>
          </cell>
          <cell r="T192" t="str">
            <v>No</v>
          </cell>
        </row>
        <row r="193">
          <cell r="B193" t="str">
            <v>Mountain_Province</v>
          </cell>
          <cell r="J193" t="str">
            <v>Bontoc (Capital)</v>
          </cell>
          <cell r="K193" t="str">
            <v>Municipality</v>
          </cell>
          <cell r="M193" t="str">
            <v>2nd</v>
          </cell>
          <cell r="T193" t="str">
            <v>No</v>
          </cell>
        </row>
        <row r="194">
          <cell r="B194" t="str">
            <v>Mountain_Province</v>
          </cell>
          <cell r="J194" t="str">
            <v>Natonin</v>
          </cell>
          <cell r="K194" t="str">
            <v>Municipality</v>
          </cell>
          <cell r="M194" t="str">
            <v>4th</v>
          </cell>
          <cell r="T194" t="str">
            <v>No</v>
          </cell>
        </row>
        <row r="195">
          <cell r="B195" t="str">
            <v>Mountain_Province</v>
          </cell>
          <cell r="J195" t="str">
            <v>Paracelis</v>
          </cell>
          <cell r="K195" t="str">
            <v>Municipality</v>
          </cell>
          <cell r="M195" t="str">
            <v>2nd</v>
          </cell>
          <cell r="T195" t="str">
            <v>No</v>
          </cell>
        </row>
        <row r="196">
          <cell r="B196" t="str">
            <v>Mountain_Province</v>
          </cell>
          <cell r="J196" t="str">
            <v>Sabangan</v>
          </cell>
          <cell r="K196" t="str">
            <v>Municipality</v>
          </cell>
          <cell r="M196" t="str">
            <v>5th</v>
          </cell>
          <cell r="T196" t="str">
            <v>No</v>
          </cell>
        </row>
        <row r="197">
          <cell r="B197" t="str">
            <v>Mountain_Province</v>
          </cell>
          <cell r="J197" t="str">
            <v>Sadanga</v>
          </cell>
          <cell r="K197" t="str">
            <v>Municipality</v>
          </cell>
          <cell r="M197" t="str">
            <v>5th</v>
          </cell>
          <cell r="T197" t="str">
            <v>No</v>
          </cell>
        </row>
        <row r="198">
          <cell r="B198" t="str">
            <v>Mountain_Province</v>
          </cell>
          <cell r="J198" t="str">
            <v>Sagada</v>
          </cell>
          <cell r="K198" t="str">
            <v>Municipality</v>
          </cell>
          <cell r="M198" t="str">
            <v>5th</v>
          </cell>
          <cell r="T198" t="str">
            <v>No</v>
          </cell>
        </row>
        <row r="199">
          <cell r="B199" t="str">
            <v>Mountain_Province</v>
          </cell>
          <cell r="J199" t="str">
            <v>Tadian</v>
          </cell>
          <cell r="K199" t="str">
            <v>Municipality</v>
          </cell>
          <cell r="M199" t="str">
            <v>4th</v>
          </cell>
          <cell r="T199" t="str">
            <v>No</v>
          </cell>
        </row>
        <row r="200">
          <cell r="B200" t="str">
            <v>MetroManila_NoProvince</v>
          </cell>
          <cell r="J200" t="str">
            <v>Caloocan City</v>
          </cell>
          <cell r="K200" t="str">
            <v>City</v>
          </cell>
          <cell r="M200" t="str">
            <v>1st</v>
          </cell>
          <cell r="T200" t="str">
            <v>No</v>
          </cell>
        </row>
        <row r="201">
          <cell r="B201" t="str">
            <v>MetroManila_NoProvince</v>
          </cell>
          <cell r="J201" t="str">
            <v>City Of Las Pinas</v>
          </cell>
          <cell r="K201" t="str">
            <v>City</v>
          </cell>
          <cell r="M201" t="str">
            <v>1st</v>
          </cell>
          <cell r="T201" t="str">
            <v>No</v>
          </cell>
        </row>
        <row r="202">
          <cell r="B202" t="str">
            <v>MetroManila_NoProvince</v>
          </cell>
          <cell r="J202" t="str">
            <v>City Of Makati</v>
          </cell>
          <cell r="K202" t="str">
            <v>City</v>
          </cell>
          <cell r="M202" t="str">
            <v>1st</v>
          </cell>
          <cell r="T202" t="str">
            <v>No</v>
          </cell>
        </row>
        <row r="203">
          <cell r="B203" t="str">
            <v>MetroManila_NoProvince</v>
          </cell>
          <cell r="J203" t="str">
            <v>City Of Malabon</v>
          </cell>
          <cell r="K203" t="str">
            <v>City</v>
          </cell>
          <cell r="M203" t="str">
            <v>1st</v>
          </cell>
          <cell r="T203" t="str">
            <v>No</v>
          </cell>
        </row>
        <row r="204">
          <cell r="B204" t="str">
            <v>MetroManila_NoProvince</v>
          </cell>
          <cell r="J204" t="str">
            <v>City Of Mandaluyong</v>
          </cell>
          <cell r="K204" t="str">
            <v>City</v>
          </cell>
          <cell r="M204" t="str">
            <v>1st</v>
          </cell>
          <cell r="T204" t="str">
            <v>No</v>
          </cell>
        </row>
        <row r="205">
          <cell r="B205" t="str">
            <v>MetroManila_NoProvince</v>
          </cell>
          <cell r="J205" t="str">
            <v>City Of Manila</v>
          </cell>
          <cell r="K205" t="str">
            <v>City</v>
          </cell>
          <cell r="M205" t="str">
            <v>1st</v>
          </cell>
          <cell r="T205" t="str">
            <v>No</v>
          </cell>
        </row>
        <row r="206">
          <cell r="B206" t="str">
            <v>MetroManila_NoProvince</v>
          </cell>
          <cell r="J206" t="str">
            <v>City Of Marikina</v>
          </cell>
          <cell r="K206" t="str">
            <v>City</v>
          </cell>
          <cell r="M206" t="str">
            <v>1st</v>
          </cell>
          <cell r="T206" t="str">
            <v>No</v>
          </cell>
        </row>
        <row r="207">
          <cell r="B207" t="str">
            <v>MetroManila_NoProvince</v>
          </cell>
          <cell r="J207" t="str">
            <v>City Of Muntinlupa</v>
          </cell>
          <cell r="K207" t="str">
            <v>City</v>
          </cell>
          <cell r="M207" t="str">
            <v>1st</v>
          </cell>
          <cell r="T207" t="str">
            <v>No</v>
          </cell>
        </row>
        <row r="208">
          <cell r="B208" t="str">
            <v>MetroManila_NoProvince</v>
          </cell>
          <cell r="J208" t="str">
            <v>City Of Navotas</v>
          </cell>
          <cell r="K208" t="str">
            <v>City</v>
          </cell>
          <cell r="M208" t="str">
            <v>2nd</v>
          </cell>
          <cell r="T208" t="str">
            <v>No</v>
          </cell>
        </row>
        <row r="209">
          <cell r="B209" t="str">
            <v>MetroManila_NoProvince</v>
          </cell>
          <cell r="J209" t="str">
            <v>City Of Paranaque</v>
          </cell>
          <cell r="K209" t="str">
            <v>City</v>
          </cell>
          <cell r="M209" t="str">
            <v>1st</v>
          </cell>
          <cell r="T209" t="str">
            <v>No</v>
          </cell>
        </row>
        <row r="210">
          <cell r="B210" t="str">
            <v>MetroManila_NoProvince</v>
          </cell>
          <cell r="J210" t="str">
            <v>City Of Pasig</v>
          </cell>
          <cell r="K210" t="str">
            <v>City</v>
          </cell>
          <cell r="M210" t="str">
            <v>1st</v>
          </cell>
          <cell r="T210" t="str">
            <v>No</v>
          </cell>
        </row>
        <row r="211">
          <cell r="B211" t="str">
            <v>MetroManila_NoProvince</v>
          </cell>
          <cell r="J211" t="str">
            <v>City Of San Juan</v>
          </cell>
          <cell r="K211" t="str">
            <v>City</v>
          </cell>
          <cell r="M211" t="str">
            <v>1st</v>
          </cell>
          <cell r="T211" t="str">
            <v>No</v>
          </cell>
        </row>
        <row r="212">
          <cell r="B212" t="str">
            <v>MetroManila_NoProvince</v>
          </cell>
          <cell r="J212" t="str">
            <v>City Of Valenzuela</v>
          </cell>
          <cell r="K212" t="str">
            <v>City</v>
          </cell>
          <cell r="M212" t="str">
            <v>1st</v>
          </cell>
          <cell r="T212" t="str">
            <v>No</v>
          </cell>
        </row>
        <row r="213">
          <cell r="B213" t="str">
            <v>MetroManila_NoProvince</v>
          </cell>
          <cell r="J213" t="str">
            <v>Pasay City</v>
          </cell>
          <cell r="K213" t="str">
            <v>City</v>
          </cell>
          <cell r="M213" t="str">
            <v>1st</v>
          </cell>
          <cell r="T213" t="str">
            <v>No</v>
          </cell>
        </row>
        <row r="214">
          <cell r="B214" t="str">
            <v>MetroManila_NoProvince</v>
          </cell>
          <cell r="J214" t="str">
            <v>Pateros</v>
          </cell>
          <cell r="K214" t="str">
            <v>Municipality</v>
          </cell>
          <cell r="M214" t="str">
            <v>1st</v>
          </cell>
          <cell r="T214" t="str">
            <v>No</v>
          </cell>
        </row>
        <row r="215">
          <cell r="B215" t="str">
            <v>MetroManila_NoProvince</v>
          </cell>
          <cell r="J215" t="str">
            <v>Quezon City</v>
          </cell>
          <cell r="K215" t="str">
            <v>City</v>
          </cell>
          <cell r="M215" t="str">
            <v>Special</v>
          </cell>
          <cell r="T215" t="str">
            <v>No</v>
          </cell>
        </row>
        <row r="216">
          <cell r="B216" t="str">
            <v>MetroManila_NoProvince</v>
          </cell>
          <cell r="J216" t="str">
            <v>Taguig City</v>
          </cell>
          <cell r="K216" t="str">
            <v>City</v>
          </cell>
          <cell r="M216" t="str">
            <v>1st</v>
          </cell>
          <cell r="T216" t="str">
            <v>No</v>
          </cell>
        </row>
        <row r="217">
          <cell r="B217" t="str">
            <v>Negros_Occidental</v>
          </cell>
          <cell r="J217" t="str">
            <v>Bacolod City (Capital)</v>
          </cell>
          <cell r="K217" t="str">
            <v>City</v>
          </cell>
          <cell r="M217" t="str">
            <v>1st</v>
          </cell>
          <cell r="T217" t="str">
            <v>No</v>
          </cell>
        </row>
        <row r="218">
          <cell r="B218" t="str">
            <v>Negros_Occidental</v>
          </cell>
          <cell r="J218" t="str">
            <v>Bago City</v>
          </cell>
          <cell r="K218" t="str">
            <v>City</v>
          </cell>
          <cell r="M218" t="str">
            <v>2nd</v>
          </cell>
          <cell r="T218" t="str">
            <v>No</v>
          </cell>
        </row>
        <row r="219">
          <cell r="B219" t="str">
            <v>Negros_Occidental</v>
          </cell>
          <cell r="J219" t="str">
            <v>Binalbagan</v>
          </cell>
          <cell r="K219" t="str">
            <v>Municipality</v>
          </cell>
          <cell r="M219" t="str">
            <v>1st</v>
          </cell>
          <cell r="T219" t="str">
            <v>No</v>
          </cell>
        </row>
        <row r="220">
          <cell r="B220" t="str">
            <v>Negros_Occidental</v>
          </cell>
          <cell r="J220" t="str">
            <v>Cadiz City</v>
          </cell>
          <cell r="K220" t="str">
            <v>City</v>
          </cell>
          <cell r="M220" t="str">
            <v>2nd</v>
          </cell>
          <cell r="T220" t="str">
            <v>No</v>
          </cell>
        </row>
        <row r="221">
          <cell r="B221" t="str">
            <v>Negros_Occidental</v>
          </cell>
          <cell r="J221" t="str">
            <v>Calatrava</v>
          </cell>
          <cell r="K221" t="str">
            <v>Municipality</v>
          </cell>
          <cell r="M221" t="str">
            <v>1st</v>
          </cell>
          <cell r="T221" t="str">
            <v>No</v>
          </cell>
        </row>
        <row r="222">
          <cell r="B222" t="str">
            <v>Negros_Occidental</v>
          </cell>
          <cell r="J222" t="str">
            <v>Candoni</v>
          </cell>
          <cell r="K222" t="str">
            <v>Municipality</v>
          </cell>
          <cell r="M222" t="str">
            <v>4th</v>
          </cell>
          <cell r="T222" t="str">
            <v>No</v>
          </cell>
        </row>
        <row r="223">
          <cell r="B223" t="str">
            <v>Negros_Occidental</v>
          </cell>
          <cell r="J223" t="str">
            <v>Cauayan</v>
          </cell>
          <cell r="K223" t="str">
            <v>Municipality</v>
          </cell>
          <cell r="M223" t="str">
            <v>1st</v>
          </cell>
          <cell r="T223" t="str">
            <v>No</v>
          </cell>
        </row>
        <row r="224">
          <cell r="B224" t="str">
            <v>Negros_Occidental</v>
          </cell>
          <cell r="J224" t="str">
            <v>City Of Escalante</v>
          </cell>
          <cell r="K224" t="str">
            <v>City</v>
          </cell>
          <cell r="M224" t="str">
            <v>4th</v>
          </cell>
          <cell r="T224" t="str">
            <v>No</v>
          </cell>
        </row>
        <row r="225">
          <cell r="B225" t="str">
            <v>Negros_Occidental</v>
          </cell>
          <cell r="J225" t="str">
            <v>City Of Himamaylan</v>
          </cell>
          <cell r="K225" t="str">
            <v>City</v>
          </cell>
          <cell r="M225" t="str">
            <v>3rd</v>
          </cell>
          <cell r="T225" t="str">
            <v>No</v>
          </cell>
        </row>
        <row r="226">
          <cell r="B226" t="str">
            <v>Negros_Occidental</v>
          </cell>
          <cell r="J226" t="str">
            <v>City Of Kabankalan</v>
          </cell>
          <cell r="K226" t="str">
            <v>City</v>
          </cell>
          <cell r="M226" t="str">
            <v>1st</v>
          </cell>
          <cell r="T226" t="str">
            <v>No</v>
          </cell>
        </row>
        <row r="227">
          <cell r="B227" t="str">
            <v>Negros_Occidental</v>
          </cell>
          <cell r="J227" t="str">
            <v>City Of Sipalay</v>
          </cell>
          <cell r="K227" t="str">
            <v>City</v>
          </cell>
          <cell r="M227" t="str">
            <v>4th</v>
          </cell>
          <cell r="T227" t="str">
            <v>No</v>
          </cell>
        </row>
        <row r="228">
          <cell r="B228" t="str">
            <v>Negros_Occidental</v>
          </cell>
          <cell r="J228" t="str">
            <v>City Of Talisay</v>
          </cell>
          <cell r="K228" t="str">
            <v>City</v>
          </cell>
          <cell r="M228" t="str">
            <v>4th</v>
          </cell>
          <cell r="T228" t="str">
            <v>No</v>
          </cell>
        </row>
        <row r="229">
          <cell r="B229" t="str">
            <v>Negros_Occidental</v>
          </cell>
          <cell r="J229" t="str">
            <v>City Of Victorias</v>
          </cell>
          <cell r="K229" t="str">
            <v>City</v>
          </cell>
          <cell r="M229" t="str">
            <v>4th</v>
          </cell>
          <cell r="T229" t="str">
            <v>No</v>
          </cell>
        </row>
        <row r="230">
          <cell r="B230" t="str">
            <v>Negros_Occidental</v>
          </cell>
          <cell r="J230" t="str">
            <v>Enrique B.  Magalona (Saravia)</v>
          </cell>
          <cell r="K230" t="str">
            <v>Municipality</v>
          </cell>
          <cell r="M230" t="str">
            <v>2nd</v>
          </cell>
          <cell r="T230" t="str">
            <v>No</v>
          </cell>
        </row>
        <row r="231">
          <cell r="B231" t="str">
            <v>Negros_Occidental</v>
          </cell>
          <cell r="J231" t="str">
            <v>Hinigaran</v>
          </cell>
          <cell r="K231" t="str">
            <v>Municipality</v>
          </cell>
          <cell r="M231" t="str">
            <v>1st</v>
          </cell>
          <cell r="T231" t="str">
            <v>No</v>
          </cell>
        </row>
        <row r="232">
          <cell r="B232" t="str">
            <v>Negros_Occidental</v>
          </cell>
          <cell r="J232" t="str">
            <v>Hinoba-An (Asia)</v>
          </cell>
          <cell r="K232" t="str">
            <v>Municipality</v>
          </cell>
          <cell r="M232" t="str">
            <v>1st</v>
          </cell>
          <cell r="T232" t="str">
            <v>No</v>
          </cell>
        </row>
        <row r="233">
          <cell r="B233" t="str">
            <v>Negros_Occidental</v>
          </cell>
          <cell r="J233" t="str">
            <v>Ilog</v>
          </cell>
          <cell r="K233" t="str">
            <v>Municipality</v>
          </cell>
          <cell r="M233" t="str">
            <v>2nd</v>
          </cell>
          <cell r="T233" t="str">
            <v>No</v>
          </cell>
        </row>
        <row r="234">
          <cell r="B234" t="str">
            <v>Negros_Occidental</v>
          </cell>
          <cell r="J234" t="str">
            <v>Isabela</v>
          </cell>
          <cell r="K234" t="str">
            <v>Municipality</v>
          </cell>
          <cell r="M234" t="str">
            <v>2nd</v>
          </cell>
          <cell r="T234" t="str">
            <v>No</v>
          </cell>
        </row>
        <row r="235">
          <cell r="B235" t="str">
            <v>Negros_Occidental</v>
          </cell>
          <cell r="J235" t="str">
            <v>La Carlota City</v>
          </cell>
          <cell r="K235" t="str">
            <v>City</v>
          </cell>
          <cell r="M235" t="str">
            <v>4th</v>
          </cell>
          <cell r="T235" t="str">
            <v>No</v>
          </cell>
        </row>
        <row r="236">
          <cell r="B236" t="str">
            <v>Negros_Occidental</v>
          </cell>
          <cell r="J236" t="str">
            <v>La Castellana</v>
          </cell>
          <cell r="K236" t="str">
            <v>Municipality</v>
          </cell>
          <cell r="M236" t="str">
            <v>1st</v>
          </cell>
          <cell r="T236" t="str">
            <v>No</v>
          </cell>
        </row>
        <row r="237">
          <cell r="B237" t="str">
            <v>Negros_Occidental</v>
          </cell>
          <cell r="J237" t="str">
            <v>Manapla</v>
          </cell>
          <cell r="K237" t="str">
            <v>Municipality</v>
          </cell>
          <cell r="M237" t="str">
            <v>2nd</v>
          </cell>
          <cell r="T237" t="str">
            <v>No</v>
          </cell>
        </row>
        <row r="238">
          <cell r="B238" t="str">
            <v>Negros_Occidental</v>
          </cell>
          <cell r="J238" t="str">
            <v>Moises Padilla (Magallon)</v>
          </cell>
          <cell r="K238" t="str">
            <v>Municipality</v>
          </cell>
          <cell r="M238" t="str">
            <v>3rd</v>
          </cell>
          <cell r="T238" t="str">
            <v>No</v>
          </cell>
        </row>
        <row r="239">
          <cell r="B239" t="str">
            <v>Negros_Occidental</v>
          </cell>
          <cell r="J239" t="str">
            <v>Murcia</v>
          </cell>
          <cell r="K239" t="str">
            <v>Municipality</v>
          </cell>
          <cell r="M239" t="str">
            <v>1st</v>
          </cell>
          <cell r="T239" t="str">
            <v>No</v>
          </cell>
        </row>
        <row r="240">
          <cell r="B240" t="str">
            <v>Negros_Occidental</v>
          </cell>
          <cell r="J240" t="str">
            <v>Pontevedra</v>
          </cell>
          <cell r="K240" t="str">
            <v>Municipality</v>
          </cell>
          <cell r="M240" t="str">
            <v>3rd</v>
          </cell>
          <cell r="T240" t="str">
            <v>No</v>
          </cell>
        </row>
        <row r="241">
          <cell r="B241" t="str">
            <v>Negros_Occidental</v>
          </cell>
          <cell r="J241" t="str">
            <v>Pulupandan</v>
          </cell>
          <cell r="K241" t="str">
            <v>Municipality</v>
          </cell>
          <cell r="M241" t="str">
            <v>3rd</v>
          </cell>
          <cell r="T241" t="str">
            <v>No</v>
          </cell>
        </row>
        <row r="242">
          <cell r="B242" t="str">
            <v>Negros_Occidental</v>
          </cell>
          <cell r="J242" t="str">
            <v>Sagay City</v>
          </cell>
          <cell r="K242" t="str">
            <v>City</v>
          </cell>
          <cell r="M242" t="str">
            <v>3rd</v>
          </cell>
          <cell r="T242" t="str">
            <v>No</v>
          </cell>
        </row>
        <row r="243">
          <cell r="B243" t="str">
            <v>Negros_Occidental</v>
          </cell>
          <cell r="J243" t="str">
            <v>Salvador Benedicto</v>
          </cell>
          <cell r="K243" t="str">
            <v>Municipality</v>
          </cell>
          <cell r="M243" t="str">
            <v>4th</v>
          </cell>
          <cell r="T243" t="str">
            <v>No</v>
          </cell>
        </row>
        <row r="244">
          <cell r="B244" t="str">
            <v>Negros_Occidental</v>
          </cell>
          <cell r="J244" t="str">
            <v>San Carlos City</v>
          </cell>
          <cell r="K244" t="str">
            <v>City</v>
          </cell>
          <cell r="M244" t="str">
            <v>2nd</v>
          </cell>
          <cell r="T244" t="str">
            <v>No</v>
          </cell>
        </row>
        <row r="245">
          <cell r="B245" t="str">
            <v>Negros_Occidental</v>
          </cell>
          <cell r="J245" t="str">
            <v>San Enrique</v>
          </cell>
          <cell r="K245" t="str">
            <v>Municipality</v>
          </cell>
          <cell r="M245" t="str">
            <v>4th</v>
          </cell>
          <cell r="T245" t="str">
            <v>No</v>
          </cell>
        </row>
        <row r="246">
          <cell r="B246" t="str">
            <v>Negros_Occidental</v>
          </cell>
          <cell r="J246" t="str">
            <v>Silay City</v>
          </cell>
          <cell r="K246" t="str">
            <v>City</v>
          </cell>
          <cell r="M246" t="str">
            <v>3rd</v>
          </cell>
          <cell r="T246" t="str">
            <v>No</v>
          </cell>
        </row>
        <row r="247">
          <cell r="B247" t="str">
            <v>Negros_Occidental</v>
          </cell>
          <cell r="J247" t="str">
            <v>Toboso</v>
          </cell>
          <cell r="K247" t="str">
            <v>Municipality</v>
          </cell>
          <cell r="M247" t="str">
            <v>3rd</v>
          </cell>
          <cell r="T247" t="str">
            <v>No</v>
          </cell>
        </row>
        <row r="248">
          <cell r="B248" t="str">
            <v>Negros_Occidental</v>
          </cell>
          <cell r="J248" t="str">
            <v>Valladolid</v>
          </cell>
          <cell r="K248" t="str">
            <v>Municipality</v>
          </cell>
          <cell r="M248" t="str">
            <v>4th</v>
          </cell>
          <cell r="T248" t="str">
            <v>No</v>
          </cell>
        </row>
        <row r="249">
          <cell r="B249" t="str">
            <v>Negros_Oriental</v>
          </cell>
          <cell r="J249" t="str">
            <v>Amlan (Ayuquitan)</v>
          </cell>
          <cell r="K249" t="str">
            <v>Municipality</v>
          </cell>
          <cell r="M249" t="str">
            <v>4th</v>
          </cell>
          <cell r="T249" t="str">
            <v>Yes</v>
          </cell>
        </row>
        <row r="250">
          <cell r="B250" t="str">
            <v>Negros_Oriental</v>
          </cell>
          <cell r="J250" t="str">
            <v>Ayungon</v>
          </cell>
          <cell r="K250" t="str">
            <v>Municipality</v>
          </cell>
          <cell r="M250" t="str">
            <v>2nd</v>
          </cell>
          <cell r="T250" t="str">
            <v>Yes</v>
          </cell>
        </row>
        <row r="251">
          <cell r="B251" t="str">
            <v>Negros_Oriental</v>
          </cell>
          <cell r="J251" t="str">
            <v>Bacong</v>
          </cell>
          <cell r="K251" t="str">
            <v>Municipality</v>
          </cell>
          <cell r="M251" t="str">
            <v>4th</v>
          </cell>
          <cell r="T251" t="str">
            <v>Yes</v>
          </cell>
        </row>
        <row r="252">
          <cell r="B252" t="str">
            <v>Negros_Oriental</v>
          </cell>
          <cell r="J252" t="str">
            <v>Bais City</v>
          </cell>
          <cell r="K252" t="str">
            <v>City</v>
          </cell>
          <cell r="M252" t="str">
            <v>3rd</v>
          </cell>
          <cell r="T252" t="str">
            <v>Yes</v>
          </cell>
        </row>
        <row r="253">
          <cell r="B253" t="str">
            <v>Negros_Oriental</v>
          </cell>
          <cell r="J253" t="str">
            <v>Basay</v>
          </cell>
          <cell r="K253" t="str">
            <v>Municipality</v>
          </cell>
          <cell r="M253" t="str">
            <v>4th</v>
          </cell>
          <cell r="T253" t="str">
            <v>Yes</v>
          </cell>
        </row>
        <row r="254">
          <cell r="B254" t="str">
            <v>Negros_Oriental</v>
          </cell>
          <cell r="J254" t="str">
            <v>Bindoy (Payabon)</v>
          </cell>
          <cell r="K254" t="str">
            <v>Municipality</v>
          </cell>
          <cell r="M254" t="str">
            <v>3rd</v>
          </cell>
          <cell r="T254" t="str">
            <v>Yes</v>
          </cell>
        </row>
        <row r="255">
          <cell r="B255" t="str">
            <v>Negros_Oriental</v>
          </cell>
          <cell r="J255" t="str">
            <v>Canlaon City</v>
          </cell>
          <cell r="K255" t="str">
            <v>City</v>
          </cell>
          <cell r="M255" t="str">
            <v>4th</v>
          </cell>
          <cell r="T255" t="str">
            <v>Yes</v>
          </cell>
        </row>
        <row r="256">
          <cell r="B256" t="str">
            <v>Negros_Oriental</v>
          </cell>
          <cell r="J256" t="str">
            <v>City Of Bayawan (Tulong)</v>
          </cell>
          <cell r="K256" t="str">
            <v>City</v>
          </cell>
          <cell r="M256" t="str">
            <v>2nd</v>
          </cell>
          <cell r="T256" t="str">
            <v>Yes</v>
          </cell>
        </row>
        <row r="257">
          <cell r="B257" t="str">
            <v>Negros_Oriental</v>
          </cell>
          <cell r="J257" t="str">
            <v>City Of Guihulngan</v>
          </cell>
          <cell r="K257" t="str">
            <v>City</v>
          </cell>
          <cell r="M257" t="str">
            <v>5th</v>
          </cell>
          <cell r="T257" t="str">
            <v>Yes</v>
          </cell>
        </row>
        <row r="258">
          <cell r="B258" t="str">
            <v>Negros_Oriental</v>
          </cell>
          <cell r="J258" t="str">
            <v>City Of Tanjay</v>
          </cell>
          <cell r="K258" t="str">
            <v>City</v>
          </cell>
          <cell r="M258" t="str">
            <v>4th</v>
          </cell>
          <cell r="T258" t="str">
            <v>Yes</v>
          </cell>
        </row>
        <row r="259">
          <cell r="B259" t="str">
            <v>Negros_Oriental</v>
          </cell>
          <cell r="J259" t="str">
            <v>Dauin</v>
          </cell>
          <cell r="K259" t="str">
            <v>Municipality</v>
          </cell>
          <cell r="M259" t="str">
            <v>4th</v>
          </cell>
          <cell r="T259" t="str">
            <v>Yes</v>
          </cell>
        </row>
        <row r="260">
          <cell r="B260" t="str">
            <v>Negros_Oriental</v>
          </cell>
          <cell r="J260" t="str">
            <v>Dumaguete City (Capital)</v>
          </cell>
          <cell r="K260" t="str">
            <v>City</v>
          </cell>
          <cell r="M260" t="str">
            <v>3rd</v>
          </cell>
          <cell r="T260" t="str">
            <v>Yes</v>
          </cell>
        </row>
        <row r="261">
          <cell r="B261" t="str">
            <v>Negros_Oriental</v>
          </cell>
          <cell r="J261" t="str">
            <v>Jimalalud</v>
          </cell>
          <cell r="K261" t="str">
            <v>Municipality</v>
          </cell>
          <cell r="M261" t="str">
            <v>4th</v>
          </cell>
          <cell r="T261" t="str">
            <v>Yes</v>
          </cell>
        </row>
        <row r="262">
          <cell r="B262" t="str">
            <v>Negros_Oriental</v>
          </cell>
          <cell r="J262" t="str">
            <v>La Libertad</v>
          </cell>
          <cell r="K262" t="str">
            <v>Municipality</v>
          </cell>
          <cell r="M262" t="str">
            <v>3rd</v>
          </cell>
          <cell r="T262" t="str">
            <v>Yes</v>
          </cell>
        </row>
        <row r="263">
          <cell r="B263" t="str">
            <v>Negros_Oriental</v>
          </cell>
          <cell r="J263" t="str">
            <v>Mabinay</v>
          </cell>
          <cell r="K263" t="str">
            <v>Municipality</v>
          </cell>
          <cell r="M263" t="str">
            <v>1st</v>
          </cell>
          <cell r="T263" t="str">
            <v>Yes</v>
          </cell>
        </row>
        <row r="264">
          <cell r="B264" t="str">
            <v>Negros_Oriental</v>
          </cell>
          <cell r="J264" t="str">
            <v>Manjuyod</v>
          </cell>
          <cell r="K264" t="str">
            <v>Municipality</v>
          </cell>
          <cell r="M264" t="str">
            <v>2nd</v>
          </cell>
          <cell r="T264" t="str">
            <v>Yes</v>
          </cell>
        </row>
        <row r="265">
          <cell r="B265" t="str">
            <v>Negros_Oriental</v>
          </cell>
          <cell r="J265" t="str">
            <v>Pamplona</v>
          </cell>
          <cell r="K265" t="str">
            <v>Municipality</v>
          </cell>
          <cell r="M265" t="str">
            <v>3rd</v>
          </cell>
          <cell r="T265" t="str">
            <v>Yes</v>
          </cell>
        </row>
        <row r="266">
          <cell r="B266" t="str">
            <v>Negros_Oriental</v>
          </cell>
          <cell r="J266" t="str">
            <v>San Jose</v>
          </cell>
          <cell r="K266" t="str">
            <v>Municipality</v>
          </cell>
          <cell r="M266" t="str">
            <v>5th</v>
          </cell>
          <cell r="T266" t="str">
            <v>Yes</v>
          </cell>
        </row>
        <row r="267">
          <cell r="B267" t="str">
            <v>Negros_Oriental</v>
          </cell>
          <cell r="J267" t="str">
            <v>Santa Catalina</v>
          </cell>
          <cell r="K267" t="str">
            <v>Municipality</v>
          </cell>
          <cell r="M267" t="str">
            <v>1st</v>
          </cell>
          <cell r="T267" t="str">
            <v>Yes</v>
          </cell>
        </row>
        <row r="268">
          <cell r="B268" t="str">
            <v>Negros_Oriental</v>
          </cell>
          <cell r="J268" t="str">
            <v>Siaton</v>
          </cell>
          <cell r="K268" t="str">
            <v>Municipality</v>
          </cell>
          <cell r="M268" t="str">
            <v>1st</v>
          </cell>
          <cell r="T268" t="str">
            <v>Yes</v>
          </cell>
        </row>
        <row r="269">
          <cell r="B269" t="str">
            <v>Negros_Oriental</v>
          </cell>
          <cell r="J269" t="str">
            <v>Sibulan</v>
          </cell>
          <cell r="K269" t="str">
            <v>Municipality</v>
          </cell>
          <cell r="M269" t="str">
            <v>2nd</v>
          </cell>
          <cell r="T269" t="str">
            <v>Yes</v>
          </cell>
        </row>
        <row r="270">
          <cell r="B270" t="str">
            <v>Negros_Oriental</v>
          </cell>
          <cell r="J270" t="str">
            <v>Tayasan</v>
          </cell>
          <cell r="K270" t="str">
            <v>Municipality</v>
          </cell>
          <cell r="M270" t="str">
            <v>3rd</v>
          </cell>
          <cell r="T270" t="str">
            <v>Yes</v>
          </cell>
        </row>
        <row r="271">
          <cell r="B271" t="str">
            <v>Negros_Oriental</v>
          </cell>
          <cell r="J271" t="str">
            <v>Valencia (Luzurriaga)</v>
          </cell>
          <cell r="K271" t="str">
            <v>Municipality</v>
          </cell>
          <cell r="M271" t="str">
            <v>1st</v>
          </cell>
          <cell r="T271" t="str">
            <v>Yes</v>
          </cell>
        </row>
        <row r="272">
          <cell r="B272" t="str">
            <v>Negros_Oriental</v>
          </cell>
          <cell r="J272" t="str">
            <v>Vallehermoso</v>
          </cell>
          <cell r="K272" t="str">
            <v>Municipality</v>
          </cell>
          <cell r="M272" t="str">
            <v>3rd</v>
          </cell>
          <cell r="T272" t="str">
            <v>Yes</v>
          </cell>
        </row>
        <row r="273">
          <cell r="B273" t="str">
            <v>Negros_Oriental</v>
          </cell>
          <cell r="J273" t="str">
            <v>Zamboanguita</v>
          </cell>
          <cell r="K273" t="str">
            <v>Municipality</v>
          </cell>
          <cell r="M273" t="str">
            <v>4th</v>
          </cell>
          <cell r="T273" t="str">
            <v>Yes</v>
          </cell>
        </row>
        <row r="274">
          <cell r="B274" t="str">
            <v>Ilocos_Norte</v>
          </cell>
          <cell r="J274" t="str">
            <v>Adams</v>
          </cell>
          <cell r="K274" t="str">
            <v>Municipality</v>
          </cell>
          <cell r="M274" t="str">
            <v>5th</v>
          </cell>
          <cell r="T274" t="str">
            <v>No</v>
          </cell>
        </row>
        <row r="275">
          <cell r="B275" t="str">
            <v>Ilocos_Norte</v>
          </cell>
          <cell r="J275" t="str">
            <v>Bacarra</v>
          </cell>
          <cell r="K275" t="str">
            <v>Municipality</v>
          </cell>
          <cell r="M275" t="str">
            <v>3rd</v>
          </cell>
          <cell r="T275" t="str">
            <v>No</v>
          </cell>
        </row>
        <row r="276">
          <cell r="B276" t="str">
            <v>Ilocos_Norte</v>
          </cell>
          <cell r="J276" t="str">
            <v>Badoc</v>
          </cell>
          <cell r="K276" t="str">
            <v>Municipality</v>
          </cell>
          <cell r="M276" t="str">
            <v>3rd</v>
          </cell>
          <cell r="T276" t="str">
            <v>No</v>
          </cell>
        </row>
        <row r="277">
          <cell r="B277" t="str">
            <v>Ilocos_Norte</v>
          </cell>
          <cell r="J277" t="str">
            <v>Bangui</v>
          </cell>
          <cell r="K277" t="str">
            <v>Municipality</v>
          </cell>
          <cell r="M277" t="str">
            <v>4th</v>
          </cell>
          <cell r="T277" t="str">
            <v>No</v>
          </cell>
        </row>
        <row r="278">
          <cell r="B278" t="str">
            <v>Ilocos_Norte</v>
          </cell>
          <cell r="J278" t="str">
            <v>Banna (Espiritu)</v>
          </cell>
          <cell r="K278" t="str">
            <v>Municipality</v>
          </cell>
          <cell r="M278" t="str">
            <v>4th</v>
          </cell>
          <cell r="T278" t="str">
            <v>No</v>
          </cell>
        </row>
        <row r="279">
          <cell r="B279" t="str">
            <v>Ilocos_Norte</v>
          </cell>
          <cell r="J279" t="str">
            <v>Burgos</v>
          </cell>
          <cell r="K279" t="str">
            <v>Municipality</v>
          </cell>
          <cell r="M279" t="str">
            <v>5th</v>
          </cell>
          <cell r="T279" t="str">
            <v>No</v>
          </cell>
        </row>
        <row r="280">
          <cell r="B280" t="str">
            <v>Ilocos_Norte</v>
          </cell>
          <cell r="J280" t="str">
            <v>Carasi</v>
          </cell>
          <cell r="K280" t="str">
            <v>Municipality</v>
          </cell>
          <cell r="M280" t="str">
            <v>5th</v>
          </cell>
          <cell r="T280" t="str">
            <v>No</v>
          </cell>
        </row>
        <row r="281">
          <cell r="B281" t="str">
            <v>Ilocos_Norte</v>
          </cell>
          <cell r="J281" t="str">
            <v>City Of Batac</v>
          </cell>
          <cell r="K281" t="str">
            <v>City</v>
          </cell>
          <cell r="M281" t="str">
            <v>5th</v>
          </cell>
          <cell r="T281" t="str">
            <v>No</v>
          </cell>
        </row>
        <row r="282">
          <cell r="B282" t="str">
            <v>Ilocos_Norte</v>
          </cell>
          <cell r="J282" t="str">
            <v>Currimao</v>
          </cell>
          <cell r="K282" t="str">
            <v>Municipality</v>
          </cell>
          <cell r="M282" t="str">
            <v>4th</v>
          </cell>
          <cell r="T282" t="str">
            <v>No</v>
          </cell>
        </row>
        <row r="283">
          <cell r="B283" t="str">
            <v>Ilocos_Norte</v>
          </cell>
          <cell r="J283" t="str">
            <v>Dingras</v>
          </cell>
          <cell r="K283" t="str">
            <v>Municipality</v>
          </cell>
          <cell r="M283" t="str">
            <v>2nd</v>
          </cell>
          <cell r="T283" t="str">
            <v>No</v>
          </cell>
        </row>
        <row r="284">
          <cell r="B284" t="str">
            <v>Ilocos_Norte</v>
          </cell>
          <cell r="J284" t="str">
            <v>Dumalneg</v>
          </cell>
          <cell r="K284" t="str">
            <v>Municipality</v>
          </cell>
          <cell r="M284" t="str">
            <v>5th</v>
          </cell>
          <cell r="T284" t="str">
            <v>No</v>
          </cell>
        </row>
        <row r="285">
          <cell r="B285" t="str">
            <v>Ilocos_Norte</v>
          </cell>
          <cell r="J285" t="str">
            <v>Laoag City (Capital)</v>
          </cell>
          <cell r="K285" t="str">
            <v>City</v>
          </cell>
          <cell r="M285" t="str">
            <v>3rd</v>
          </cell>
          <cell r="T285" t="str">
            <v>No</v>
          </cell>
        </row>
        <row r="286">
          <cell r="B286" t="str">
            <v>Ilocos_Norte</v>
          </cell>
          <cell r="J286" t="str">
            <v>Marcos</v>
          </cell>
          <cell r="K286" t="str">
            <v>Municipality</v>
          </cell>
          <cell r="M286" t="str">
            <v>4th</v>
          </cell>
          <cell r="T286" t="str">
            <v>No</v>
          </cell>
        </row>
        <row r="287">
          <cell r="B287" t="str">
            <v>Ilocos_Norte</v>
          </cell>
          <cell r="J287" t="str">
            <v>Nueva Era</v>
          </cell>
          <cell r="K287" t="str">
            <v>Municipality</v>
          </cell>
          <cell r="M287" t="str">
            <v>3rd</v>
          </cell>
          <cell r="T287" t="str">
            <v>No</v>
          </cell>
        </row>
        <row r="288">
          <cell r="B288" t="str">
            <v>Ilocos_Norte</v>
          </cell>
          <cell r="J288" t="str">
            <v>Pagudpud</v>
          </cell>
          <cell r="K288" t="str">
            <v>Municipality</v>
          </cell>
          <cell r="M288" t="str">
            <v>4th</v>
          </cell>
          <cell r="T288" t="str">
            <v>No</v>
          </cell>
        </row>
        <row r="289">
          <cell r="B289" t="str">
            <v>Ilocos_Norte</v>
          </cell>
          <cell r="J289" t="str">
            <v>Paoay</v>
          </cell>
          <cell r="K289" t="str">
            <v>Municipality</v>
          </cell>
          <cell r="M289" t="str">
            <v>4th</v>
          </cell>
          <cell r="T289" t="str">
            <v>No</v>
          </cell>
        </row>
        <row r="290">
          <cell r="B290" t="str">
            <v>Ilocos_Norte</v>
          </cell>
          <cell r="J290" t="str">
            <v>Pasuquin</v>
          </cell>
          <cell r="K290" t="str">
            <v>Municipality</v>
          </cell>
          <cell r="M290" t="str">
            <v>3rd</v>
          </cell>
          <cell r="T290" t="str">
            <v>No</v>
          </cell>
        </row>
        <row r="291">
          <cell r="B291" t="str">
            <v>Ilocos_Norte</v>
          </cell>
          <cell r="J291" t="str">
            <v>Piddig</v>
          </cell>
          <cell r="K291" t="str">
            <v>Municipality</v>
          </cell>
          <cell r="M291" t="str">
            <v>3rd</v>
          </cell>
          <cell r="T291" t="str">
            <v>No</v>
          </cell>
        </row>
        <row r="292">
          <cell r="B292" t="str">
            <v>Ilocos_Norte</v>
          </cell>
          <cell r="J292" t="str">
            <v>Pinili</v>
          </cell>
          <cell r="K292" t="str">
            <v>Municipality</v>
          </cell>
          <cell r="M292" t="str">
            <v>3rd</v>
          </cell>
          <cell r="T292" t="str">
            <v>No</v>
          </cell>
        </row>
        <row r="293">
          <cell r="B293" t="str">
            <v>Ilocos_Norte</v>
          </cell>
          <cell r="J293" t="str">
            <v>San Nicolas</v>
          </cell>
          <cell r="K293" t="str">
            <v>Municipality</v>
          </cell>
          <cell r="M293" t="str">
            <v>2nd</v>
          </cell>
          <cell r="T293" t="str">
            <v>No</v>
          </cell>
        </row>
        <row r="294">
          <cell r="B294" t="str">
            <v>Ilocos_Norte</v>
          </cell>
          <cell r="J294" t="str">
            <v>Sarrat</v>
          </cell>
          <cell r="K294" t="str">
            <v>Municipality</v>
          </cell>
          <cell r="M294" t="str">
            <v>4th</v>
          </cell>
          <cell r="T294" t="str">
            <v>No</v>
          </cell>
        </row>
        <row r="295">
          <cell r="B295" t="str">
            <v>Ilocos_Norte</v>
          </cell>
          <cell r="J295" t="str">
            <v>Solsona</v>
          </cell>
          <cell r="K295" t="str">
            <v>Municipality</v>
          </cell>
          <cell r="M295" t="str">
            <v>3rd</v>
          </cell>
          <cell r="T295" t="str">
            <v>No</v>
          </cell>
        </row>
        <row r="296">
          <cell r="B296" t="str">
            <v>Ilocos_Norte</v>
          </cell>
          <cell r="J296" t="str">
            <v>Vintar</v>
          </cell>
          <cell r="K296" t="str">
            <v>Municipality</v>
          </cell>
          <cell r="M296" t="str">
            <v>1st</v>
          </cell>
          <cell r="T296" t="str">
            <v>No</v>
          </cell>
        </row>
        <row r="297">
          <cell r="B297" t="str">
            <v>Ilocos_Sur</v>
          </cell>
          <cell r="J297" t="str">
            <v>Alilem</v>
          </cell>
          <cell r="K297" t="str">
            <v>Municipality</v>
          </cell>
          <cell r="M297" t="str">
            <v>4th</v>
          </cell>
          <cell r="T297" t="str">
            <v>No</v>
          </cell>
        </row>
        <row r="298">
          <cell r="B298" t="str">
            <v>Ilocos_Sur</v>
          </cell>
          <cell r="J298" t="str">
            <v>Banayoyo</v>
          </cell>
          <cell r="K298" t="str">
            <v>Municipality</v>
          </cell>
          <cell r="M298" t="str">
            <v>4th</v>
          </cell>
          <cell r="T298" t="str">
            <v>No</v>
          </cell>
        </row>
        <row r="299">
          <cell r="B299" t="str">
            <v>Ilocos_Sur</v>
          </cell>
          <cell r="J299" t="str">
            <v>Bantay</v>
          </cell>
          <cell r="K299" t="str">
            <v>Municipality</v>
          </cell>
          <cell r="M299" t="str">
            <v>3rd</v>
          </cell>
          <cell r="T299" t="str">
            <v>No</v>
          </cell>
        </row>
        <row r="300">
          <cell r="B300" t="str">
            <v>Ilocos_Sur</v>
          </cell>
          <cell r="J300" t="str">
            <v>Burgos</v>
          </cell>
          <cell r="K300" t="str">
            <v>Municipality</v>
          </cell>
          <cell r="M300" t="str">
            <v>4th</v>
          </cell>
          <cell r="T300" t="str">
            <v>No</v>
          </cell>
        </row>
        <row r="301">
          <cell r="B301" t="str">
            <v>Ilocos_Sur</v>
          </cell>
          <cell r="J301" t="str">
            <v>Cabugao</v>
          </cell>
          <cell r="K301" t="str">
            <v>Municipality</v>
          </cell>
          <cell r="M301" t="str">
            <v>1st</v>
          </cell>
          <cell r="T301" t="str">
            <v>No</v>
          </cell>
        </row>
        <row r="302">
          <cell r="B302" t="str">
            <v>Ilocos_Sur</v>
          </cell>
          <cell r="J302" t="str">
            <v>Caoayan</v>
          </cell>
          <cell r="K302" t="str">
            <v>Municipality</v>
          </cell>
          <cell r="M302" t="str">
            <v>4th</v>
          </cell>
          <cell r="T302" t="str">
            <v>No</v>
          </cell>
        </row>
        <row r="303">
          <cell r="B303" t="str">
            <v>Ilocos_Sur</v>
          </cell>
          <cell r="J303" t="str">
            <v>Cervantes</v>
          </cell>
          <cell r="K303" t="str">
            <v>Municipality</v>
          </cell>
          <cell r="M303" t="str">
            <v>4th</v>
          </cell>
          <cell r="T303" t="str">
            <v>No</v>
          </cell>
        </row>
        <row r="304">
          <cell r="B304" t="str">
            <v>Ilocos_Sur</v>
          </cell>
          <cell r="J304" t="str">
            <v>City Of Candon</v>
          </cell>
          <cell r="K304" t="str">
            <v>City</v>
          </cell>
          <cell r="M304" t="str">
            <v>4th</v>
          </cell>
          <cell r="T304" t="str">
            <v>No</v>
          </cell>
        </row>
        <row r="305">
          <cell r="B305" t="str">
            <v>Ilocos_Sur</v>
          </cell>
          <cell r="J305" t="str">
            <v>City Of Vigan (Capital)</v>
          </cell>
          <cell r="K305" t="str">
            <v>City</v>
          </cell>
          <cell r="M305" t="str">
            <v>4th</v>
          </cell>
          <cell r="T305" t="str">
            <v>No</v>
          </cell>
        </row>
        <row r="306">
          <cell r="B306" t="str">
            <v>Ilocos_Sur</v>
          </cell>
          <cell r="J306" t="str">
            <v>Galimuyod</v>
          </cell>
          <cell r="K306" t="str">
            <v>Municipality</v>
          </cell>
          <cell r="M306" t="str">
            <v>4th</v>
          </cell>
          <cell r="T306" t="str">
            <v>No</v>
          </cell>
        </row>
        <row r="307">
          <cell r="B307" t="str">
            <v>Ilocos_Sur</v>
          </cell>
          <cell r="J307" t="str">
            <v>Gregorio Del Pilar (Concepcion)</v>
          </cell>
          <cell r="K307" t="str">
            <v>Municipality</v>
          </cell>
          <cell r="M307" t="str">
            <v>5th</v>
          </cell>
          <cell r="T307" t="str">
            <v>No</v>
          </cell>
        </row>
        <row r="308">
          <cell r="B308" t="str">
            <v>Ilocos_Sur</v>
          </cell>
          <cell r="J308" t="str">
            <v>Lidlidda</v>
          </cell>
          <cell r="K308" t="str">
            <v>Municipality</v>
          </cell>
          <cell r="M308" t="str">
            <v>5th</v>
          </cell>
          <cell r="T308" t="str">
            <v>No</v>
          </cell>
        </row>
        <row r="309">
          <cell r="B309" t="str">
            <v>Ilocos_Sur</v>
          </cell>
          <cell r="J309" t="str">
            <v>Magsingal</v>
          </cell>
          <cell r="K309" t="str">
            <v>Municipality</v>
          </cell>
          <cell r="M309" t="str">
            <v>3rd</v>
          </cell>
          <cell r="T309" t="str">
            <v>No</v>
          </cell>
        </row>
        <row r="310">
          <cell r="B310" t="str">
            <v>Ilocos_Sur</v>
          </cell>
          <cell r="J310" t="str">
            <v>Nagbukel</v>
          </cell>
          <cell r="K310" t="str">
            <v>Municipality</v>
          </cell>
          <cell r="M310" t="str">
            <v>5th</v>
          </cell>
          <cell r="T310" t="str">
            <v>No</v>
          </cell>
        </row>
        <row r="311">
          <cell r="B311" t="str">
            <v>Ilocos_Sur</v>
          </cell>
          <cell r="J311" t="str">
            <v>Narvacan</v>
          </cell>
          <cell r="K311" t="str">
            <v>Municipality</v>
          </cell>
          <cell r="M311" t="str">
            <v>2nd</v>
          </cell>
          <cell r="T311" t="str">
            <v>No</v>
          </cell>
        </row>
        <row r="312">
          <cell r="B312" t="str">
            <v>Ilocos_Sur</v>
          </cell>
          <cell r="J312" t="str">
            <v>Quirino (Angkaki)</v>
          </cell>
          <cell r="K312" t="str">
            <v>Municipality</v>
          </cell>
          <cell r="M312" t="str">
            <v>4th</v>
          </cell>
          <cell r="T312" t="str">
            <v>No</v>
          </cell>
        </row>
        <row r="313">
          <cell r="B313" t="str">
            <v>Ilocos_Sur</v>
          </cell>
          <cell r="J313" t="str">
            <v>Salcedo (Baugen)</v>
          </cell>
          <cell r="K313" t="str">
            <v>Municipality</v>
          </cell>
          <cell r="M313" t="str">
            <v>4th</v>
          </cell>
          <cell r="T313" t="str">
            <v>No</v>
          </cell>
        </row>
        <row r="314">
          <cell r="B314" t="str">
            <v>Ilocos_Sur</v>
          </cell>
          <cell r="J314" t="str">
            <v>San Emilio</v>
          </cell>
          <cell r="K314" t="str">
            <v>Municipality</v>
          </cell>
          <cell r="M314" t="str">
            <v>4th</v>
          </cell>
          <cell r="T314" t="str">
            <v>No</v>
          </cell>
        </row>
        <row r="315">
          <cell r="B315" t="str">
            <v>Ilocos_Sur</v>
          </cell>
          <cell r="J315" t="str">
            <v>San Esteban</v>
          </cell>
          <cell r="K315" t="str">
            <v>Municipality</v>
          </cell>
          <cell r="M315" t="str">
            <v>5th</v>
          </cell>
          <cell r="T315" t="str">
            <v>No</v>
          </cell>
        </row>
        <row r="316">
          <cell r="B316" t="str">
            <v>Ilocos_Sur</v>
          </cell>
          <cell r="J316" t="str">
            <v>San Ildefonso</v>
          </cell>
          <cell r="K316" t="str">
            <v>Municipality</v>
          </cell>
          <cell r="M316" t="str">
            <v>5th</v>
          </cell>
          <cell r="T316" t="str">
            <v>No</v>
          </cell>
        </row>
        <row r="317">
          <cell r="B317" t="str">
            <v>Ilocos_Sur</v>
          </cell>
          <cell r="J317" t="str">
            <v>San Juan (Lapog)</v>
          </cell>
          <cell r="K317" t="str">
            <v>Municipality</v>
          </cell>
          <cell r="M317" t="str">
            <v>3rd</v>
          </cell>
          <cell r="T317" t="str">
            <v>No</v>
          </cell>
        </row>
        <row r="318">
          <cell r="B318" t="str">
            <v>Ilocos_Sur</v>
          </cell>
          <cell r="J318" t="str">
            <v>San Vicente</v>
          </cell>
          <cell r="K318" t="str">
            <v>Municipality</v>
          </cell>
          <cell r="M318" t="str">
            <v>5th</v>
          </cell>
          <cell r="T318" t="str">
            <v>No</v>
          </cell>
        </row>
        <row r="319">
          <cell r="B319" t="str">
            <v>Ilocos_Sur</v>
          </cell>
          <cell r="J319" t="str">
            <v>Santa</v>
          </cell>
          <cell r="K319" t="str">
            <v>Municipality</v>
          </cell>
          <cell r="M319" t="str">
            <v>4th</v>
          </cell>
          <cell r="T319" t="str">
            <v>No</v>
          </cell>
        </row>
        <row r="320">
          <cell r="B320" t="str">
            <v>Ilocos_Sur</v>
          </cell>
          <cell r="J320" t="str">
            <v>Santa Catalina</v>
          </cell>
          <cell r="K320" t="str">
            <v>Municipality</v>
          </cell>
          <cell r="M320" t="str">
            <v>5th</v>
          </cell>
          <cell r="T320" t="str">
            <v>No</v>
          </cell>
        </row>
        <row r="321">
          <cell r="B321" t="str">
            <v>Ilocos_Sur</v>
          </cell>
          <cell r="J321" t="str">
            <v>Santa Cruz</v>
          </cell>
          <cell r="K321" t="str">
            <v>Municipality</v>
          </cell>
          <cell r="M321" t="str">
            <v>1st</v>
          </cell>
          <cell r="T321" t="str">
            <v>No</v>
          </cell>
        </row>
        <row r="322">
          <cell r="B322" t="str">
            <v>Ilocos_Sur</v>
          </cell>
          <cell r="J322" t="str">
            <v>Santa Lucia</v>
          </cell>
          <cell r="K322" t="str">
            <v>Municipality</v>
          </cell>
          <cell r="M322" t="str">
            <v>3rd</v>
          </cell>
          <cell r="T322" t="str">
            <v>No</v>
          </cell>
        </row>
        <row r="323">
          <cell r="B323" t="str">
            <v>Ilocos_Sur</v>
          </cell>
          <cell r="J323" t="str">
            <v>Santa Maria</v>
          </cell>
          <cell r="K323" t="str">
            <v>Municipality</v>
          </cell>
          <cell r="M323" t="str">
            <v>3rd</v>
          </cell>
          <cell r="T323" t="str">
            <v>No</v>
          </cell>
        </row>
        <row r="324">
          <cell r="B324" t="str">
            <v>Ilocos_Sur</v>
          </cell>
          <cell r="J324" t="str">
            <v>Santiago</v>
          </cell>
          <cell r="K324" t="str">
            <v>Municipality</v>
          </cell>
          <cell r="M324" t="str">
            <v>4th</v>
          </cell>
          <cell r="T324" t="str">
            <v>No</v>
          </cell>
        </row>
        <row r="325">
          <cell r="B325" t="str">
            <v>Ilocos_Sur</v>
          </cell>
          <cell r="J325" t="str">
            <v>Santo Domingo</v>
          </cell>
          <cell r="K325" t="str">
            <v>Municipality</v>
          </cell>
          <cell r="M325" t="str">
            <v>3rd</v>
          </cell>
          <cell r="T325" t="str">
            <v>No</v>
          </cell>
        </row>
        <row r="326">
          <cell r="B326" t="str">
            <v>Ilocos_Sur</v>
          </cell>
          <cell r="J326" t="str">
            <v>Sigay</v>
          </cell>
          <cell r="K326" t="str">
            <v>Municipality</v>
          </cell>
          <cell r="M326" t="str">
            <v>5th</v>
          </cell>
          <cell r="T326" t="str">
            <v>No</v>
          </cell>
        </row>
        <row r="327">
          <cell r="B327" t="str">
            <v>Ilocos_Sur</v>
          </cell>
          <cell r="J327" t="str">
            <v>Sinait</v>
          </cell>
          <cell r="K327" t="str">
            <v>Municipality</v>
          </cell>
          <cell r="M327" t="str">
            <v>3rd</v>
          </cell>
          <cell r="T327" t="str">
            <v>No</v>
          </cell>
        </row>
        <row r="328">
          <cell r="B328" t="str">
            <v>Ilocos_Sur</v>
          </cell>
          <cell r="J328" t="str">
            <v>Sugpon</v>
          </cell>
          <cell r="K328" t="str">
            <v>Municipality</v>
          </cell>
          <cell r="M328" t="str">
            <v>5th</v>
          </cell>
          <cell r="T328" t="str">
            <v>No</v>
          </cell>
        </row>
        <row r="329">
          <cell r="B329" t="str">
            <v>Ilocos_Sur</v>
          </cell>
          <cell r="J329" t="str">
            <v>Suyo</v>
          </cell>
          <cell r="K329" t="str">
            <v>Municipality</v>
          </cell>
          <cell r="M329" t="str">
            <v>4th</v>
          </cell>
          <cell r="T329" t="str">
            <v>No</v>
          </cell>
        </row>
        <row r="330">
          <cell r="B330" t="str">
            <v>Ilocos_Sur</v>
          </cell>
          <cell r="J330" t="str">
            <v>Tagudin</v>
          </cell>
          <cell r="K330" t="str">
            <v>Municipality</v>
          </cell>
          <cell r="M330" t="str">
            <v>2nd</v>
          </cell>
          <cell r="T330" t="str">
            <v>No</v>
          </cell>
        </row>
        <row r="331">
          <cell r="B331" t="str">
            <v>La_Union</v>
          </cell>
          <cell r="J331" t="str">
            <v>Agoo</v>
          </cell>
          <cell r="K331" t="str">
            <v>Municipality</v>
          </cell>
          <cell r="M331" t="str">
            <v>1st</v>
          </cell>
          <cell r="T331" t="str">
            <v>Yes</v>
          </cell>
        </row>
        <row r="332">
          <cell r="B332" t="str">
            <v>La_Union</v>
          </cell>
          <cell r="J332" t="str">
            <v>Aringay</v>
          </cell>
          <cell r="K332" t="str">
            <v>Municipality</v>
          </cell>
          <cell r="M332" t="str">
            <v>2nd</v>
          </cell>
          <cell r="T332" t="str">
            <v>Yes</v>
          </cell>
        </row>
        <row r="333">
          <cell r="B333" t="str">
            <v>La_Union</v>
          </cell>
          <cell r="J333" t="str">
            <v>Bacnotan</v>
          </cell>
          <cell r="K333" t="str">
            <v>Municipality</v>
          </cell>
          <cell r="M333" t="str">
            <v>1st</v>
          </cell>
          <cell r="T333" t="str">
            <v>Yes</v>
          </cell>
        </row>
        <row r="334">
          <cell r="B334" t="str">
            <v>La_Union</v>
          </cell>
          <cell r="J334" t="str">
            <v>Bagulin</v>
          </cell>
          <cell r="K334" t="str">
            <v>Municipality</v>
          </cell>
          <cell r="M334" t="str">
            <v>5th</v>
          </cell>
          <cell r="T334" t="str">
            <v>Yes</v>
          </cell>
        </row>
        <row r="335">
          <cell r="B335" t="str">
            <v>La_Union</v>
          </cell>
          <cell r="J335" t="str">
            <v>Balaoan</v>
          </cell>
          <cell r="K335" t="str">
            <v>Municipality</v>
          </cell>
          <cell r="M335" t="str">
            <v>1st</v>
          </cell>
          <cell r="T335" t="str">
            <v>Yes</v>
          </cell>
        </row>
        <row r="336">
          <cell r="B336" t="str">
            <v>La_Union</v>
          </cell>
          <cell r="J336" t="str">
            <v>Bangar</v>
          </cell>
          <cell r="K336" t="str">
            <v>Municipality</v>
          </cell>
          <cell r="M336" t="str">
            <v>3rd</v>
          </cell>
          <cell r="T336" t="str">
            <v>Yes</v>
          </cell>
        </row>
        <row r="337">
          <cell r="B337" t="str">
            <v>La_Union</v>
          </cell>
          <cell r="J337" t="str">
            <v>Bauang</v>
          </cell>
          <cell r="K337" t="str">
            <v>Municipality</v>
          </cell>
          <cell r="M337" t="str">
            <v>1st</v>
          </cell>
          <cell r="T337" t="str">
            <v>Yes</v>
          </cell>
        </row>
        <row r="338">
          <cell r="B338" t="str">
            <v>La_Union</v>
          </cell>
          <cell r="J338" t="str">
            <v>Burgos</v>
          </cell>
          <cell r="K338" t="str">
            <v>Municipality</v>
          </cell>
          <cell r="M338" t="str">
            <v>5th</v>
          </cell>
          <cell r="T338" t="str">
            <v>Yes</v>
          </cell>
        </row>
        <row r="339">
          <cell r="B339" t="str">
            <v>La_Union</v>
          </cell>
          <cell r="J339" t="str">
            <v>Caba</v>
          </cell>
          <cell r="K339" t="str">
            <v>Municipality</v>
          </cell>
          <cell r="M339" t="str">
            <v>4th</v>
          </cell>
          <cell r="T339" t="str">
            <v>Yes</v>
          </cell>
        </row>
        <row r="340">
          <cell r="B340" t="str">
            <v>La_Union</v>
          </cell>
          <cell r="J340" t="str">
            <v>City Of San Fernando (Capital)</v>
          </cell>
          <cell r="K340" t="str">
            <v>City</v>
          </cell>
          <cell r="M340" t="str">
            <v>3rd</v>
          </cell>
          <cell r="T340" t="str">
            <v>Yes</v>
          </cell>
        </row>
        <row r="341">
          <cell r="B341" t="str">
            <v>La_Union</v>
          </cell>
          <cell r="J341" t="str">
            <v>Luna</v>
          </cell>
          <cell r="K341" t="str">
            <v>Municipality</v>
          </cell>
          <cell r="M341" t="str">
            <v>3rd</v>
          </cell>
          <cell r="T341" t="str">
            <v>Yes</v>
          </cell>
        </row>
        <row r="342">
          <cell r="B342" t="str">
            <v>La_Union</v>
          </cell>
          <cell r="J342" t="str">
            <v>Naguilian</v>
          </cell>
          <cell r="K342" t="str">
            <v>Municipality</v>
          </cell>
          <cell r="M342" t="str">
            <v>1st</v>
          </cell>
          <cell r="T342" t="str">
            <v>Yes</v>
          </cell>
        </row>
        <row r="343">
          <cell r="B343" t="str">
            <v>La_Union</v>
          </cell>
          <cell r="J343" t="str">
            <v>Pugo</v>
          </cell>
          <cell r="K343" t="str">
            <v>Municipality</v>
          </cell>
          <cell r="M343" t="str">
            <v>5th</v>
          </cell>
          <cell r="T343" t="str">
            <v>Yes</v>
          </cell>
        </row>
        <row r="344">
          <cell r="B344" t="str">
            <v>La_Union</v>
          </cell>
          <cell r="J344" t="str">
            <v>Rosario</v>
          </cell>
          <cell r="K344" t="str">
            <v>Municipality</v>
          </cell>
          <cell r="M344" t="str">
            <v>1st</v>
          </cell>
          <cell r="T344" t="str">
            <v>Yes</v>
          </cell>
        </row>
        <row r="345">
          <cell r="B345" t="str">
            <v>La_Union</v>
          </cell>
          <cell r="J345" t="str">
            <v>San Gabriel</v>
          </cell>
          <cell r="K345" t="str">
            <v>Municipality</v>
          </cell>
          <cell r="M345" t="str">
            <v>4th</v>
          </cell>
          <cell r="T345" t="str">
            <v>Yes</v>
          </cell>
        </row>
        <row r="346">
          <cell r="B346" t="str">
            <v>La_Union</v>
          </cell>
          <cell r="J346" t="str">
            <v>San Juan</v>
          </cell>
          <cell r="K346" t="str">
            <v>Municipality</v>
          </cell>
          <cell r="M346" t="str">
            <v>2nd</v>
          </cell>
          <cell r="T346" t="str">
            <v>Yes</v>
          </cell>
        </row>
        <row r="347">
          <cell r="B347" t="str">
            <v>La_Union</v>
          </cell>
          <cell r="J347" t="str">
            <v>Santo Tomas</v>
          </cell>
          <cell r="K347" t="str">
            <v>Municipality</v>
          </cell>
          <cell r="M347" t="str">
            <v>4th</v>
          </cell>
          <cell r="T347" t="str">
            <v>Yes</v>
          </cell>
        </row>
        <row r="348">
          <cell r="B348" t="str">
            <v>La_Union</v>
          </cell>
          <cell r="J348" t="str">
            <v>Santol</v>
          </cell>
          <cell r="K348" t="str">
            <v>Municipality</v>
          </cell>
          <cell r="M348" t="str">
            <v>4th</v>
          </cell>
          <cell r="T348" t="str">
            <v>Yes</v>
          </cell>
        </row>
        <row r="349">
          <cell r="B349" t="str">
            <v>La_Union</v>
          </cell>
          <cell r="J349" t="str">
            <v>Sudipen</v>
          </cell>
          <cell r="K349" t="str">
            <v>Municipality</v>
          </cell>
          <cell r="M349" t="str">
            <v>4th</v>
          </cell>
          <cell r="T349" t="str">
            <v>Yes</v>
          </cell>
        </row>
        <row r="350">
          <cell r="B350" t="str">
            <v>La_Union</v>
          </cell>
          <cell r="J350" t="str">
            <v>Tubao</v>
          </cell>
          <cell r="K350" t="str">
            <v>Municipality</v>
          </cell>
          <cell r="M350" t="str">
            <v>4th</v>
          </cell>
          <cell r="T350" t="str">
            <v>Yes</v>
          </cell>
        </row>
        <row r="351">
          <cell r="B351" t="str">
            <v>Pangasinan</v>
          </cell>
          <cell r="J351" t="str">
            <v>Agno</v>
          </cell>
          <cell r="K351" t="str">
            <v>Municipality</v>
          </cell>
          <cell r="M351" t="str">
            <v>3rd</v>
          </cell>
          <cell r="T351" t="str">
            <v>Yes</v>
          </cell>
        </row>
        <row r="352">
          <cell r="B352" t="str">
            <v>Pangasinan</v>
          </cell>
          <cell r="J352" t="str">
            <v>Aguilar</v>
          </cell>
          <cell r="K352" t="str">
            <v>Municipality</v>
          </cell>
          <cell r="M352" t="str">
            <v>3rd</v>
          </cell>
          <cell r="T352" t="str">
            <v>Yes</v>
          </cell>
        </row>
        <row r="353">
          <cell r="B353" t="str">
            <v>Pangasinan</v>
          </cell>
          <cell r="J353" t="str">
            <v>Alcala</v>
          </cell>
          <cell r="K353" t="str">
            <v>Municipality</v>
          </cell>
          <cell r="M353" t="str">
            <v>3rd</v>
          </cell>
          <cell r="T353" t="str">
            <v>Yes</v>
          </cell>
        </row>
        <row r="354">
          <cell r="B354" t="str">
            <v>Pangasinan</v>
          </cell>
          <cell r="J354" t="str">
            <v>Anda</v>
          </cell>
          <cell r="K354" t="str">
            <v>Municipality</v>
          </cell>
          <cell r="M354" t="str">
            <v>3rd</v>
          </cell>
          <cell r="T354" t="str">
            <v>Yes</v>
          </cell>
        </row>
        <row r="355">
          <cell r="B355" t="str">
            <v>Pangasinan</v>
          </cell>
          <cell r="J355" t="str">
            <v>Asingan</v>
          </cell>
          <cell r="K355" t="str">
            <v>Municipality</v>
          </cell>
          <cell r="M355" t="str">
            <v>2nd</v>
          </cell>
          <cell r="T355" t="str">
            <v>Yes</v>
          </cell>
        </row>
        <row r="356">
          <cell r="B356" t="str">
            <v>Pangasinan</v>
          </cell>
          <cell r="J356" t="str">
            <v>Balungao</v>
          </cell>
          <cell r="K356" t="str">
            <v>Municipality</v>
          </cell>
          <cell r="M356" t="str">
            <v>4th</v>
          </cell>
          <cell r="T356" t="str">
            <v>Yes</v>
          </cell>
        </row>
        <row r="357">
          <cell r="B357" t="str">
            <v>Pangasinan</v>
          </cell>
          <cell r="J357" t="str">
            <v>Bani</v>
          </cell>
          <cell r="K357" t="str">
            <v>Municipality</v>
          </cell>
          <cell r="M357" t="str">
            <v>2nd</v>
          </cell>
          <cell r="T357" t="str">
            <v>Yes</v>
          </cell>
        </row>
        <row r="358">
          <cell r="B358" t="str">
            <v>Pangasinan</v>
          </cell>
          <cell r="J358" t="str">
            <v>Basista</v>
          </cell>
          <cell r="K358" t="str">
            <v>Municipality</v>
          </cell>
          <cell r="M358" t="str">
            <v>4th</v>
          </cell>
          <cell r="T358" t="str">
            <v>Yes</v>
          </cell>
        </row>
        <row r="359">
          <cell r="B359" t="str">
            <v>Pangasinan</v>
          </cell>
          <cell r="J359" t="str">
            <v>Bautista</v>
          </cell>
          <cell r="K359" t="str">
            <v>Municipality</v>
          </cell>
          <cell r="M359" t="str">
            <v>4th</v>
          </cell>
          <cell r="T359" t="str">
            <v>Yes</v>
          </cell>
        </row>
        <row r="360">
          <cell r="B360" t="str">
            <v>Pangasinan</v>
          </cell>
          <cell r="J360" t="str">
            <v>Bayambang</v>
          </cell>
          <cell r="K360" t="str">
            <v>Municipality</v>
          </cell>
          <cell r="M360" t="str">
            <v>1st</v>
          </cell>
          <cell r="T360" t="str">
            <v>Yes</v>
          </cell>
        </row>
        <row r="361">
          <cell r="B361" t="str">
            <v>Pangasinan</v>
          </cell>
          <cell r="J361" t="str">
            <v>Binalonan</v>
          </cell>
          <cell r="K361" t="str">
            <v>Municipality</v>
          </cell>
          <cell r="M361" t="str">
            <v>1st</v>
          </cell>
          <cell r="T361" t="str">
            <v>Yes</v>
          </cell>
        </row>
        <row r="362">
          <cell r="B362" t="str">
            <v>Pangasinan</v>
          </cell>
          <cell r="J362" t="str">
            <v>Binmaley</v>
          </cell>
          <cell r="K362" t="str">
            <v>Municipality</v>
          </cell>
          <cell r="M362" t="str">
            <v>1st</v>
          </cell>
          <cell r="T362" t="str">
            <v>Yes</v>
          </cell>
        </row>
        <row r="363">
          <cell r="B363" t="str">
            <v>Pangasinan</v>
          </cell>
          <cell r="J363" t="str">
            <v>Bolinao</v>
          </cell>
          <cell r="K363" t="str">
            <v>Municipality</v>
          </cell>
          <cell r="M363" t="str">
            <v>1st</v>
          </cell>
          <cell r="T363" t="str">
            <v>Yes</v>
          </cell>
        </row>
        <row r="364">
          <cell r="B364" t="str">
            <v>Pangasinan</v>
          </cell>
          <cell r="J364" t="str">
            <v>Bugallon</v>
          </cell>
          <cell r="K364" t="str">
            <v>Municipality</v>
          </cell>
          <cell r="M364" t="str">
            <v>2nd</v>
          </cell>
          <cell r="T364" t="str">
            <v>Yes</v>
          </cell>
        </row>
        <row r="365">
          <cell r="B365" t="str">
            <v>Pangasinan</v>
          </cell>
          <cell r="J365" t="str">
            <v>Burgos</v>
          </cell>
          <cell r="K365" t="str">
            <v>Municipality</v>
          </cell>
          <cell r="M365" t="str">
            <v>4th</v>
          </cell>
          <cell r="T365" t="str">
            <v>Yes</v>
          </cell>
        </row>
        <row r="366">
          <cell r="B366" t="str">
            <v>Pangasinan</v>
          </cell>
          <cell r="J366" t="str">
            <v>Calasiao</v>
          </cell>
          <cell r="K366" t="str">
            <v>Municipality</v>
          </cell>
          <cell r="M366" t="str">
            <v>1st</v>
          </cell>
          <cell r="T366" t="str">
            <v>Yes</v>
          </cell>
        </row>
        <row r="367">
          <cell r="B367" t="str">
            <v>Pangasinan</v>
          </cell>
          <cell r="J367" t="str">
            <v>City Of Alaminos</v>
          </cell>
          <cell r="K367" t="str">
            <v>City</v>
          </cell>
          <cell r="M367" t="str">
            <v>4th</v>
          </cell>
          <cell r="T367" t="str">
            <v>Yes</v>
          </cell>
        </row>
        <row r="368">
          <cell r="B368" t="str">
            <v>Pangasinan</v>
          </cell>
          <cell r="J368" t="str">
            <v>City Of Urdaneta</v>
          </cell>
          <cell r="K368" t="str">
            <v>City</v>
          </cell>
          <cell r="M368" t="str">
            <v>2nd</v>
          </cell>
          <cell r="T368" t="str">
            <v>Yes</v>
          </cell>
        </row>
        <row r="369">
          <cell r="B369" t="str">
            <v>Pangasinan</v>
          </cell>
          <cell r="J369" t="str">
            <v>Dagupan City</v>
          </cell>
          <cell r="K369" t="str">
            <v>City</v>
          </cell>
          <cell r="M369" t="str">
            <v>2nd</v>
          </cell>
          <cell r="T369" t="str">
            <v>Yes</v>
          </cell>
        </row>
        <row r="370">
          <cell r="B370" t="str">
            <v>Pangasinan</v>
          </cell>
          <cell r="J370" t="str">
            <v>Dasol</v>
          </cell>
          <cell r="K370" t="str">
            <v>Municipality</v>
          </cell>
          <cell r="M370" t="str">
            <v>3rd</v>
          </cell>
          <cell r="T370" t="str">
            <v>Yes</v>
          </cell>
        </row>
        <row r="371">
          <cell r="B371" t="str">
            <v>Pangasinan</v>
          </cell>
          <cell r="J371" t="str">
            <v>Infanta</v>
          </cell>
          <cell r="K371" t="str">
            <v>Municipality</v>
          </cell>
          <cell r="M371" t="str">
            <v>3rd</v>
          </cell>
          <cell r="T371" t="str">
            <v>Yes</v>
          </cell>
        </row>
        <row r="372">
          <cell r="B372" t="str">
            <v>Pangasinan</v>
          </cell>
          <cell r="J372" t="str">
            <v>Labrador</v>
          </cell>
          <cell r="K372" t="str">
            <v>Municipality</v>
          </cell>
          <cell r="M372" t="str">
            <v>4th</v>
          </cell>
          <cell r="T372" t="str">
            <v>Yes</v>
          </cell>
        </row>
        <row r="373">
          <cell r="B373" t="str">
            <v>Pangasinan</v>
          </cell>
          <cell r="J373" t="str">
            <v>Laoac</v>
          </cell>
          <cell r="K373" t="str">
            <v>Municipality</v>
          </cell>
          <cell r="M373" t="str">
            <v>4th</v>
          </cell>
          <cell r="T373" t="str">
            <v>Yes</v>
          </cell>
        </row>
        <row r="374">
          <cell r="B374" t="str">
            <v>Pangasinan</v>
          </cell>
          <cell r="J374" t="str">
            <v>Lingayen (Capital)</v>
          </cell>
          <cell r="K374" t="str">
            <v>Municipality</v>
          </cell>
          <cell r="M374" t="str">
            <v>1st</v>
          </cell>
          <cell r="T374" t="str">
            <v>Yes</v>
          </cell>
        </row>
        <row r="375">
          <cell r="B375" t="str">
            <v>Pangasinan</v>
          </cell>
          <cell r="J375" t="str">
            <v>Mabini</v>
          </cell>
          <cell r="K375" t="str">
            <v>Municipality</v>
          </cell>
          <cell r="M375" t="str">
            <v>3rd</v>
          </cell>
          <cell r="T375" t="str">
            <v>Yes</v>
          </cell>
        </row>
        <row r="376">
          <cell r="B376" t="str">
            <v>Pangasinan</v>
          </cell>
          <cell r="J376" t="str">
            <v>Malasiqui</v>
          </cell>
          <cell r="K376" t="str">
            <v>Municipality</v>
          </cell>
          <cell r="M376" t="str">
            <v>1st</v>
          </cell>
          <cell r="T376" t="str">
            <v>Yes</v>
          </cell>
        </row>
        <row r="377">
          <cell r="B377" t="str">
            <v>Pangasinan</v>
          </cell>
          <cell r="J377" t="str">
            <v>Manaoag</v>
          </cell>
          <cell r="K377" t="str">
            <v>Municipality</v>
          </cell>
          <cell r="M377" t="str">
            <v>1st</v>
          </cell>
          <cell r="T377" t="str">
            <v>Yes</v>
          </cell>
        </row>
        <row r="378">
          <cell r="B378" t="str">
            <v>Pangasinan</v>
          </cell>
          <cell r="J378" t="str">
            <v>Mangaldan</v>
          </cell>
          <cell r="K378" t="str">
            <v>Municipality</v>
          </cell>
          <cell r="M378" t="str">
            <v>1st</v>
          </cell>
          <cell r="T378" t="str">
            <v>Yes</v>
          </cell>
        </row>
        <row r="379">
          <cell r="B379" t="str">
            <v>Pangasinan</v>
          </cell>
          <cell r="J379" t="str">
            <v>Mangatarem</v>
          </cell>
          <cell r="K379" t="str">
            <v>Municipality</v>
          </cell>
          <cell r="M379" t="str">
            <v>1st</v>
          </cell>
          <cell r="T379" t="str">
            <v>Yes</v>
          </cell>
        </row>
        <row r="380">
          <cell r="B380" t="str">
            <v>Pangasinan</v>
          </cell>
          <cell r="J380" t="str">
            <v>Mapandan</v>
          </cell>
          <cell r="K380" t="str">
            <v>Municipality</v>
          </cell>
          <cell r="M380" t="str">
            <v>3rd</v>
          </cell>
          <cell r="T380" t="str">
            <v>Yes</v>
          </cell>
        </row>
        <row r="381">
          <cell r="B381" t="str">
            <v>Pangasinan</v>
          </cell>
          <cell r="J381" t="str">
            <v>Natividad</v>
          </cell>
          <cell r="K381" t="str">
            <v>Municipality</v>
          </cell>
          <cell r="M381" t="str">
            <v>4th</v>
          </cell>
          <cell r="T381" t="str">
            <v>Yes</v>
          </cell>
        </row>
        <row r="382">
          <cell r="B382" t="str">
            <v>Pangasinan</v>
          </cell>
          <cell r="J382" t="str">
            <v>Pozorrubio</v>
          </cell>
          <cell r="K382" t="str">
            <v>Municipality</v>
          </cell>
          <cell r="M382" t="str">
            <v>1st</v>
          </cell>
          <cell r="T382" t="str">
            <v>Yes</v>
          </cell>
        </row>
        <row r="383">
          <cell r="B383" t="str">
            <v>Pangasinan</v>
          </cell>
          <cell r="J383" t="str">
            <v>Rosales</v>
          </cell>
          <cell r="K383" t="str">
            <v>Municipality</v>
          </cell>
          <cell r="M383" t="str">
            <v>1st</v>
          </cell>
          <cell r="T383" t="str">
            <v>Yes</v>
          </cell>
        </row>
        <row r="384">
          <cell r="B384" t="str">
            <v>Pangasinan</v>
          </cell>
          <cell r="J384" t="str">
            <v>San Carlos City</v>
          </cell>
          <cell r="K384" t="str">
            <v>City</v>
          </cell>
          <cell r="M384" t="str">
            <v>3rd</v>
          </cell>
          <cell r="T384" t="str">
            <v>Yes</v>
          </cell>
        </row>
        <row r="385">
          <cell r="B385" t="str">
            <v>Pangasinan</v>
          </cell>
          <cell r="J385" t="str">
            <v>San Fabian</v>
          </cell>
          <cell r="K385" t="str">
            <v>Municipality</v>
          </cell>
          <cell r="M385" t="str">
            <v>1st</v>
          </cell>
          <cell r="T385" t="str">
            <v>Yes</v>
          </cell>
        </row>
        <row r="386">
          <cell r="B386" t="str">
            <v>Pangasinan</v>
          </cell>
          <cell r="J386" t="str">
            <v>San Jacinto</v>
          </cell>
          <cell r="K386" t="str">
            <v>Municipality</v>
          </cell>
          <cell r="M386" t="str">
            <v>3rd</v>
          </cell>
          <cell r="T386" t="str">
            <v>Yes</v>
          </cell>
        </row>
        <row r="387">
          <cell r="B387" t="str">
            <v>Pangasinan</v>
          </cell>
          <cell r="J387" t="str">
            <v>San Manuel</v>
          </cell>
          <cell r="K387" t="str">
            <v>Municipality</v>
          </cell>
          <cell r="M387" t="str">
            <v>1st</v>
          </cell>
          <cell r="T387" t="str">
            <v>Yes</v>
          </cell>
        </row>
        <row r="388">
          <cell r="B388" t="str">
            <v>Pangasinan</v>
          </cell>
          <cell r="J388" t="str">
            <v>San Nicolas</v>
          </cell>
          <cell r="K388" t="str">
            <v>Municipality</v>
          </cell>
          <cell r="M388" t="str">
            <v>1st</v>
          </cell>
          <cell r="T388" t="str">
            <v>Yes</v>
          </cell>
        </row>
        <row r="389">
          <cell r="B389" t="str">
            <v>Pangasinan</v>
          </cell>
          <cell r="J389" t="str">
            <v>San Quintin</v>
          </cell>
          <cell r="K389" t="str">
            <v>Municipality</v>
          </cell>
          <cell r="M389" t="str">
            <v>3rd</v>
          </cell>
          <cell r="T389" t="str">
            <v>Yes</v>
          </cell>
        </row>
        <row r="390">
          <cell r="B390" t="str">
            <v>Pangasinan</v>
          </cell>
          <cell r="J390" t="str">
            <v>Santa Barbara</v>
          </cell>
          <cell r="K390" t="str">
            <v>Municipality</v>
          </cell>
          <cell r="M390" t="str">
            <v>1st</v>
          </cell>
          <cell r="T390" t="str">
            <v>Yes</v>
          </cell>
        </row>
        <row r="391">
          <cell r="B391" t="str">
            <v>Pangasinan</v>
          </cell>
          <cell r="J391" t="str">
            <v>Santa Maria</v>
          </cell>
          <cell r="K391" t="str">
            <v>Municipality</v>
          </cell>
          <cell r="M391" t="str">
            <v>4th</v>
          </cell>
          <cell r="T391" t="str">
            <v>Yes</v>
          </cell>
        </row>
        <row r="392">
          <cell r="B392" t="str">
            <v>Pangasinan</v>
          </cell>
          <cell r="J392" t="str">
            <v>Santo Tomas</v>
          </cell>
          <cell r="K392" t="str">
            <v>Municipality</v>
          </cell>
          <cell r="M392" t="str">
            <v>5th</v>
          </cell>
          <cell r="T392" t="str">
            <v>Yes</v>
          </cell>
        </row>
        <row r="393">
          <cell r="B393" t="str">
            <v>Pangasinan</v>
          </cell>
          <cell r="J393" t="str">
            <v>Sison</v>
          </cell>
          <cell r="K393" t="str">
            <v>Municipality</v>
          </cell>
          <cell r="M393" t="str">
            <v>3rd</v>
          </cell>
          <cell r="T393" t="str">
            <v>Yes</v>
          </cell>
        </row>
        <row r="394">
          <cell r="B394" t="str">
            <v>Pangasinan</v>
          </cell>
          <cell r="J394" t="str">
            <v>Sual</v>
          </cell>
          <cell r="K394" t="str">
            <v>Municipality</v>
          </cell>
          <cell r="M394" t="str">
            <v>1st</v>
          </cell>
          <cell r="T394" t="str">
            <v>Yes</v>
          </cell>
        </row>
        <row r="395">
          <cell r="B395" t="str">
            <v>Pangasinan</v>
          </cell>
          <cell r="J395" t="str">
            <v>Tayug</v>
          </cell>
          <cell r="K395" t="str">
            <v>Municipality</v>
          </cell>
          <cell r="M395" t="str">
            <v>3rd</v>
          </cell>
          <cell r="T395" t="str">
            <v>Yes</v>
          </cell>
        </row>
        <row r="396">
          <cell r="B396" t="str">
            <v>Pangasinan</v>
          </cell>
          <cell r="J396" t="str">
            <v>Umingan</v>
          </cell>
          <cell r="K396" t="str">
            <v>Municipality</v>
          </cell>
          <cell r="M396" t="str">
            <v>1st</v>
          </cell>
          <cell r="T396" t="str">
            <v>Yes</v>
          </cell>
        </row>
        <row r="397">
          <cell r="B397" t="str">
            <v>Pangasinan</v>
          </cell>
          <cell r="J397" t="str">
            <v>Urbiztondo</v>
          </cell>
          <cell r="K397" t="str">
            <v>Municipality</v>
          </cell>
          <cell r="M397" t="str">
            <v>3rd</v>
          </cell>
          <cell r="T397" t="str">
            <v>Yes</v>
          </cell>
        </row>
        <row r="398">
          <cell r="B398" t="str">
            <v>Pangasinan</v>
          </cell>
          <cell r="J398" t="str">
            <v>Villasis</v>
          </cell>
          <cell r="K398" t="str">
            <v>Municipality</v>
          </cell>
          <cell r="M398" t="str">
            <v>1st</v>
          </cell>
          <cell r="T398" t="str">
            <v>Yes</v>
          </cell>
        </row>
        <row r="399">
          <cell r="B399" t="str">
            <v>Batanes</v>
          </cell>
          <cell r="J399" t="str">
            <v>Basco (Capital)</v>
          </cell>
          <cell r="K399" t="str">
            <v>Municipality</v>
          </cell>
          <cell r="M399" t="str">
            <v>5th</v>
          </cell>
          <cell r="T399" t="str">
            <v>No</v>
          </cell>
        </row>
        <row r="400">
          <cell r="B400" t="str">
            <v>Batanes</v>
          </cell>
          <cell r="J400" t="str">
            <v>Itbayat</v>
          </cell>
          <cell r="K400" t="str">
            <v>Municipality</v>
          </cell>
          <cell r="M400" t="str">
            <v>5th</v>
          </cell>
          <cell r="T400" t="str">
            <v>No</v>
          </cell>
        </row>
        <row r="401">
          <cell r="B401" t="str">
            <v>Batanes</v>
          </cell>
          <cell r="J401" t="str">
            <v>Ivana</v>
          </cell>
          <cell r="K401" t="str">
            <v>Municipality</v>
          </cell>
          <cell r="M401" t="str">
            <v>6th</v>
          </cell>
          <cell r="T401" t="str">
            <v>No</v>
          </cell>
        </row>
        <row r="402">
          <cell r="B402" t="str">
            <v>Batanes</v>
          </cell>
          <cell r="J402" t="str">
            <v>Mahatao</v>
          </cell>
          <cell r="K402" t="str">
            <v>Municipality</v>
          </cell>
          <cell r="M402" t="str">
            <v>6th</v>
          </cell>
          <cell r="T402" t="str">
            <v>No</v>
          </cell>
        </row>
        <row r="403">
          <cell r="B403" t="str">
            <v>Batanes</v>
          </cell>
          <cell r="J403" t="str">
            <v>Sabtang</v>
          </cell>
          <cell r="K403" t="str">
            <v>Municipality</v>
          </cell>
          <cell r="M403" t="str">
            <v>6th</v>
          </cell>
          <cell r="T403" t="str">
            <v>No</v>
          </cell>
        </row>
        <row r="404">
          <cell r="B404" t="str">
            <v>Batanes</v>
          </cell>
          <cell r="J404" t="str">
            <v>Uyugan</v>
          </cell>
          <cell r="K404" t="str">
            <v>Municipality</v>
          </cell>
          <cell r="M404" t="str">
            <v>6th</v>
          </cell>
          <cell r="T404" t="str">
            <v>No</v>
          </cell>
        </row>
        <row r="405">
          <cell r="B405" t="str">
            <v>Cagayan</v>
          </cell>
          <cell r="J405" t="str">
            <v>Abulug</v>
          </cell>
          <cell r="K405" t="str">
            <v>Municipality</v>
          </cell>
          <cell r="M405" t="str">
            <v>3rd</v>
          </cell>
          <cell r="T405" t="str">
            <v>Yes</v>
          </cell>
        </row>
        <row r="406">
          <cell r="B406" t="str">
            <v>Cagayan</v>
          </cell>
          <cell r="J406" t="str">
            <v>Alcala</v>
          </cell>
          <cell r="K406" t="str">
            <v>Municipality</v>
          </cell>
          <cell r="M406" t="str">
            <v>3rd</v>
          </cell>
          <cell r="T406" t="str">
            <v>Yes</v>
          </cell>
        </row>
        <row r="407">
          <cell r="B407" t="str">
            <v>Cagayan</v>
          </cell>
          <cell r="J407" t="str">
            <v>Allacapan</v>
          </cell>
          <cell r="K407" t="str">
            <v>Municipality</v>
          </cell>
          <cell r="M407" t="str">
            <v>3rd</v>
          </cell>
          <cell r="T407" t="str">
            <v>Yes</v>
          </cell>
        </row>
        <row r="408">
          <cell r="B408" t="str">
            <v>Cagayan</v>
          </cell>
          <cell r="J408" t="str">
            <v>Amulung</v>
          </cell>
          <cell r="K408" t="str">
            <v>Municipality</v>
          </cell>
          <cell r="M408" t="str">
            <v>2nd</v>
          </cell>
          <cell r="T408" t="str">
            <v>Yes</v>
          </cell>
        </row>
        <row r="409">
          <cell r="B409" t="str">
            <v>Cagayan</v>
          </cell>
          <cell r="J409" t="str">
            <v>Aparri</v>
          </cell>
          <cell r="K409" t="str">
            <v>Municipality</v>
          </cell>
          <cell r="M409" t="str">
            <v>1st</v>
          </cell>
          <cell r="T409" t="str">
            <v>Yes</v>
          </cell>
        </row>
        <row r="410">
          <cell r="B410" t="str">
            <v>Cagayan</v>
          </cell>
          <cell r="J410" t="str">
            <v>Baggao</v>
          </cell>
          <cell r="K410" t="str">
            <v>Municipality</v>
          </cell>
          <cell r="M410" t="str">
            <v>1st</v>
          </cell>
          <cell r="T410" t="str">
            <v>Yes</v>
          </cell>
        </row>
        <row r="411">
          <cell r="B411" t="str">
            <v>Cagayan</v>
          </cell>
          <cell r="J411" t="str">
            <v>Ballesteros</v>
          </cell>
          <cell r="K411" t="str">
            <v>Municipality</v>
          </cell>
          <cell r="M411" t="str">
            <v>4th</v>
          </cell>
          <cell r="T411" t="str">
            <v>Yes</v>
          </cell>
        </row>
        <row r="412">
          <cell r="B412" t="str">
            <v>Cagayan</v>
          </cell>
          <cell r="J412" t="str">
            <v>Buguey</v>
          </cell>
          <cell r="K412" t="str">
            <v>Municipality</v>
          </cell>
          <cell r="M412" t="str">
            <v>3rd</v>
          </cell>
          <cell r="T412" t="str">
            <v>Yes</v>
          </cell>
        </row>
        <row r="413">
          <cell r="B413" t="str">
            <v>Cagayan</v>
          </cell>
          <cell r="J413" t="str">
            <v>Calayan</v>
          </cell>
          <cell r="K413" t="str">
            <v>Municipality</v>
          </cell>
          <cell r="M413" t="str">
            <v>3rd</v>
          </cell>
          <cell r="T413" t="str">
            <v>Yes</v>
          </cell>
        </row>
        <row r="414">
          <cell r="B414" t="str">
            <v>Cagayan</v>
          </cell>
          <cell r="J414" t="str">
            <v>Camalaniugan</v>
          </cell>
          <cell r="K414" t="str">
            <v>Municipality</v>
          </cell>
          <cell r="M414" t="str">
            <v>4th</v>
          </cell>
          <cell r="T414" t="str">
            <v>Yes</v>
          </cell>
        </row>
        <row r="415">
          <cell r="B415" t="str">
            <v>Cagayan</v>
          </cell>
          <cell r="J415" t="str">
            <v>Claveria</v>
          </cell>
          <cell r="K415" t="str">
            <v>Municipality</v>
          </cell>
          <cell r="M415" t="str">
            <v>3rd</v>
          </cell>
          <cell r="T415" t="str">
            <v>Yes</v>
          </cell>
        </row>
        <row r="416">
          <cell r="B416" t="str">
            <v>Cagayan</v>
          </cell>
          <cell r="J416" t="str">
            <v>Enrile</v>
          </cell>
          <cell r="K416" t="str">
            <v>Municipality</v>
          </cell>
          <cell r="M416" t="str">
            <v>3rd</v>
          </cell>
          <cell r="T416" t="str">
            <v>Yes</v>
          </cell>
        </row>
        <row r="417">
          <cell r="B417" t="str">
            <v>Cagayan</v>
          </cell>
          <cell r="J417" t="str">
            <v>Gattaran</v>
          </cell>
          <cell r="K417" t="str">
            <v>Municipality</v>
          </cell>
          <cell r="M417" t="str">
            <v>1st</v>
          </cell>
          <cell r="T417" t="str">
            <v>Yes</v>
          </cell>
        </row>
        <row r="418">
          <cell r="B418" t="str">
            <v>Cagayan</v>
          </cell>
          <cell r="J418" t="str">
            <v>Gonzaga</v>
          </cell>
          <cell r="K418" t="str">
            <v>Municipality</v>
          </cell>
          <cell r="M418" t="str">
            <v>1st</v>
          </cell>
          <cell r="T418" t="str">
            <v>Yes</v>
          </cell>
        </row>
        <row r="419">
          <cell r="B419" t="str">
            <v>Cagayan</v>
          </cell>
          <cell r="J419" t="str">
            <v>Iguig</v>
          </cell>
          <cell r="K419" t="str">
            <v>Municipality</v>
          </cell>
          <cell r="M419" t="str">
            <v>4th</v>
          </cell>
          <cell r="T419" t="str">
            <v>Yes</v>
          </cell>
        </row>
        <row r="420">
          <cell r="B420" t="str">
            <v>Cagayan</v>
          </cell>
          <cell r="J420" t="str">
            <v>Lal-Lo</v>
          </cell>
          <cell r="K420" t="str">
            <v>Municipality</v>
          </cell>
          <cell r="M420" t="str">
            <v>1st</v>
          </cell>
          <cell r="T420" t="str">
            <v>Yes</v>
          </cell>
        </row>
        <row r="421">
          <cell r="B421" t="str">
            <v>Cagayan</v>
          </cell>
          <cell r="J421" t="str">
            <v>Lasam</v>
          </cell>
          <cell r="K421" t="str">
            <v>Municipality</v>
          </cell>
          <cell r="M421" t="str">
            <v>3rd</v>
          </cell>
          <cell r="T421" t="str">
            <v>Yes</v>
          </cell>
        </row>
        <row r="422">
          <cell r="B422" t="str">
            <v>Cagayan</v>
          </cell>
          <cell r="J422" t="str">
            <v>Pamplona</v>
          </cell>
          <cell r="K422" t="str">
            <v>Municipality</v>
          </cell>
          <cell r="M422" t="str">
            <v>4th</v>
          </cell>
          <cell r="T422" t="str">
            <v>Yes</v>
          </cell>
        </row>
        <row r="423">
          <cell r="B423" t="str">
            <v>Cagayan</v>
          </cell>
          <cell r="J423" t="str">
            <v>Peñablanca</v>
          </cell>
          <cell r="K423" t="str">
            <v>Municipality</v>
          </cell>
          <cell r="M423" t="str">
            <v>1st</v>
          </cell>
          <cell r="T423" t="str">
            <v>Yes</v>
          </cell>
        </row>
        <row r="424">
          <cell r="B424" t="str">
            <v>Cagayan</v>
          </cell>
          <cell r="J424" t="str">
            <v>Piat</v>
          </cell>
          <cell r="K424" t="str">
            <v>Municipality</v>
          </cell>
          <cell r="M424" t="str">
            <v>4th</v>
          </cell>
          <cell r="T424" t="str">
            <v>Yes</v>
          </cell>
        </row>
        <row r="425">
          <cell r="B425" t="str">
            <v>Cagayan</v>
          </cell>
          <cell r="J425" t="str">
            <v>Rizal</v>
          </cell>
          <cell r="K425" t="str">
            <v>Municipality</v>
          </cell>
          <cell r="M425" t="str">
            <v>5th</v>
          </cell>
          <cell r="T425" t="str">
            <v>Yes</v>
          </cell>
        </row>
        <row r="426">
          <cell r="B426" t="str">
            <v>Cagayan</v>
          </cell>
          <cell r="J426" t="str">
            <v>Sanchez-Mira</v>
          </cell>
          <cell r="K426" t="str">
            <v>Municipality</v>
          </cell>
          <cell r="M426" t="str">
            <v>3rd</v>
          </cell>
          <cell r="T426" t="str">
            <v>Yes</v>
          </cell>
        </row>
        <row r="427">
          <cell r="B427" t="str">
            <v>Cagayan</v>
          </cell>
          <cell r="J427" t="str">
            <v>Santa Ana</v>
          </cell>
          <cell r="K427" t="str">
            <v>Municipality</v>
          </cell>
          <cell r="M427" t="str">
            <v>2nd</v>
          </cell>
          <cell r="T427" t="str">
            <v>Yes</v>
          </cell>
        </row>
        <row r="428">
          <cell r="B428" t="str">
            <v>Cagayan</v>
          </cell>
          <cell r="J428" t="str">
            <v>Santa Praxedes</v>
          </cell>
          <cell r="K428" t="str">
            <v>Municipality</v>
          </cell>
          <cell r="M428" t="str">
            <v>5th</v>
          </cell>
          <cell r="T428" t="str">
            <v>Yes</v>
          </cell>
        </row>
        <row r="429">
          <cell r="B429" t="str">
            <v>Cagayan</v>
          </cell>
          <cell r="J429" t="str">
            <v>Santa Teresita</v>
          </cell>
          <cell r="K429" t="str">
            <v>Municipality</v>
          </cell>
          <cell r="M429" t="str">
            <v>4th</v>
          </cell>
          <cell r="T429" t="str">
            <v>Yes</v>
          </cell>
        </row>
        <row r="430">
          <cell r="B430" t="str">
            <v>Cagayan</v>
          </cell>
          <cell r="J430" t="str">
            <v>Santo Niño (Faire)</v>
          </cell>
          <cell r="K430" t="str">
            <v>Municipality</v>
          </cell>
          <cell r="M430" t="str">
            <v>2nd</v>
          </cell>
          <cell r="T430" t="str">
            <v>Yes</v>
          </cell>
        </row>
        <row r="431">
          <cell r="B431" t="str">
            <v>Cagayan</v>
          </cell>
          <cell r="J431" t="str">
            <v>Solana</v>
          </cell>
          <cell r="K431" t="str">
            <v>Municipality</v>
          </cell>
          <cell r="M431" t="str">
            <v>1st</v>
          </cell>
          <cell r="T431" t="str">
            <v>Yes</v>
          </cell>
        </row>
        <row r="432">
          <cell r="B432" t="str">
            <v>Cagayan</v>
          </cell>
          <cell r="J432" t="str">
            <v>Tuao</v>
          </cell>
          <cell r="K432" t="str">
            <v>Municipality</v>
          </cell>
          <cell r="M432" t="str">
            <v>1st</v>
          </cell>
          <cell r="T432" t="str">
            <v>Yes</v>
          </cell>
        </row>
        <row r="433">
          <cell r="B433" t="str">
            <v>Cagayan</v>
          </cell>
          <cell r="J433" t="str">
            <v>Tuguegarao City (Capital)</v>
          </cell>
          <cell r="K433" t="str">
            <v>City</v>
          </cell>
          <cell r="M433" t="str">
            <v>3rd</v>
          </cell>
          <cell r="T433" t="str">
            <v>Yes</v>
          </cell>
        </row>
        <row r="434">
          <cell r="B434" t="str">
            <v>Isabela</v>
          </cell>
          <cell r="J434" t="str">
            <v>Alicia</v>
          </cell>
          <cell r="K434" t="str">
            <v>Municipality</v>
          </cell>
          <cell r="M434" t="str">
            <v>1st</v>
          </cell>
          <cell r="T434" t="str">
            <v>Yes</v>
          </cell>
        </row>
        <row r="435">
          <cell r="B435" t="str">
            <v>Isabela</v>
          </cell>
          <cell r="J435" t="str">
            <v>Angadanan</v>
          </cell>
          <cell r="K435" t="str">
            <v>Municipality</v>
          </cell>
          <cell r="M435" t="str">
            <v>3rd</v>
          </cell>
          <cell r="T435" t="str">
            <v>Yes</v>
          </cell>
        </row>
        <row r="436">
          <cell r="B436" t="str">
            <v>Isabela</v>
          </cell>
          <cell r="J436" t="str">
            <v>Aurora</v>
          </cell>
          <cell r="K436" t="str">
            <v>Municipality</v>
          </cell>
          <cell r="M436" t="str">
            <v>3rd</v>
          </cell>
          <cell r="T436" t="str">
            <v>Yes</v>
          </cell>
        </row>
        <row r="437">
          <cell r="B437" t="str">
            <v>Isabela</v>
          </cell>
          <cell r="J437" t="str">
            <v>Benito Soliven</v>
          </cell>
          <cell r="K437" t="str">
            <v>Municipality</v>
          </cell>
          <cell r="M437" t="str">
            <v>4th</v>
          </cell>
          <cell r="T437" t="str">
            <v>Yes</v>
          </cell>
        </row>
        <row r="438">
          <cell r="B438" t="str">
            <v>Isabela</v>
          </cell>
          <cell r="J438" t="str">
            <v>Burgos</v>
          </cell>
          <cell r="K438" t="str">
            <v>Municipality</v>
          </cell>
          <cell r="M438" t="str">
            <v>4th</v>
          </cell>
          <cell r="T438" t="str">
            <v>Yes</v>
          </cell>
        </row>
        <row r="439">
          <cell r="B439" t="str">
            <v>Isabela</v>
          </cell>
          <cell r="J439" t="str">
            <v>Cabagan</v>
          </cell>
          <cell r="K439" t="str">
            <v>Municipality</v>
          </cell>
          <cell r="M439" t="str">
            <v>1st</v>
          </cell>
          <cell r="T439" t="str">
            <v>Yes</v>
          </cell>
        </row>
        <row r="440">
          <cell r="B440" t="str">
            <v>Isabela</v>
          </cell>
          <cell r="J440" t="str">
            <v>Cabatuan</v>
          </cell>
          <cell r="K440" t="str">
            <v>Municipality</v>
          </cell>
          <cell r="M440" t="str">
            <v>3rd</v>
          </cell>
          <cell r="T440" t="str">
            <v>Yes</v>
          </cell>
        </row>
        <row r="441">
          <cell r="B441" t="str">
            <v>Isabela</v>
          </cell>
          <cell r="J441" t="str">
            <v>City Of Cauayan</v>
          </cell>
          <cell r="K441" t="str">
            <v>City</v>
          </cell>
          <cell r="M441" t="str">
            <v>3rd</v>
          </cell>
          <cell r="T441" t="str">
            <v>Yes</v>
          </cell>
        </row>
        <row r="442">
          <cell r="B442" t="str">
            <v>Isabela</v>
          </cell>
          <cell r="J442" t="str">
            <v>City Of Santiago</v>
          </cell>
          <cell r="K442" t="str">
            <v>City</v>
          </cell>
          <cell r="M442" t="str">
            <v>1st</v>
          </cell>
          <cell r="T442" t="str">
            <v>Yes</v>
          </cell>
        </row>
        <row r="443">
          <cell r="B443" t="str">
            <v>Isabela</v>
          </cell>
          <cell r="J443" t="str">
            <v>Cordon</v>
          </cell>
          <cell r="K443" t="str">
            <v>Municipality</v>
          </cell>
          <cell r="M443" t="str">
            <v>3rd</v>
          </cell>
          <cell r="T443" t="str">
            <v>Yes</v>
          </cell>
        </row>
        <row r="444">
          <cell r="B444" t="str">
            <v>Isabela</v>
          </cell>
          <cell r="J444" t="str">
            <v>Delfin Albano (Magsaysay)</v>
          </cell>
          <cell r="K444" t="str">
            <v>Municipality</v>
          </cell>
          <cell r="M444" t="str">
            <v>4th</v>
          </cell>
          <cell r="T444" t="str">
            <v>Yes</v>
          </cell>
        </row>
        <row r="445">
          <cell r="B445" t="str">
            <v>Isabela</v>
          </cell>
          <cell r="J445" t="str">
            <v>Dinapigue</v>
          </cell>
          <cell r="K445" t="str">
            <v>Municipality</v>
          </cell>
          <cell r="M445" t="str">
            <v>1st</v>
          </cell>
          <cell r="T445" t="str">
            <v>Yes</v>
          </cell>
        </row>
        <row r="446">
          <cell r="B446" t="str">
            <v>Isabela</v>
          </cell>
          <cell r="J446" t="str">
            <v>Divilacan</v>
          </cell>
          <cell r="K446" t="str">
            <v>Municipality</v>
          </cell>
          <cell r="M446" t="str">
            <v>2nd</v>
          </cell>
          <cell r="T446" t="str">
            <v>Yes</v>
          </cell>
        </row>
        <row r="447">
          <cell r="B447" t="str">
            <v>Isabela</v>
          </cell>
          <cell r="J447" t="str">
            <v>Echague</v>
          </cell>
          <cell r="K447" t="str">
            <v>Municipality</v>
          </cell>
          <cell r="M447" t="str">
            <v>1st</v>
          </cell>
          <cell r="T447" t="str">
            <v>Yes</v>
          </cell>
        </row>
        <row r="448">
          <cell r="B448" t="str">
            <v>Isabela</v>
          </cell>
          <cell r="J448" t="str">
            <v>Gamu</v>
          </cell>
          <cell r="K448" t="str">
            <v>Municipality</v>
          </cell>
          <cell r="M448" t="str">
            <v>4th</v>
          </cell>
          <cell r="T448" t="str">
            <v>Yes</v>
          </cell>
        </row>
        <row r="449">
          <cell r="B449" t="str">
            <v>Isabela</v>
          </cell>
          <cell r="J449" t="str">
            <v>Ilagan City (Capital)</v>
          </cell>
          <cell r="K449" t="str">
            <v>City</v>
          </cell>
          <cell r="M449" t="str">
            <v>-</v>
          </cell>
          <cell r="T449" t="str">
            <v>Yes</v>
          </cell>
        </row>
        <row r="450">
          <cell r="B450" t="str">
            <v>Isabela</v>
          </cell>
          <cell r="J450" t="str">
            <v>Jones</v>
          </cell>
          <cell r="K450" t="str">
            <v>Municipality</v>
          </cell>
          <cell r="M450" t="str">
            <v>1st</v>
          </cell>
          <cell r="T450" t="str">
            <v>Yes</v>
          </cell>
        </row>
        <row r="451">
          <cell r="B451" t="str">
            <v>Isabela</v>
          </cell>
          <cell r="J451" t="str">
            <v>Luna</v>
          </cell>
          <cell r="K451" t="str">
            <v>Municipality</v>
          </cell>
          <cell r="M451" t="str">
            <v>5th</v>
          </cell>
          <cell r="T451" t="str">
            <v>Yes</v>
          </cell>
        </row>
        <row r="452">
          <cell r="B452" t="str">
            <v>Isabela</v>
          </cell>
          <cell r="J452" t="str">
            <v>Maconacon</v>
          </cell>
          <cell r="K452" t="str">
            <v>Municipality</v>
          </cell>
          <cell r="M452" t="str">
            <v>3rd</v>
          </cell>
          <cell r="T452" t="str">
            <v>Yes</v>
          </cell>
        </row>
        <row r="453">
          <cell r="B453" t="str">
            <v>Isabela</v>
          </cell>
          <cell r="J453" t="str">
            <v>Mallig</v>
          </cell>
          <cell r="K453" t="str">
            <v>Municipality</v>
          </cell>
          <cell r="M453" t="str">
            <v>4th</v>
          </cell>
          <cell r="T453" t="str">
            <v>Yes</v>
          </cell>
        </row>
        <row r="454">
          <cell r="B454" t="str">
            <v>Isabela</v>
          </cell>
          <cell r="J454" t="str">
            <v>Naguilian</v>
          </cell>
          <cell r="K454" t="str">
            <v>Municipality</v>
          </cell>
          <cell r="M454" t="str">
            <v>4th</v>
          </cell>
          <cell r="T454" t="str">
            <v>Yes</v>
          </cell>
        </row>
        <row r="455">
          <cell r="B455" t="str">
            <v>Isabela</v>
          </cell>
          <cell r="J455" t="str">
            <v>Palanan</v>
          </cell>
          <cell r="K455" t="str">
            <v>Municipality</v>
          </cell>
          <cell r="M455" t="str">
            <v>1st</v>
          </cell>
          <cell r="T455" t="str">
            <v>Yes</v>
          </cell>
        </row>
        <row r="456">
          <cell r="B456" t="str">
            <v>Isabela</v>
          </cell>
          <cell r="J456" t="str">
            <v>Quezon</v>
          </cell>
          <cell r="K456" t="str">
            <v>Municipality</v>
          </cell>
          <cell r="M456" t="str">
            <v>4th</v>
          </cell>
          <cell r="T456" t="str">
            <v>Yes</v>
          </cell>
        </row>
        <row r="457">
          <cell r="B457" t="str">
            <v>Isabela</v>
          </cell>
          <cell r="J457" t="str">
            <v>Quirino</v>
          </cell>
          <cell r="K457" t="str">
            <v>Municipality</v>
          </cell>
          <cell r="M457" t="str">
            <v>4th</v>
          </cell>
          <cell r="T457" t="str">
            <v>Yes</v>
          </cell>
        </row>
        <row r="458">
          <cell r="B458" t="str">
            <v>Isabela</v>
          </cell>
          <cell r="J458" t="str">
            <v>Ramon</v>
          </cell>
          <cell r="K458" t="str">
            <v>Municipality</v>
          </cell>
          <cell r="M458" t="str">
            <v>2nd</v>
          </cell>
          <cell r="T458" t="str">
            <v>Yes</v>
          </cell>
        </row>
        <row r="459">
          <cell r="B459" t="str">
            <v>Isabela</v>
          </cell>
          <cell r="J459" t="str">
            <v>Reina Mercedes</v>
          </cell>
          <cell r="K459" t="str">
            <v>Municipality</v>
          </cell>
          <cell r="M459" t="str">
            <v>4th</v>
          </cell>
          <cell r="T459" t="str">
            <v>Yes</v>
          </cell>
        </row>
        <row r="460">
          <cell r="B460" t="str">
            <v>Isabela</v>
          </cell>
          <cell r="J460" t="str">
            <v>Roxas</v>
          </cell>
          <cell r="K460" t="str">
            <v>Municipality</v>
          </cell>
          <cell r="M460" t="str">
            <v>1st</v>
          </cell>
          <cell r="T460" t="str">
            <v>Yes</v>
          </cell>
        </row>
        <row r="461">
          <cell r="B461" t="str">
            <v>Isabela</v>
          </cell>
          <cell r="J461" t="str">
            <v>San Agustin</v>
          </cell>
          <cell r="K461" t="str">
            <v>Municipality</v>
          </cell>
          <cell r="M461" t="str">
            <v>3rd</v>
          </cell>
          <cell r="T461" t="str">
            <v>Yes</v>
          </cell>
        </row>
        <row r="462">
          <cell r="B462" t="str">
            <v>Isabela</v>
          </cell>
          <cell r="J462" t="str">
            <v>San Guillermo</v>
          </cell>
          <cell r="K462" t="str">
            <v>Municipality</v>
          </cell>
          <cell r="M462" t="str">
            <v>4th</v>
          </cell>
          <cell r="T462" t="str">
            <v>Yes</v>
          </cell>
        </row>
        <row r="463">
          <cell r="B463" t="str">
            <v>Isabela</v>
          </cell>
          <cell r="J463" t="str">
            <v>San Isidro</v>
          </cell>
          <cell r="K463" t="str">
            <v>Municipality</v>
          </cell>
          <cell r="M463" t="str">
            <v>5th</v>
          </cell>
          <cell r="T463" t="str">
            <v>Yes</v>
          </cell>
        </row>
        <row r="464">
          <cell r="B464" t="str">
            <v>Isabela</v>
          </cell>
          <cell r="J464" t="str">
            <v>San Manuel</v>
          </cell>
          <cell r="K464" t="str">
            <v>Municipality</v>
          </cell>
          <cell r="M464" t="str">
            <v>4th</v>
          </cell>
          <cell r="T464" t="str">
            <v>Yes</v>
          </cell>
        </row>
        <row r="465">
          <cell r="B465" t="str">
            <v>Isabela</v>
          </cell>
          <cell r="J465" t="str">
            <v>San Mariano</v>
          </cell>
          <cell r="K465" t="str">
            <v>Municipality</v>
          </cell>
          <cell r="M465" t="str">
            <v>1st</v>
          </cell>
          <cell r="T465" t="str">
            <v>Yes</v>
          </cell>
        </row>
        <row r="466">
          <cell r="B466" t="str">
            <v>Isabela</v>
          </cell>
          <cell r="J466" t="str">
            <v>San Mateo</v>
          </cell>
          <cell r="K466" t="str">
            <v>Municipality</v>
          </cell>
          <cell r="M466" t="str">
            <v>1st</v>
          </cell>
          <cell r="T466" t="str">
            <v>Yes</v>
          </cell>
        </row>
        <row r="467">
          <cell r="B467" t="str">
            <v>Isabela</v>
          </cell>
          <cell r="J467" t="str">
            <v>San Pablo</v>
          </cell>
          <cell r="K467" t="str">
            <v>Municipality</v>
          </cell>
          <cell r="M467" t="str">
            <v>2nd</v>
          </cell>
          <cell r="T467" t="str">
            <v>Yes</v>
          </cell>
        </row>
        <row r="468">
          <cell r="B468" t="str">
            <v>Isabela</v>
          </cell>
          <cell r="J468" t="str">
            <v>Santa Maria</v>
          </cell>
          <cell r="K468" t="str">
            <v>Municipality</v>
          </cell>
          <cell r="M468" t="str">
            <v>4th</v>
          </cell>
          <cell r="T468" t="str">
            <v>Yes</v>
          </cell>
        </row>
        <row r="469">
          <cell r="B469" t="str">
            <v>Isabela</v>
          </cell>
          <cell r="J469" t="str">
            <v>Santo Tomas</v>
          </cell>
          <cell r="K469" t="str">
            <v>Municipality</v>
          </cell>
          <cell r="M469" t="str">
            <v>4th</v>
          </cell>
          <cell r="T469" t="str">
            <v>Yes</v>
          </cell>
        </row>
        <row r="470">
          <cell r="B470" t="str">
            <v>Isabela</v>
          </cell>
          <cell r="J470" t="str">
            <v>Tumauini</v>
          </cell>
          <cell r="K470" t="str">
            <v>Municipality</v>
          </cell>
          <cell r="M470" t="str">
            <v>1st</v>
          </cell>
          <cell r="T470" t="str">
            <v>Yes</v>
          </cell>
        </row>
        <row r="471">
          <cell r="B471" t="str">
            <v>Nueva_Vizcaya</v>
          </cell>
          <cell r="J471" t="str">
            <v>Alfonso Castaneda</v>
          </cell>
          <cell r="K471" t="str">
            <v>Municipality</v>
          </cell>
          <cell r="M471" t="str">
            <v>1st</v>
          </cell>
          <cell r="T471" t="str">
            <v>No</v>
          </cell>
        </row>
        <row r="472">
          <cell r="B472" t="str">
            <v>Nueva_Vizcaya</v>
          </cell>
          <cell r="J472" t="str">
            <v>Ambaguio</v>
          </cell>
          <cell r="K472" t="str">
            <v>Municipality</v>
          </cell>
          <cell r="M472" t="str">
            <v>5th</v>
          </cell>
          <cell r="T472" t="str">
            <v>No</v>
          </cell>
        </row>
        <row r="473">
          <cell r="B473" t="str">
            <v>Nueva_Vizcaya</v>
          </cell>
          <cell r="J473" t="str">
            <v>Aritao</v>
          </cell>
          <cell r="K473" t="str">
            <v>Municipality</v>
          </cell>
          <cell r="M473" t="str">
            <v>2nd</v>
          </cell>
          <cell r="T473" t="str">
            <v>No</v>
          </cell>
        </row>
        <row r="474">
          <cell r="B474" t="str">
            <v>Nueva_Vizcaya</v>
          </cell>
          <cell r="J474" t="str">
            <v>Bagabag</v>
          </cell>
          <cell r="K474" t="str">
            <v>Municipality</v>
          </cell>
          <cell r="M474" t="str">
            <v>2nd</v>
          </cell>
          <cell r="T474" t="str">
            <v>No</v>
          </cell>
        </row>
        <row r="475">
          <cell r="B475" t="str">
            <v>Nueva_Vizcaya</v>
          </cell>
          <cell r="J475" t="str">
            <v>Bambang</v>
          </cell>
          <cell r="K475" t="str">
            <v>Municipality</v>
          </cell>
          <cell r="M475" t="str">
            <v>1st</v>
          </cell>
          <cell r="T475" t="str">
            <v>No</v>
          </cell>
        </row>
        <row r="476">
          <cell r="B476" t="str">
            <v>Nueva_Vizcaya</v>
          </cell>
          <cell r="J476" t="str">
            <v>Bayombong (Capital)</v>
          </cell>
          <cell r="K476" t="str">
            <v>Municipality</v>
          </cell>
          <cell r="M476" t="str">
            <v>1st</v>
          </cell>
          <cell r="T476" t="str">
            <v>No</v>
          </cell>
        </row>
        <row r="477">
          <cell r="B477" t="str">
            <v>Nueva_Vizcaya</v>
          </cell>
          <cell r="J477" t="str">
            <v>Diadi</v>
          </cell>
          <cell r="K477" t="str">
            <v>Municipality</v>
          </cell>
          <cell r="M477" t="str">
            <v>4th</v>
          </cell>
          <cell r="T477" t="str">
            <v>No</v>
          </cell>
        </row>
        <row r="478">
          <cell r="B478" t="str">
            <v>Nueva_Vizcaya</v>
          </cell>
          <cell r="J478" t="str">
            <v>Dupax Del Norte</v>
          </cell>
          <cell r="K478" t="str">
            <v>Municipality</v>
          </cell>
          <cell r="M478" t="str">
            <v>3rd</v>
          </cell>
          <cell r="T478" t="str">
            <v>No</v>
          </cell>
        </row>
        <row r="479">
          <cell r="B479" t="str">
            <v>Nueva_Vizcaya</v>
          </cell>
          <cell r="J479" t="str">
            <v>Dupax Del Sur</v>
          </cell>
          <cell r="K479" t="str">
            <v>Municipality</v>
          </cell>
          <cell r="M479" t="str">
            <v>2nd</v>
          </cell>
          <cell r="T479" t="str">
            <v>No</v>
          </cell>
        </row>
        <row r="480">
          <cell r="B480" t="str">
            <v>Nueva_Vizcaya</v>
          </cell>
          <cell r="J480" t="str">
            <v>Kasibu</v>
          </cell>
          <cell r="K480" t="str">
            <v>Municipality</v>
          </cell>
          <cell r="M480" t="str">
            <v>3rd</v>
          </cell>
          <cell r="T480" t="str">
            <v>No</v>
          </cell>
        </row>
        <row r="481">
          <cell r="B481" t="str">
            <v>Nueva_Vizcaya</v>
          </cell>
          <cell r="J481" t="str">
            <v>Kayapa</v>
          </cell>
          <cell r="K481" t="str">
            <v>Municipality</v>
          </cell>
          <cell r="M481" t="str">
            <v>3rd</v>
          </cell>
          <cell r="T481" t="str">
            <v>No</v>
          </cell>
        </row>
        <row r="482">
          <cell r="B482" t="str">
            <v>Nueva_Vizcaya</v>
          </cell>
          <cell r="J482" t="str">
            <v>Quezon</v>
          </cell>
          <cell r="K482" t="str">
            <v>Municipality</v>
          </cell>
          <cell r="M482" t="str">
            <v>4th</v>
          </cell>
          <cell r="T482" t="str">
            <v>No</v>
          </cell>
        </row>
        <row r="483">
          <cell r="B483" t="str">
            <v>Nueva_Vizcaya</v>
          </cell>
          <cell r="J483" t="str">
            <v>Santa Fe</v>
          </cell>
          <cell r="K483" t="str">
            <v>Municipality</v>
          </cell>
          <cell r="M483" t="str">
            <v>3rd</v>
          </cell>
          <cell r="T483" t="str">
            <v>No</v>
          </cell>
        </row>
        <row r="484">
          <cell r="B484" t="str">
            <v>Nueva_Vizcaya</v>
          </cell>
          <cell r="J484" t="str">
            <v>Solano</v>
          </cell>
          <cell r="K484" t="str">
            <v>Municipality</v>
          </cell>
          <cell r="M484" t="str">
            <v>1st</v>
          </cell>
          <cell r="T484" t="str">
            <v>No</v>
          </cell>
        </row>
        <row r="485">
          <cell r="B485" t="str">
            <v>Nueva_Vizcaya</v>
          </cell>
          <cell r="J485" t="str">
            <v>Villaverde</v>
          </cell>
          <cell r="K485" t="str">
            <v>Municipality</v>
          </cell>
          <cell r="M485" t="str">
            <v>5th</v>
          </cell>
          <cell r="T485" t="str">
            <v>No</v>
          </cell>
        </row>
        <row r="486">
          <cell r="B486" t="str">
            <v>Quirino</v>
          </cell>
          <cell r="J486" t="str">
            <v>Aglipay</v>
          </cell>
          <cell r="K486" t="str">
            <v>Municipality</v>
          </cell>
          <cell r="M486" t="str">
            <v>3rd</v>
          </cell>
          <cell r="T486" t="str">
            <v>No</v>
          </cell>
        </row>
        <row r="487">
          <cell r="B487" t="str">
            <v>Quirino</v>
          </cell>
          <cell r="J487" t="str">
            <v>Cabarroguis (Capital)</v>
          </cell>
          <cell r="K487" t="str">
            <v>Municipality</v>
          </cell>
          <cell r="M487" t="str">
            <v>3rd</v>
          </cell>
          <cell r="T487" t="str">
            <v>No</v>
          </cell>
        </row>
        <row r="488">
          <cell r="B488" t="str">
            <v>Quirino</v>
          </cell>
          <cell r="J488" t="str">
            <v>Diffun</v>
          </cell>
          <cell r="K488" t="str">
            <v>Municipality</v>
          </cell>
          <cell r="M488" t="str">
            <v>2nd</v>
          </cell>
          <cell r="T488" t="str">
            <v>No</v>
          </cell>
        </row>
        <row r="489">
          <cell r="B489" t="str">
            <v>Quirino</v>
          </cell>
          <cell r="J489" t="str">
            <v>Maddela</v>
          </cell>
          <cell r="K489" t="str">
            <v>Municipality</v>
          </cell>
          <cell r="M489" t="str">
            <v>1st</v>
          </cell>
          <cell r="T489" t="str">
            <v>No</v>
          </cell>
        </row>
        <row r="490">
          <cell r="B490" t="str">
            <v>Quirino</v>
          </cell>
          <cell r="J490" t="str">
            <v>Nagtipunan</v>
          </cell>
          <cell r="K490" t="str">
            <v>Municipality</v>
          </cell>
          <cell r="M490" t="str">
            <v>1st</v>
          </cell>
          <cell r="T490" t="str">
            <v>No</v>
          </cell>
        </row>
        <row r="491">
          <cell r="B491" t="str">
            <v>Quirino</v>
          </cell>
          <cell r="J491" t="str">
            <v>Saguday</v>
          </cell>
          <cell r="K491" t="str">
            <v>Municipality</v>
          </cell>
          <cell r="M491" t="str">
            <v>5th</v>
          </cell>
          <cell r="T491" t="str">
            <v>No</v>
          </cell>
        </row>
        <row r="492">
          <cell r="B492" t="str">
            <v>Aurora</v>
          </cell>
          <cell r="J492" t="str">
            <v>Baler (Capital)</v>
          </cell>
          <cell r="K492" t="str">
            <v>Municipality</v>
          </cell>
          <cell r="M492" t="str">
            <v>3rd</v>
          </cell>
          <cell r="T492" t="str">
            <v>No</v>
          </cell>
        </row>
        <row r="493">
          <cell r="B493" t="str">
            <v>Aurora</v>
          </cell>
          <cell r="J493" t="str">
            <v>Casiguran</v>
          </cell>
          <cell r="K493" t="str">
            <v>Municipality</v>
          </cell>
          <cell r="M493" t="str">
            <v>2nd</v>
          </cell>
          <cell r="T493" t="str">
            <v>No</v>
          </cell>
        </row>
        <row r="494">
          <cell r="B494" t="str">
            <v>Aurora</v>
          </cell>
          <cell r="J494" t="str">
            <v>Dilasag</v>
          </cell>
          <cell r="K494" t="str">
            <v>Municipality</v>
          </cell>
          <cell r="M494" t="str">
            <v>3rd</v>
          </cell>
          <cell r="T494" t="str">
            <v>No</v>
          </cell>
        </row>
        <row r="495">
          <cell r="B495" t="str">
            <v>Aurora</v>
          </cell>
          <cell r="J495" t="str">
            <v>Dinalungan</v>
          </cell>
          <cell r="K495" t="str">
            <v>Municipality</v>
          </cell>
          <cell r="M495" t="str">
            <v>4th</v>
          </cell>
          <cell r="T495" t="str">
            <v>No</v>
          </cell>
        </row>
        <row r="496">
          <cell r="B496" t="str">
            <v>Aurora</v>
          </cell>
          <cell r="J496" t="str">
            <v>Dingalan</v>
          </cell>
          <cell r="K496" t="str">
            <v>Municipality</v>
          </cell>
          <cell r="M496" t="str">
            <v>3rd</v>
          </cell>
          <cell r="T496" t="str">
            <v>No</v>
          </cell>
        </row>
        <row r="497">
          <cell r="B497" t="str">
            <v>Aurora</v>
          </cell>
          <cell r="J497" t="str">
            <v>Dipaculao</v>
          </cell>
          <cell r="K497" t="str">
            <v>Municipality</v>
          </cell>
          <cell r="M497" t="str">
            <v>3rd</v>
          </cell>
          <cell r="T497" t="str">
            <v>No</v>
          </cell>
        </row>
        <row r="498">
          <cell r="B498" t="str">
            <v>Aurora</v>
          </cell>
          <cell r="J498" t="str">
            <v>Maria Aurora</v>
          </cell>
          <cell r="K498" t="str">
            <v>Municipality</v>
          </cell>
          <cell r="M498" t="str">
            <v>2nd</v>
          </cell>
          <cell r="T498" t="str">
            <v>No</v>
          </cell>
        </row>
        <row r="499">
          <cell r="B499" t="str">
            <v>Aurora</v>
          </cell>
          <cell r="J499" t="str">
            <v>San Luis</v>
          </cell>
          <cell r="K499" t="str">
            <v>Municipality</v>
          </cell>
          <cell r="M499" t="str">
            <v>2nd</v>
          </cell>
          <cell r="T499" t="str">
            <v>No</v>
          </cell>
        </row>
        <row r="500">
          <cell r="B500" t="str">
            <v>Bataan</v>
          </cell>
          <cell r="J500" t="str">
            <v>Abucay</v>
          </cell>
          <cell r="K500" t="str">
            <v>Municipality</v>
          </cell>
          <cell r="M500" t="str">
            <v>3rd</v>
          </cell>
          <cell r="T500" t="str">
            <v>Yes</v>
          </cell>
        </row>
        <row r="501">
          <cell r="B501" t="str">
            <v>Bataan</v>
          </cell>
          <cell r="J501" t="str">
            <v>Bagac</v>
          </cell>
          <cell r="K501" t="str">
            <v>Municipality</v>
          </cell>
          <cell r="M501" t="str">
            <v>3rd</v>
          </cell>
          <cell r="T501" t="str">
            <v>Yes</v>
          </cell>
        </row>
        <row r="502">
          <cell r="B502" t="str">
            <v>Bataan</v>
          </cell>
          <cell r="J502" t="str">
            <v>City Of Balanga (Capital)</v>
          </cell>
          <cell r="K502" t="str">
            <v>City</v>
          </cell>
          <cell r="M502" t="str">
            <v>4th</v>
          </cell>
          <cell r="T502" t="str">
            <v>Yes</v>
          </cell>
        </row>
        <row r="503">
          <cell r="B503" t="str">
            <v>Bataan</v>
          </cell>
          <cell r="J503" t="str">
            <v>Dinalupihan</v>
          </cell>
          <cell r="K503" t="str">
            <v>Municipality</v>
          </cell>
          <cell r="M503" t="str">
            <v>1st</v>
          </cell>
          <cell r="T503" t="str">
            <v>Yes</v>
          </cell>
        </row>
        <row r="504">
          <cell r="B504" t="str">
            <v>Bataan</v>
          </cell>
          <cell r="J504" t="str">
            <v>Hermosa</v>
          </cell>
          <cell r="K504" t="str">
            <v>Municipality</v>
          </cell>
          <cell r="M504" t="str">
            <v>1st</v>
          </cell>
          <cell r="T504" t="str">
            <v>Yes</v>
          </cell>
        </row>
        <row r="505">
          <cell r="B505" t="str">
            <v>Bataan</v>
          </cell>
          <cell r="J505" t="str">
            <v>Limay</v>
          </cell>
          <cell r="K505" t="str">
            <v>Municipality</v>
          </cell>
          <cell r="M505" t="str">
            <v>1st</v>
          </cell>
          <cell r="T505" t="str">
            <v>Yes</v>
          </cell>
        </row>
        <row r="506">
          <cell r="B506" t="str">
            <v>Bataan</v>
          </cell>
          <cell r="J506" t="str">
            <v>Mariveles</v>
          </cell>
          <cell r="K506" t="str">
            <v>Municipality</v>
          </cell>
          <cell r="M506" t="str">
            <v>1st</v>
          </cell>
          <cell r="T506" t="str">
            <v>Yes</v>
          </cell>
        </row>
        <row r="507">
          <cell r="B507" t="str">
            <v>Bataan</v>
          </cell>
          <cell r="J507" t="str">
            <v>Morong</v>
          </cell>
          <cell r="K507" t="str">
            <v>Municipality</v>
          </cell>
          <cell r="M507" t="str">
            <v>3rd</v>
          </cell>
          <cell r="T507" t="str">
            <v>Yes</v>
          </cell>
        </row>
        <row r="508">
          <cell r="B508" t="str">
            <v>Bataan</v>
          </cell>
          <cell r="J508" t="str">
            <v>Orani</v>
          </cell>
          <cell r="K508" t="str">
            <v>Municipality</v>
          </cell>
          <cell r="M508" t="str">
            <v>1st</v>
          </cell>
          <cell r="T508" t="str">
            <v>Yes</v>
          </cell>
        </row>
        <row r="509">
          <cell r="B509" t="str">
            <v>Bataan</v>
          </cell>
          <cell r="J509" t="str">
            <v>Orion</v>
          </cell>
          <cell r="K509" t="str">
            <v>Municipality</v>
          </cell>
          <cell r="M509" t="str">
            <v>2nd</v>
          </cell>
          <cell r="T509" t="str">
            <v>Yes</v>
          </cell>
        </row>
        <row r="510">
          <cell r="B510" t="str">
            <v>Bataan</v>
          </cell>
          <cell r="J510" t="str">
            <v>Pilar</v>
          </cell>
          <cell r="K510" t="str">
            <v>Municipality</v>
          </cell>
          <cell r="M510" t="str">
            <v>3rd</v>
          </cell>
          <cell r="T510" t="str">
            <v>Yes</v>
          </cell>
        </row>
        <row r="511">
          <cell r="B511" t="str">
            <v>Bataan</v>
          </cell>
          <cell r="J511" t="str">
            <v>Samal</v>
          </cell>
          <cell r="K511" t="str">
            <v>Municipality</v>
          </cell>
          <cell r="M511" t="str">
            <v>4th</v>
          </cell>
          <cell r="T511" t="str">
            <v>Yes</v>
          </cell>
        </row>
        <row r="512">
          <cell r="B512" t="str">
            <v>Bulacan</v>
          </cell>
          <cell r="J512" t="str">
            <v>Angat</v>
          </cell>
          <cell r="K512" t="str">
            <v>Municipality</v>
          </cell>
          <cell r="M512" t="str">
            <v>1st</v>
          </cell>
          <cell r="T512" t="str">
            <v>Yes</v>
          </cell>
        </row>
        <row r="513">
          <cell r="B513" t="str">
            <v>Bulacan</v>
          </cell>
          <cell r="J513" t="str">
            <v>Balagtas (Bigaa)</v>
          </cell>
          <cell r="K513" t="str">
            <v>Municipality</v>
          </cell>
          <cell r="M513" t="str">
            <v>1st</v>
          </cell>
          <cell r="T513" t="str">
            <v>Yes</v>
          </cell>
        </row>
        <row r="514">
          <cell r="B514" t="str">
            <v>Bulacan</v>
          </cell>
          <cell r="J514" t="str">
            <v>Baliuag</v>
          </cell>
          <cell r="K514" t="str">
            <v>Municipality</v>
          </cell>
          <cell r="M514" t="str">
            <v>1st</v>
          </cell>
          <cell r="T514" t="str">
            <v>Yes</v>
          </cell>
        </row>
        <row r="515">
          <cell r="B515" t="str">
            <v>Bulacan</v>
          </cell>
          <cell r="J515" t="str">
            <v>Bocaue</v>
          </cell>
          <cell r="K515" t="str">
            <v>Municipality</v>
          </cell>
          <cell r="M515" t="str">
            <v>1st</v>
          </cell>
          <cell r="T515" t="str">
            <v>Yes</v>
          </cell>
        </row>
        <row r="516">
          <cell r="B516" t="str">
            <v>Bulacan</v>
          </cell>
          <cell r="J516" t="str">
            <v>Bulacan</v>
          </cell>
          <cell r="K516" t="str">
            <v>Municipality</v>
          </cell>
          <cell r="M516" t="str">
            <v>1st</v>
          </cell>
          <cell r="T516" t="str">
            <v>Yes</v>
          </cell>
        </row>
        <row r="517">
          <cell r="B517" t="str">
            <v>Bulacan</v>
          </cell>
          <cell r="J517" t="str">
            <v>Bustos</v>
          </cell>
          <cell r="K517" t="str">
            <v>Municipality</v>
          </cell>
          <cell r="M517" t="str">
            <v>2nd</v>
          </cell>
          <cell r="T517" t="str">
            <v>Yes</v>
          </cell>
        </row>
        <row r="518">
          <cell r="B518" t="str">
            <v>Bulacan</v>
          </cell>
          <cell r="J518" t="str">
            <v>Calumpit</v>
          </cell>
          <cell r="K518" t="str">
            <v>Municipality</v>
          </cell>
          <cell r="M518" t="str">
            <v>1st</v>
          </cell>
          <cell r="T518" t="str">
            <v>Yes</v>
          </cell>
        </row>
        <row r="519">
          <cell r="B519" t="str">
            <v>Bulacan</v>
          </cell>
          <cell r="J519" t="str">
            <v>City Of Malolos (Capital)</v>
          </cell>
          <cell r="K519" t="str">
            <v>City</v>
          </cell>
          <cell r="M519" t="str">
            <v>3rd</v>
          </cell>
          <cell r="T519" t="str">
            <v>Yes</v>
          </cell>
        </row>
        <row r="520">
          <cell r="B520" t="str">
            <v>Bulacan</v>
          </cell>
          <cell r="J520" t="str">
            <v>City Of Meycauayan</v>
          </cell>
          <cell r="K520" t="str">
            <v>City</v>
          </cell>
          <cell r="M520" t="str">
            <v>3rd</v>
          </cell>
          <cell r="T520" t="str">
            <v>Yes</v>
          </cell>
        </row>
        <row r="521">
          <cell r="B521" t="str">
            <v>Bulacan</v>
          </cell>
          <cell r="J521" t="str">
            <v>City Of San Jose Del Monte</v>
          </cell>
          <cell r="K521" t="str">
            <v>City</v>
          </cell>
          <cell r="M521" t="str">
            <v>1st</v>
          </cell>
          <cell r="T521" t="str">
            <v>Yes</v>
          </cell>
        </row>
        <row r="522">
          <cell r="B522" t="str">
            <v>Bulacan</v>
          </cell>
          <cell r="J522" t="str">
            <v>Doña Remedios Trinidad</v>
          </cell>
          <cell r="K522" t="str">
            <v>Municipality</v>
          </cell>
          <cell r="M522" t="str">
            <v>1st</v>
          </cell>
          <cell r="T522" t="str">
            <v>Yes</v>
          </cell>
        </row>
        <row r="523">
          <cell r="B523" t="str">
            <v>Bulacan</v>
          </cell>
          <cell r="J523" t="str">
            <v>Guiguinto</v>
          </cell>
          <cell r="K523" t="str">
            <v>Municipality</v>
          </cell>
          <cell r="M523" t="str">
            <v>1st</v>
          </cell>
          <cell r="T523" t="str">
            <v>Yes</v>
          </cell>
        </row>
        <row r="524">
          <cell r="B524" t="str">
            <v>Bulacan</v>
          </cell>
          <cell r="J524" t="str">
            <v>Hagonoy</v>
          </cell>
          <cell r="K524" t="str">
            <v>Municipality</v>
          </cell>
          <cell r="M524" t="str">
            <v>1st</v>
          </cell>
          <cell r="T524" t="str">
            <v>Yes</v>
          </cell>
        </row>
        <row r="525">
          <cell r="B525" t="str">
            <v>Bulacan</v>
          </cell>
          <cell r="J525" t="str">
            <v>Marilao</v>
          </cell>
          <cell r="K525" t="str">
            <v>Municipality</v>
          </cell>
          <cell r="M525" t="str">
            <v>1st</v>
          </cell>
          <cell r="T525" t="str">
            <v>Yes</v>
          </cell>
        </row>
        <row r="526">
          <cell r="B526" t="str">
            <v>Bulacan</v>
          </cell>
          <cell r="J526" t="str">
            <v>Norzagaray</v>
          </cell>
          <cell r="K526" t="str">
            <v>Municipality</v>
          </cell>
          <cell r="M526" t="str">
            <v>1st</v>
          </cell>
          <cell r="T526" t="str">
            <v>Yes</v>
          </cell>
        </row>
        <row r="527">
          <cell r="B527" t="str">
            <v>Bulacan</v>
          </cell>
          <cell r="J527" t="str">
            <v>Obando</v>
          </cell>
          <cell r="K527" t="str">
            <v>Municipality</v>
          </cell>
          <cell r="M527" t="str">
            <v>2nd</v>
          </cell>
          <cell r="T527" t="str">
            <v>Yes</v>
          </cell>
        </row>
        <row r="528">
          <cell r="B528" t="str">
            <v>Bulacan</v>
          </cell>
          <cell r="J528" t="str">
            <v>Pandi</v>
          </cell>
          <cell r="K528" t="str">
            <v>Municipality</v>
          </cell>
          <cell r="M528" t="str">
            <v>2nd</v>
          </cell>
          <cell r="T528" t="str">
            <v>Yes</v>
          </cell>
        </row>
        <row r="529">
          <cell r="B529" t="str">
            <v>Bulacan</v>
          </cell>
          <cell r="J529" t="str">
            <v>Paombong</v>
          </cell>
          <cell r="K529" t="str">
            <v>Municipality</v>
          </cell>
          <cell r="M529" t="str">
            <v>3rd</v>
          </cell>
          <cell r="T529" t="str">
            <v>Yes</v>
          </cell>
        </row>
        <row r="530">
          <cell r="B530" t="str">
            <v>Bulacan</v>
          </cell>
          <cell r="J530" t="str">
            <v>Plaridel</v>
          </cell>
          <cell r="K530" t="str">
            <v>Municipality</v>
          </cell>
          <cell r="M530" t="str">
            <v>1st</v>
          </cell>
          <cell r="T530" t="str">
            <v>Yes</v>
          </cell>
        </row>
        <row r="531">
          <cell r="B531" t="str">
            <v>Bulacan</v>
          </cell>
          <cell r="J531" t="str">
            <v>Pulilan</v>
          </cell>
          <cell r="K531" t="str">
            <v>Municipality</v>
          </cell>
          <cell r="M531" t="str">
            <v>1st</v>
          </cell>
          <cell r="T531" t="str">
            <v>Yes</v>
          </cell>
        </row>
        <row r="532">
          <cell r="B532" t="str">
            <v>Bulacan</v>
          </cell>
          <cell r="J532" t="str">
            <v>San Ildefonso</v>
          </cell>
          <cell r="K532" t="str">
            <v>Municipality</v>
          </cell>
          <cell r="M532" t="str">
            <v>1st</v>
          </cell>
          <cell r="T532" t="str">
            <v>Yes</v>
          </cell>
        </row>
        <row r="533">
          <cell r="B533" t="str">
            <v>Bulacan</v>
          </cell>
          <cell r="J533" t="str">
            <v>San Miguel</v>
          </cell>
          <cell r="K533" t="str">
            <v>Municipality</v>
          </cell>
          <cell r="M533" t="str">
            <v>1st</v>
          </cell>
          <cell r="T533" t="str">
            <v>Yes</v>
          </cell>
        </row>
        <row r="534">
          <cell r="B534" t="str">
            <v>Bulacan</v>
          </cell>
          <cell r="J534" t="str">
            <v>San Rafael</v>
          </cell>
          <cell r="K534" t="str">
            <v>Municipality</v>
          </cell>
          <cell r="M534" t="str">
            <v>1st</v>
          </cell>
          <cell r="T534" t="str">
            <v>Yes</v>
          </cell>
        </row>
        <row r="535">
          <cell r="B535" t="str">
            <v>Bulacan</v>
          </cell>
          <cell r="J535" t="str">
            <v>Santa Maria</v>
          </cell>
          <cell r="K535" t="str">
            <v>Municipality</v>
          </cell>
          <cell r="M535" t="str">
            <v>1st</v>
          </cell>
          <cell r="T535" t="str">
            <v>Yes</v>
          </cell>
        </row>
        <row r="536">
          <cell r="B536" t="str">
            <v>Nueva_Ecija</v>
          </cell>
          <cell r="J536" t="str">
            <v>Aliaga</v>
          </cell>
          <cell r="K536" t="str">
            <v>Municipality</v>
          </cell>
          <cell r="M536" t="str">
            <v>2nd</v>
          </cell>
          <cell r="T536" t="str">
            <v>Yes</v>
          </cell>
        </row>
        <row r="537">
          <cell r="B537" t="str">
            <v>Nueva_Ecija</v>
          </cell>
          <cell r="J537" t="str">
            <v>Bongabon</v>
          </cell>
          <cell r="K537" t="str">
            <v>Municipality</v>
          </cell>
          <cell r="M537" t="str">
            <v>2nd</v>
          </cell>
          <cell r="T537" t="str">
            <v>Yes</v>
          </cell>
        </row>
        <row r="538">
          <cell r="B538" t="str">
            <v>Nueva_Ecija</v>
          </cell>
          <cell r="J538" t="str">
            <v>Cabanatuan City</v>
          </cell>
          <cell r="K538" t="str">
            <v>City</v>
          </cell>
          <cell r="M538" t="str">
            <v>1st</v>
          </cell>
          <cell r="T538" t="str">
            <v>Yes</v>
          </cell>
        </row>
        <row r="539">
          <cell r="B539" t="str">
            <v>Nueva_Ecija</v>
          </cell>
          <cell r="J539" t="str">
            <v>Cabiao</v>
          </cell>
          <cell r="K539" t="str">
            <v>Municipality</v>
          </cell>
          <cell r="M539" t="str">
            <v>1st</v>
          </cell>
          <cell r="T539" t="str">
            <v>Yes</v>
          </cell>
        </row>
        <row r="540">
          <cell r="B540" t="str">
            <v>Nueva_Ecija</v>
          </cell>
          <cell r="J540" t="str">
            <v>Carranglan</v>
          </cell>
          <cell r="K540" t="str">
            <v>Municipality</v>
          </cell>
          <cell r="M540" t="str">
            <v>1st</v>
          </cell>
          <cell r="T540" t="str">
            <v>Yes</v>
          </cell>
        </row>
        <row r="541">
          <cell r="B541" t="str">
            <v>Nueva_Ecija</v>
          </cell>
          <cell r="J541" t="str">
            <v>City Of Gapan</v>
          </cell>
          <cell r="K541" t="str">
            <v>City</v>
          </cell>
          <cell r="M541" t="str">
            <v>4th</v>
          </cell>
          <cell r="T541" t="str">
            <v>Yes</v>
          </cell>
        </row>
        <row r="542">
          <cell r="B542" t="str">
            <v>Nueva_Ecija</v>
          </cell>
          <cell r="J542" t="str">
            <v>Cuyapo</v>
          </cell>
          <cell r="K542" t="str">
            <v>Municipality</v>
          </cell>
          <cell r="M542" t="str">
            <v>1st</v>
          </cell>
          <cell r="T542" t="str">
            <v>Yes</v>
          </cell>
        </row>
        <row r="543">
          <cell r="B543" t="str">
            <v>Nueva_Ecija</v>
          </cell>
          <cell r="J543" t="str">
            <v>Gabaldon (Bitulok &amp; Sabani)</v>
          </cell>
          <cell r="K543" t="str">
            <v>Municipality</v>
          </cell>
          <cell r="M543" t="str">
            <v>3rd</v>
          </cell>
          <cell r="T543" t="str">
            <v>Yes</v>
          </cell>
        </row>
        <row r="544">
          <cell r="B544" t="str">
            <v>Nueva_Ecija</v>
          </cell>
          <cell r="J544" t="str">
            <v>General Mamerto Natividad</v>
          </cell>
          <cell r="K544" t="str">
            <v>Municipality</v>
          </cell>
          <cell r="M544" t="str">
            <v>4th</v>
          </cell>
          <cell r="T544" t="str">
            <v>Yes</v>
          </cell>
        </row>
        <row r="545">
          <cell r="B545" t="str">
            <v>Nueva_Ecija</v>
          </cell>
          <cell r="J545" t="str">
            <v>General Tinio (Papaya)</v>
          </cell>
          <cell r="K545" t="str">
            <v>Municipality</v>
          </cell>
          <cell r="M545" t="str">
            <v>1st</v>
          </cell>
          <cell r="T545" t="str">
            <v>Yes</v>
          </cell>
        </row>
        <row r="546">
          <cell r="B546" t="str">
            <v>Nueva_Ecija</v>
          </cell>
          <cell r="J546" t="str">
            <v>Guimba</v>
          </cell>
          <cell r="K546" t="str">
            <v>Municipality</v>
          </cell>
          <cell r="M546" t="str">
            <v>1st</v>
          </cell>
          <cell r="T546" t="str">
            <v>Yes</v>
          </cell>
        </row>
        <row r="547">
          <cell r="B547" t="str">
            <v>Nueva_Ecija</v>
          </cell>
          <cell r="J547" t="str">
            <v>Jaen</v>
          </cell>
          <cell r="K547" t="str">
            <v>Municipality</v>
          </cell>
          <cell r="M547" t="str">
            <v>2nd</v>
          </cell>
          <cell r="T547" t="str">
            <v>Yes</v>
          </cell>
        </row>
        <row r="548">
          <cell r="B548" t="str">
            <v>Nueva_Ecija</v>
          </cell>
          <cell r="J548" t="str">
            <v>Laur</v>
          </cell>
          <cell r="K548" t="str">
            <v>Municipality</v>
          </cell>
          <cell r="M548" t="str">
            <v>3rd</v>
          </cell>
          <cell r="T548" t="str">
            <v>Yes</v>
          </cell>
        </row>
        <row r="549">
          <cell r="B549" t="str">
            <v>Nueva_Ecija</v>
          </cell>
          <cell r="J549" t="str">
            <v>Licab</v>
          </cell>
          <cell r="K549" t="str">
            <v>Municipality</v>
          </cell>
          <cell r="M549" t="str">
            <v>4th</v>
          </cell>
          <cell r="T549" t="str">
            <v>Yes</v>
          </cell>
        </row>
        <row r="550">
          <cell r="B550" t="str">
            <v>Nueva_Ecija</v>
          </cell>
          <cell r="J550" t="str">
            <v>Llanera</v>
          </cell>
          <cell r="K550" t="str">
            <v>Municipality</v>
          </cell>
          <cell r="M550" t="str">
            <v>4th</v>
          </cell>
          <cell r="T550" t="str">
            <v>Yes</v>
          </cell>
        </row>
        <row r="551">
          <cell r="B551" t="str">
            <v>Nueva_Ecija</v>
          </cell>
          <cell r="J551" t="str">
            <v>Lupao</v>
          </cell>
          <cell r="K551" t="str">
            <v>Municipality</v>
          </cell>
          <cell r="M551" t="str">
            <v>3rd</v>
          </cell>
          <cell r="T551" t="str">
            <v>Yes</v>
          </cell>
        </row>
        <row r="552">
          <cell r="B552" t="str">
            <v>Nueva_Ecija</v>
          </cell>
          <cell r="J552" t="str">
            <v>Nampicuan</v>
          </cell>
          <cell r="K552" t="str">
            <v>Municipality</v>
          </cell>
          <cell r="M552" t="str">
            <v>5th</v>
          </cell>
          <cell r="T552" t="str">
            <v>Yes</v>
          </cell>
        </row>
        <row r="553">
          <cell r="B553" t="str">
            <v>Nueva_Ecija</v>
          </cell>
          <cell r="J553" t="str">
            <v>Palayan City (Capital)</v>
          </cell>
          <cell r="K553" t="str">
            <v>City</v>
          </cell>
          <cell r="M553" t="str">
            <v>5th</v>
          </cell>
          <cell r="T553" t="str">
            <v>Yes</v>
          </cell>
        </row>
        <row r="554">
          <cell r="B554" t="str">
            <v>Nueva_Ecija</v>
          </cell>
          <cell r="J554" t="str">
            <v>Pantabangan</v>
          </cell>
          <cell r="K554" t="str">
            <v>Municipality</v>
          </cell>
          <cell r="M554" t="str">
            <v>1st</v>
          </cell>
          <cell r="T554" t="str">
            <v>Yes</v>
          </cell>
        </row>
        <row r="555">
          <cell r="B555" t="str">
            <v>Nueva_Ecija</v>
          </cell>
          <cell r="J555" t="str">
            <v>Peñaranda</v>
          </cell>
          <cell r="K555" t="str">
            <v>Municipality</v>
          </cell>
          <cell r="M555" t="str">
            <v>4th</v>
          </cell>
          <cell r="T555" t="str">
            <v>Yes</v>
          </cell>
        </row>
        <row r="556">
          <cell r="B556" t="str">
            <v>Nueva_Ecija</v>
          </cell>
          <cell r="J556" t="str">
            <v>Quezon</v>
          </cell>
          <cell r="K556" t="str">
            <v>Municipality</v>
          </cell>
          <cell r="M556" t="str">
            <v>4th</v>
          </cell>
          <cell r="T556" t="str">
            <v>Yes</v>
          </cell>
        </row>
        <row r="557">
          <cell r="B557" t="str">
            <v>Nueva_Ecija</v>
          </cell>
          <cell r="J557" t="str">
            <v>Rizal</v>
          </cell>
          <cell r="K557" t="str">
            <v>Municipality</v>
          </cell>
          <cell r="M557" t="str">
            <v>2nd</v>
          </cell>
          <cell r="T557" t="str">
            <v>Yes</v>
          </cell>
        </row>
        <row r="558">
          <cell r="B558" t="str">
            <v>Nueva_Ecija</v>
          </cell>
          <cell r="J558" t="str">
            <v>San Antonio</v>
          </cell>
          <cell r="K558" t="str">
            <v>Municipality</v>
          </cell>
          <cell r="M558" t="str">
            <v>1st</v>
          </cell>
          <cell r="T558" t="str">
            <v>Yes</v>
          </cell>
        </row>
        <row r="559">
          <cell r="B559" t="str">
            <v>Nueva_Ecija</v>
          </cell>
          <cell r="J559" t="str">
            <v>San Isidro</v>
          </cell>
          <cell r="K559" t="str">
            <v>Municipality</v>
          </cell>
          <cell r="M559" t="str">
            <v>2nd</v>
          </cell>
          <cell r="T559" t="str">
            <v>Yes</v>
          </cell>
        </row>
        <row r="560">
          <cell r="B560" t="str">
            <v>Nueva_Ecija</v>
          </cell>
          <cell r="J560" t="str">
            <v>San Jose City</v>
          </cell>
          <cell r="K560" t="str">
            <v>City</v>
          </cell>
          <cell r="M560" t="str">
            <v>3rd</v>
          </cell>
          <cell r="T560" t="str">
            <v>Yes</v>
          </cell>
        </row>
        <row r="561">
          <cell r="B561" t="str">
            <v>Nueva_Ecija</v>
          </cell>
          <cell r="J561" t="str">
            <v>San Leonardo</v>
          </cell>
          <cell r="K561" t="str">
            <v>Municipality</v>
          </cell>
          <cell r="M561" t="str">
            <v>1st</v>
          </cell>
          <cell r="T561" t="str">
            <v>Yes</v>
          </cell>
        </row>
        <row r="562">
          <cell r="B562" t="str">
            <v>Nueva_Ecija</v>
          </cell>
          <cell r="J562" t="str">
            <v>Santa Rosa</v>
          </cell>
          <cell r="K562" t="str">
            <v>Municipality</v>
          </cell>
          <cell r="M562" t="str">
            <v>1st</v>
          </cell>
          <cell r="T562" t="str">
            <v>Yes</v>
          </cell>
        </row>
        <row r="563">
          <cell r="B563" t="str">
            <v>Nueva_Ecija</v>
          </cell>
          <cell r="J563" t="str">
            <v>Santo Domingo</v>
          </cell>
          <cell r="K563" t="str">
            <v>Municipality</v>
          </cell>
          <cell r="M563" t="str">
            <v>3rd</v>
          </cell>
          <cell r="T563" t="str">
            <v>Yes</v>
          </cell>
        </row>
        <row r="564">
          <cell r="B564" t="str">
            <v>Nueva_Ecija</v>
          </cell>
          <cell r="J564" t="str">
            <v>Science City Of Muñoz</v>
          </cell>
          <cell r="K564" t="str">
            <v>City</v>
          </cell>
          <cell r="M564" t="str">
            <v>4th</v>
          </cell>
          <cell r="T564" t="str">
            <v>Yes</v>
          </cell>
        </row>
        <row r="565">
          <cell r="B565" t="str">
            <v>Nueva_Ecija</v>
          </cell>
          <cell r="J565" t="str">
            <v>Talavera</v>
          </cell>
          <cell r="K565" t="str">
            <v>Municipality</v>
          </cell>
          <cell r="M565" t="str">
            <v>1st</v>
          </cell>
          <cell r="T565" t="str">
            <v>Yes</v>
          </cell>
        </row>
        <row r="566">
          <cell r="B566" t="str">
            <v>Nueva_Ecija</v>
          </cell>
          <cell r="J566" t="str">
            <v>Talugtug</v>
          </cell>
          <cell r="K566" t="str">
            <v>Municipality</v>
          </cell>
          <cell r="M566" t="str">
            <v>4th</v>
          </cell>
          <cell r="T566" t="str">
            <v>Yes</v>
          </cell>
        </row>
        <row r="567">
          <cell r="B567" t="str">
            <v>Nueva_Ecija</v>
          </cell>
          <cell r="J567" t="str">
            <v>Zaragoza</v>
          </cell>
          <cell r="K567" t="str">
            <v>Municipality</v>
          </cell>
          <cell r="M567" t="str">
            <v>3rd</v>
          </cell>
          <cell r="T567" t="str">
            <v>Yes</v>
          </cell>
        </row>
        <row r="568">
          <cell r="B568" t="str">
            <v>Pampanga</v>
          </cell>
          <cell r="J568" t="str">
            <v>Angeles City</v>
          </cell>
          <cell r="K568" t="str">
            <v>City</v>
          </cell>
          <cell r="M568" t="str">
            <v>1st</v>
          </cell>
          <cell r="T568" t="str">
            <v>Yes</v>
          </cell>
        </row>
        <row r="569">
          <cell r="B569" t="str">
            <v>Pampanga</v>
          </cell>
          <cell r="J569" t="str">
            <v>Apalit</v>
          </cell>
          <cell r="K569" t="str">
            <v>Municipality</v>
          </cell>
          <cell r="M569" t="str">
            <v>1st</v>
          </cell>
          <cell r="T569" t="str">
            <v>Yes</v>
          </cell>
        </row>
        <row r="570">
          <cell r="B570" t="str">
            <v>Pampanga</v>
          </cell>
          <cell r="J570" t="str">
            <v>Arayat</v>
          </cell>
          <cell r="K570" t="str">
            <v>Municipality</v>
          </cell>
          <cell r="M570" t="str">
            <v>1st</v>
          </cell>
          <cell r="T570" t="str">
            <v>Yes</v>
          </cell>
        </row>
        <row r="571">
          <cell r="B571" t="str">
            <v>Pampanga</v>
          </cell>
          <cell r="J571" t="str">
            <v>Bacolor</v>
          </cell>
          <cell r="K571" t="str">
            <v>Municipality</v>
          </cell>
          <cell r="M571" t="str">
            <v>3rd</v>
          </cell>
          <cell r="T571" t="str">
            <v>Yes</v>
          </cell>
        </row>
        <row r="572">
          <cell r="B572" t="str">
            <v>Pampanga</v>
          </cell>
          <cell r="J572" t="str">
            <v>Candaba</v>
          </cell>
          <cell r="K572" t="str">
            <v>Municipality</v>
          </cell>
          <cell r="M572" t="str">
            <v>1st</v>
          </cell>
          <cell r="T572" t="str">
            <v>Yes</v>
          </cell>
        </row>
        <row r="573">
          <cell r="B573" t="str">
            <v>Pampanga</v>
          </cell>
          <cell r="J573" t="str">
            <v>City Of San Fernando (Capital)</v>
          </cell>
          <cell r="K573" t="str">
            <v>City</v>
          </cell>
          <cell r="M573" t="str">
            <v>1st</v>
          </cell>
          <cell r="T573" t="str">
            <v>Yes</v>
          </cell>
        </row>
        <row r="574">
          <cell r="B574" t="str">
            <v>Pampanga</v>
          </cell>
          <cell r="J574" t="str">
            <v>Floridablanca</v>
          </cell>
          <cell r="K574" t="str">
            <v>Municipality</v>
          </cell>
          <cell r="M574" t="str">
            <v>1st</v>
          </cell>
          <cell r="T574" t="str">
            <v>Yes</v>
          </cell>
        </row>
        <row r="575">
          <cell r="B575" t="str">
            <v>Pampanga</v>
          </cell>
          <cell r="J575" t="str">
            <v>Guagua</v>
          </cell>
          <cell r="K575" t="str">
            <v>Municipality</v>
          </cell>
          <cell r="M575" t="str">
            <v>1st</v>
          </cell>
          <cell r="T575" t="str">
            <v>Yes</v>
          </cell>
        </row>
        <row r="576">
          <cell r="B576" t="str">
            <v>Pampanga</v>
          </cell>
          <cell r="J576" t="str">
            <v>Lubao</v>
          </cell>
          <cell r="K576" t="str">
            <v>Municipality</v>
          </cell>
          <cell r="M576" t="str">
            <v>1st</v>
          </cell>
          <cell r="T576" t="str">
            <v>Yes</v>
          </cell>
        </row>
        <row r="577">
          <cell r="B577" t="str">
            <v>Pampanga</v>
          </cell>
          <cell r="J577" t="str">
            <v>Mabalacat City</v>
          </cell>
          <cell r="K577" t="str">
            <v>City</v>
          </cell>
          <cell r="M577" t="str">
            <v>-</v>
          </cell>
          <cell r="T577" t="str">
            <v>Yes</v>
          </cell>
        </row>
        <row r="578">
          <cell r="B578" t="str">
            <v>Pampanga</v>
          </cell>
          <cell r="J578" t="str">
            <v>Macabebe</v>
          </cell>
          <cell r="K578" t="str">
            <v>Municipality</v>
          </cell>
          <cell r="M578" t="str">
            <v>1st</v>
          </cell>
          <cell r="T578" t="str">
            <v>Yes</v>
          </cell>
        </row>
        <row r="579">
          <cell r="B579" t="str">
            <v>Pampanga</v>
          </cell>
          <cell r="J579" t="str">
            <v>Magalang</v>
          </cell>
          <cell r="K579" t="str">
            <v>Municipality</v>
          </cell>
          <cell r="M579" t="str">
            <v>1st</v>
          </cell>
          <cell r="T579" t="str">
            <v>Yes</v>
          </cell>
        </row>
        <row r="580">
          <cell r="B580" t="str">
            <v>Pampanga</v>
          </cell>
          <cell r="J580" t="str">
            <v>Masantol</v>
          </cell>
          <cell r="K580" t="str">
            <v>Municipality</v>
          </cell>
          <cell r="M580" t="str">
            <v>2nd</v>
          </cell>
          <cell r="T580" t="str">
            <v>Yes</v>
          </cell>
        </row>
        <row r="581">
          <cell r="B581" t="str">
            <v>Pampanga</v>
          </cell>
          <cell r="J581" t="str">
            <v>Mexico</v>
          </cell>
          <cell r="K581" t="str">
            <v>Municipality</v>
          </cell>
          <cell r="M581" t="str">
            <v>1st</v>
          </cell>
          <cell r="T581" t="str">
            <v>Yes</v>
          </cell>
        </row>
        <row r="582">
          <cell r="B582" t="str">
            <v>Pampanga</v>
          </cell>
          <cell r="J582" t="str">
            <v>Minalin</v>
          </cell>
          <cell r="K582" t="str">
            <v>Municipality</v>
          </cell>
          <cell r="M582" t="str">
            <v>4th</v>
          </cell>
          <cell r="T582" t="str">
            <v>Yes</v>
          </cell>
        </row>
        <row r="583">
          <cell r="B583" t="str">
            <v>Pampanga</v>
          </cell>
          <cell r="J583" t="str">
            <v>Porac</v>
          </cell>
          <cell r="K583" t="str">
            <v>Municipality</v>
          </cell>
          <cell r="M583" t="str">
            <v>1st</v>
          </cell>
          <cell r="T583" t="str">
            <v>Yes</v>
          </cell>
        </row>
        <row r="584">
          <cell r="B584" t="str">
            <v>Pampanga</v>
          </cell>
          <cell r="J584" t="str">
            <v>San Luis</v>
          </cell>
          <cell r="K584" t="str">
            <v>Municipality</v>
          </cell>
          <cell r="M584" t="str">
            <v>3rd</v>
          </cell>
          <cell r="T584" t="str">
            <v>Yes</v>
          </cell>
        </row>
        <row r="585">
          <cell r="B585" t="str">
            <v>Pampanga</v>
          </cell>
          <cell r="J585" t="str">
            <v>San Simon</v>
          </cell>
          <cell r="K585" t="str">
            <v>Municipality</v>
          </cell>
          <cell r="M585" t="str">
            <v>4th</v>
          </cell>
          <cell r="T585" t="str">
            <v>Yes</v>
          </cell>
        </row>
        <row r="586">
          <cell r="B586" t="str">
            <v>Pampanga</v>
          </cell>
          <cell r="J586" t="str">
            <v>Santa Ana</v>
          </cell>
          <cell r="K586" t="str">
            <v>Municipality</v>
          </cell>
          <cell r="M586" t="str">
            <v>3rd</v>
          </cell>
          <cell r="T586" t="str">
            <v>Yes</v>
          </cell>
        </row>
        <row r="587">
          <cell r="B587" t="str">
            <v>Pampanga</v>
          </cell>
          <cell r="J587" t="str">
            <v>Santa Rita</v>
          </cell>
          <cell r="K587" t="str">
            <v>Municipality</v>
          </cell>
          <cell r="M587" t="str">
            <v>4th</v>
          </cell>
          <cell r="T587" t="str">
            <v>Yes</v>
          </cell>
        </row>
        <row r="588">
          <cell r="B588" t="str">
            <v>Pampanga</v>
          </cell>
          <cell r="J588" t="str">
            <v>Santo Tomas</v>
          </cell>
          <cell r="K588" t="str">
            <v>Municipality</v>
          </cell>
          <cell r="M588" t="str">
            <v>4th</v>
          </cell>
          <cell r="T588" t="str">
            <v>Yes</v>
          </cell>
        </row>
        <row r="589">
          <cell r="B589" t="str">
            <v>Pampanga</v>
          </cell>
          <cell r="J589" t="str">
            <v>Sasmuan (Sexmoan)</v>
          </cell>
          <cell r="K589" t="str">
            <v>Municipality</v>
          </cell>
          <cell r="M589" t="str">
            <v>4th</v>
          </cell>
          <cell r="T589" t="str">
            <v>Yes</v>
          </cell>
        </row>
        <row r="590">
          <cell r="B590" t="str">
            <v>Tarlac</v>
          </cell>
          <cell r="J590" t="str">
            <v>Anao</v>
          </cell>
          <cell r="K590" t="str">
            <v>Municipality</v>
          </cell>
          <cell r="M590" t="str">
            <v>5th</v>
          </cell>
          <cell r="T590" t="str">
            <v>Yes</v>
          </cell>
        </row>
        <row r="591">
          <cell r="B591" t="str">
            <v>Tarlac</v>
          </cell>
          <cell r="J591" t="str">
            <v>Bamban</v>
          </cell>
          <cell r="K591" t="str">
            <v>Municipality</v>
          </cell>
          <cell r="M591" t="str">
            <v>2nd</v>
          </cell>
          <cell r="T591" t="str">
            <v>Yes</v>
          </cell>
        </row>
        <row r="592">
          <cell r="B592" t="str">
            <v>Tarlac</v>
          </cell>
          <cell r="J592" t="str">
            <v>Camiling</v>
          </cell>
          <cell r="K592" t="str">
            <v>Municipality</v>
          </cell>
          <cell r="M592" t="str">
            <v>1st</v>
          </cell>
          <cell r="T592" t="str">
            <v>Yes</v>
          </cell>
        </row>
        <row r="593">
          <cell r="B593" t="str">
            <v>Tarlac</v>
          </cell>
          <cell r="J593" t="str">
            <v>Capas</v>
          </cell>
          <cell r="K593" t="str">
            <v>Municipality</v>
          </cell>
          <cell r="M593" t="str">
            <v>1st</v>
          </cell>
          <cell r="T593" t="str">
            <v>Yes</v>
          </cell>
        </row>
        <row r="594">
          <cell r="B594" t="str">
            <v>Tarlac</v>
          </cell>
          <cell r="J594" t="str">
            <v>City Of Tarlac (Capital)</v>
          </cell>
          <cell r="K594" t="str">
            <v>City</v>
          </cell>
          <cell r="M594" t="str">
            <v>1st</v>
          </cell>
          <cell r="T594" t="str">
            <v>Yes</v>
          </cell>
        </row>
        <row r="595">
          <cell r="B595" t="str">
            <v>Tarlac</v>
          </cell>
          <cell r="J595" t="str">
            <v>Concepcion</v>
          </cell>
          <cell r="K595" t="str">
            <v>Municipality</v>
          </cell>
          <cell r="M595" t="str">
            <v>1st</v>
          </cell>
          <cell r="T595" t="str">
            <v>Yes</v>
          </cell>
        </row>
        <row r="596">
          <cell r="B596" t="str">
            <v>Tarlac</v>
          </cell>
          <cell r="J596" t="str">
            <v>Gerona</v>
          </cell>
          <cell r="K596" t="str">
            <v>Municipality</v>
          </cell>
          <cell r="M596" t="str">
            <v>1st</v>
          </cell>
          <cell r="T596" t="str">
            <v>Yes</v>
          </cell>
        </row>
        <row r="597">
          <cell r="B597" t="str">
            <v>Tarlac</v>
          </cell>
          <cell r="J597" t="str">
            <v>La Paz</v>
          </cell>
          <cell r="K597" t="str">
            <v>Municipality</v>
          </cell>
          <cell r="M597" t="str">
            <v>2nd</v>
          </cell>
          <cell r="T597" t="str">
            <v>Yes</v>
          </cell>
        </row>
        <row r="598">
          <cell r="B598" t="str">
            <v>Tarlac</v>
          </cell>
          <cell r="J598" t="str">
            <v>Mayantoc</v>
          </cell>
          <cell r="K598" t="str">
            <v>Municipality</v>
          </cell>
          <cell r="M598" t="str">
            <v>3rd</v>
          </cell>
          <cell r="T598" t="str">
            <v>Yes</v>
          </cell>
        </row>
        <row r="599">
          <cell r="B599" t="str">
            <v>Tarlac</v>
          </cell>
          <cell r="J599" t="str">
            <v>Moncada</v>
          </cell>
          <cell r="K599" t="str">
            <v>Municipality</v>
          </cell>
          <cell r="M599" t="str">
            <v>1st</v>
          </cell>
          <cell r="T599" t="str">
            <v>Yes</v>
          </cell>
        </row>
        <row r="600">
          <cell r="B600" t="str">
            <v>Tarlac</v>
          </cell>
          <cell r="J600" t="str">
            <v>Paniqui</v>
          </cell>
          <cell r="K600" t="str">
            <v>Municipality</v>
          </cell>
          <cell r="M600" t="str">
            <v>1st</v>
          </cell>
          <cell r="T600" t="str">
            <v>Yes</v>
          </cell>
        </row>
        <row r="601">
          <cell r="B601" t="str">
            <v>Tarlac</v>
          </cell>
          <cell r="J601" t="str">
            <v>Pura</v>
          </cell>
          <cell r="K601" t="str">
            <v>Municipality</v>
          </cell>
          <cell r="M601" t="str">
            <v>4th</v>
          </cell>
          <cell r="T601" t="str">
            <v>Yes</v>
          </cell>
        </row>
        <row r="602">
          <cell r="B602" t="str">
            <v>Tarlac</v>
          </cell>
          <cell r="J602" t="str">
            <v>Ramos</v>
          </cell>
          <cell r="K602" t="str">
            <v>Municipality</v>
          </cell>
          <cell r="M602" t="str">
            <v>5th</v>
          </cell>
          <cell r="T602" t="str">
            <v>Yes</v>
          </cell>
        </row>
        <row r="603">
          <cell r="B603" t="str">
            <v>Tarlac</v>
          </cell>
          <cell r="J603" t="str">
            <v>San Clemente</v>
          </cell>
          <cell r="K603" t="str">
            <v>Municipality</v>
          </cell>
          <cell r="M603" t="str">
            <v>5th</v>
          </cell>
          <cell r="T603" t="str">
            <v>Yes</v>
          </cell>
        </row>
        <row r="604">
          <cell r="B604" t="str">
            <v>Tarlac</v>
          </cell>
          <cell r="J604" t="str">
            <v>San Jose</v>
          </cell>
          <cell r="K604" t="str">
            <v>Municipality</v>
          </cell>
          <cell r="M604" t="str">
            <v>3rd</v>
          </cell>
          <cell r="T604" t="str">
            <v>Yes</v>
          </cell>
        </row>
        <row r="605">
          <cell r="B605" t="str">
            <v>Tarlac</v>
          </cell>
          <cell r="J605" t="str">
            <v>San Manuel</v>
          </cell>
          <cell r="K605" t="str">
            <v>Municipality</v>
          </cell>
          <cell r="M605" t="str">
            <v>4th</v>
          </cell>
          <cell r="T605" t="str">
            <v>Yes</v>
          </cell>
        </row>
        <row r="606">
          <cell r="B606" t="str">
            <v>Tarlac</v>
          </cell>
          <cell r="J606" t="str">
            <v>Santa Ignacia</v>
          </cell>
          <cell r="K606" t="str">
            <v>Municipality</v>
          </cell>
          <cell r="M606" t="str">
            <v>2nd</v>
          </cell>
          <cell r="T606" t="str">
            <v>Yes</v>
          </cell>
        </row>
        <row r="607">
          <cell r="B607" t="str">
            <v>Tarlac</v>
          </cell>
          <cell r="J607" t="str">
            <v>Victoria</v>
          </cell>
          <cell r="K607" t="str">
            <v>Municipality</v>
          </cell>
          <cell r="M607" t="str">
            <v>2nd</v>
          </cell>
          <cell r="T607" t="str">
            <v>Yes</v>
          </cell>
        </row>
        <row r="608">
          <cell r="B608" t="str">
            <v>Zambales</v>
          </cell>
          <cell r="J608" t="str">
            <v>Botolan</v>
          </cell>
          <cell r="K608" t="str">
            <v>Municipality</v>
          </cell>
          <cell r="M608" t="str">
            <v>1st</v>
          </cell>
          <cell r="T608" t="str">
            <v>Yes</v>
          </cell>
        </row>
        <row r="609">
          <cell r="B609" t="str">
            <v>Zambales</v>
          </cell>
          <cell r="J609" t="str">
            <v>Cabangan</v>
          </cell>
          <cell r="K609" t="str">
            <v>Municipality</v>
          </cell>
          <cell r="M609" t="str">
            <v>4th</v>
          </cell>
          <cell r="T609" t="str">
            <v>Yes</v>
          </cell>
        </row>
        <row r="610">
          <cell r="B610" t="str">
            <v>Zambales</v>
          </cell>
          <cell r="J610" t="str">
            <v>Candelaria</v>
          </cell>
          <cell r="K610" t="str">
            <v>Municipality</v>
          </cell>
          <cell r="M610" t="str">
            <v>3rd</v>
          </cell>
          <cell r="T610" t="str">
            <v>Yes</v>
          </cell>
        </row>
        <row r="611">
          <cell r="B611" t="str">
            <v>Zambales</v>
          </cell>
          <cell r="J611" t="str">
            <v>Castillejos</v>
          </cell>
          <cell r="K611" t="str">
            <v>Municipality</v>
          </cell>
          <cell r="M611" t="str">
            <v>3rd</v>
          </cell>
          <cell r="T611" t="str">
            <v>Yes</v>
          </cell>
        </row>
        <row r="612">
          <cell r="B612" t="str">
            <v>Zambales</v>
          </cell>
          <cell r="J612" t="str">
            <v>Iba (Capital)</v>
          </cell>
          <cell r="K612" t="str">
            <v>Municipality</v>
          </cell>
          <cell r="M612" t="str">
            <v>2nd</v>
          </cell>
          <cell r="T612" t="str">
            <v>Yes</v>
          </cell>
        </row>
        <row r="613">
          <cell r="B613" t="str">
            <v>Zambales</v>
          </cell>
          <cell r="J613" t="str">
            <v>Masinloc</v>
          </cell>
          <cell r="K613" t="str">
            <v>Municipality</v>
          </cell>
          <cell r="M613" t="str">
            <v>1st</v>
          </cell>
          <cell r="T613" t="str">
            <v>Yes</v>
          </cell>
        </row>
        <row r="614">
          <cell r="B614" t="str">
            <v>Zambales</v>
          </cell>
          <cell r="J614" t="str">
            <v>Olongapo City</v>
          </cell>
          <cell r="K614" t="str">
            <v>City</v>
          </cell>
          <cell r="M614" t="str">
            <v>1st</v>
          </cell>
          <cell r="T614" t="str">
            <v>Yes</v>
          </cell>
        </row>
        <row r="615">
          <cell r="B615" t="str">
            <v>Zambales</v>
          </cell>
          <cell r="J615" t="str">
            <v>Palauig</v>
          </cell>
          <cell r="K615" t="str">
            <v>Municipality</v>
          </cell>
          <cell r="M615" t="str">
            <v>3rd</v>
          </cell>
          <cell r="T615" t="str">
            <v>Yes</v>
          </cell>
        </row>
        <row r="616">
          <cell r="B616" t="str">
            <v>Zambales</v>
          </cell>
          <cell r="J616" t="str">
            <v>San Antonio</v>
          </cell>
          <cell r="K616" t="str">
            <v>Municipality</v>
          </cell>
          <cell r="M616" t="str">
            <v>2nd</v>
          </cell>
          <cell r="T616" t="str">
            <v>Yes</v>
          </cell>
        </row>
        <row r="617">
          <cell r="B617" t="str">
            <v>Zambales</v>
          </cell>
          <cell r="J617" t="str">
            <v>San Felipe</v>
          </cell>
          <cell r="K617" t="str">
            <v>Municipality</v>
          </cell>
          <cell r="M617" t="str">
            <v>4th</v>
          </cell>
          <cell r="T617" t="str">
            <v>Yes</v>
          </cell>
        </row>
        <row r="618">
          <cell r="B618" t="str">
            <v>Zambales</v>
          </cell>
          <cell r="J618" t="str">
            <v>San Marcelino</v>
          </cell>
          <cell r="K618" t="str">
            <v>Municipality</v>
          </cell>
          <cell r="M618" t="str">
            <v>1st</v>
          </cell>
          <cell r="T618" t="str">
            <v>Yes</v>
          </cell>
        </row>
        <row r="619">
          <cell r="B619" t="str">
            <v>Zambales</v>
          </cell>
          <cell r="J619" t="str">
            <v>San Narciso</v>
          </cell>
          <cell r="K619" t="str">
            <v>Municipality</v>
          </cell>
          <cell r="M619" t="str">
            <v>4th</v>
          </cell>
          <cell r="T619" t="str">
            <v>Yes</v>
          </cell>
        </row>
        <row r="620">
          <cell r="B620" t="str">
            <v>Zambales</v>
          </cell>
          <cell r="J620" t="str">
            <v>Santa Cruz</v>
          </cell>
          <cell r="K620" t="str">
            <v>Municipality</v>
          </cell>
          <cell r="M620" t="str">
            <v>1st</v>
          </cell>
          <cell r="T620" t="str">
            <v>Yes</v>
          </cell>
        </row>
        <row r="621">
          <cell r="B621" t="str">
            <v>Zambales</v>
          </cell>
          <cell r="J621" t="str">
            <v>Subic</v>
          </cell>
          <cell r="K621" t="str">
            <v>Municipality</v>
          </cell>
          <cell r="M621" t="str">
            <v>1st</v>
          </cell>
          <cell r="T621" t="str">
            <v>Yes</v>
          </cell>
        </row>
        <row r="622">
          <cell r="B622" t="str">
            <v>Batangas</v>
          </cell>
          <cell r="J622" t="str">
            <v>Agoncillo</v>
          </cell>
          <cell r="K622" t="str">
            <v>Municipality</v>
          </cell>
          <cell r="M622" t="str">
            <v>4th</v>
          </cell>
          <cell r="T622" t="str">
            <v>No</v>
          </cell>
        </row>
        <row r="623">
          <cell r="B623" t="str">
            <v>Batangas</v>
          </cell>
          <cell r="J623" t="str">
            <v>Alitagtag</v>
          </cell>
          <cell r="K623" t="str">
            <v>Municipality</v>
          </cell>
          <cell r="M623" t="str">
            <v>4th</v>
          </cell>
          <cell r="T623" t="str">
            <v>No</v>
          </cell>
        </row>
        <row r="624">
          <cell r="B624" t="str">
            <v>Batangas</v>
          </cell>
          <cell r="J624" t="str">
            <v>Balayan</v>
          </cell>
          <cell r="K624" t="str">
            <v>Municipality</v>
          </cell>
          <cell r="M624" t="str">
            <v>1st</v>
          </cell>
          <cell r="T624" t="str">
            <v>No</v>
          </cell>
        </row>
        <row r="625">
          <cell r="B625" t="str">
            <v>Batangas</v>
          </cell>
          <cell r="J625" t="str">
            <v>Balete</v>
          </cell>
          <cell r="K625" t="str">
            <v>Municipality</v>
          </cell>
          <cell r="M625" t="str">
            <v>5th</v>
          </cell>
          <cell r="T625" t="str">
            <v>No</v>
          </cell>
        </row>
        <row r="626">
          <cell r="B626" t="str">
            <v>Batangas</v>
          </cell>
          <cell r="J626" t="str">
            <v>Batangas City (Capital)</v>
          </cell>
          <cell r="K626" t="str">
            <v>City</v>
          </cell>
          <cell r="M626" t="str">
            <v>1st</v>
          </cell>
          <cell r="T626" t="str">
            <v>No</v>
          </cell>
        </row>
        <row r="627">
          <cell r="B627" t="str">
            <v>Batangas</v>
          </cell>
          <cell r="J627" t="str">
            <v>Bauan</v>
          </cell>
          <cell r="K627" t="str">
            <v>Municipality</v>
          </cell>
          <cell r="M627" t="str">
            <v>1st</v>
          </cell>
          <cell r="T627" t="str">
            <v>No</v>
          </cell>
        </row>
        <row r="628">
          <cell r="B628" t="str">
            <v>Batangas</v>
          </cell>
          <cell r="J628" t="str">
            <v>Calaca</v>
          </cell>
          <cell r="K628" t="str">
            <v>Municipality</v>
          </cell>
          <cell r="M628" t="str">
            <v>1st</v>
          </cell>
          <cell r="T628" t="str">
            <v>No</v>
          </cell>
        </row>
        <row r="629">
          <cell r="B629" t="str">
            <v>Batangas</v>
          </cell>
          <cell r="J629" t="str">
            <v>Calatagan</v>
          </cell>
          <cell r="K629" t="str">
            <v>Municipality</v>
          </cell>
          <cell r="M629" t="str">
            <v>2nd</v>
          </cell>
          <cell r="T629" t="str">
            <v>No</v>
          </cell>
        </row>
        <row r="630">
          <cell r="B630" t="str">
            <v>Batangas</v>
          </cell>
          <cell r="J630" t="str">
            <v>City Of Tanauan</v>
          </cell>
          <cell r="K630" t="str">
            <v>City</v>
          </cell>
          <cell r="M630" t="str">
            <v>2nd</v>
          </cell>
          <cell r="T630" t="str">
            <v>No</v>
          </cell>
        </row>
        <row r="631">
          <cell r="B631" t="str">
            <v>Batangas</v>
          </cell>
          <cell r="J631" t="str">
            <v>Cuenca</v>
          </cell>
          <cell r="K631" t="str">
            <v>Municipality</v>
          </cell>
          <cell r="M631" t="str">
            <v>4th</v>
          </cell>
          <cell r="T631" t="str">
            <v>No</v>
          </cell>
        </row>
        <row r="632">
          <cell r="B632" t="str">
            <v>Batangas</v>
          </cell>
          <cell r="J632" t="str">
            <v>Ibaan</v>
          </cell>
          <cell r="K632" t="str">
            <v>Municipality</v>
          </cell>
          <cell r="M632" t="str">
            <v>2nd</v>
          </cell>
          <cell r="T632" t="str">
            <v>No</v>
          </cell>
        </row>
        <row r="633">
          <cell r="B633" t="str">
            <v>Batangas</v>
          </cell>
          <cell r="J633" t="str">
            <v>Laurel</v>
          </cell>
          <cell r="K633" t="str">
            <v>Municipality</v>
          </cell>
          <cell r="M633" t="str">
            <v>3rd</v>
          </cell>
          <cell r="T633" t="str">
            <v>No</v>
          </cell>
        </row>
        <row r="634">
          <cell r="B634" t="str">
            <v>Batangas</v>
          </cell>
          <cell r="J634" t="str">
            <v>Lemery</v>
          </cell>
          <cell r="K634" t="str">
            <v>Municipality</v>
          </cell>
          <cell r="M634" t="str">
            <v>1st</v>
          </cell>
          <cell r="T634" t="str">
            <v>No</v>
          </cell>
        </row>
        <row r="635">
          <cell r="B635" t="str">
            <v>Batangas</v>
          </cell>
          <cell r="J635" t="str">
            <v>Lian</v>
          </cell>
          <cell r="K635" t="str">
            <v>Municipality</v>
          </cell>
          <cell r="M635" t="str">
            <v>3rd</v>
          </cell>
          <cell r="T635" t="str">
            <v>No</v>
          </cell>
        </row>
        <row r="636">
          <cell r="B636" t="str">
            <v>Batangas</v>
          </cell>
          <cell r="J636" t="str">
            <v>Lipa City</v>
          </cell>
          <cell r="K636" t="str">
            <v>City</v>
          </cell>
          <cell r="M636" t="str">
            <v>1st</v>
          </cell>
          <cell r="T636" t="str">
            <v>No</v>
          </cell>
        </row>
        <row r="637">
          <cell r="B637" t="str">
            <v>Batangas</v>
          </cell>
          <cell r="J637" t="str">
            <v>Lobo</v>
          </cell>
          <cell r="K637" t="str">
            <v>Municipality</v>
          </cell>
          <cell r="M637" t="str">
            <v>3rd</v>
          </cell>
          <cell r="T637" t="str">
            <v>No</v>
          </cell>
        </row>
        <row r="638">
          <cell r="B638" t="str">
            <v>Batangas</v>
          </cell>
          <cell r="J638" t="str">
            <v>Mabini</v>
          </cell>
          <cell r="K638" t="str">
            <v>Municipality</v>
          </cell>
          <cell r="M638" t="str">
            <v>1st</v>
          </cell>
          <cell r="T638" t="str">
            <v>No</v>
          </cell>
        </row>
        <row r="639">
          <cell r="B639" t="str">
            <v>Batangas</v>
          </cell>
          <cell r="J639" t="str">
            <v>Malvar</v>
          </cell>
          <cell r="K639" t="str">
            <v>Municipality</v>
          </cell>
          <cell r="M639" t="str">
            <v>2nd</v>
          </cell>
          <cell r="T639" t="str">
            <v>No</v>
          </cell>
        </row>
        <row r="640">
          <cell r="B640" t="str">
            <v>Batangas</v>
          </cell>
          <cell r="J640" t="str">
            <v>Mataasnakahoy</v>
          </cell>
          <cell r="K640" t="str">
            <v>Municipality</v>
          </cell>
          <cell r="M640" t="str">
            <v>4th</v>
          </cell>
          <cell r="T640" t="str">
            <v>No</v>
          </cell>
        </row>
        <row r="641">
          <cell r="B641" t="str">
            <v>Batangas</v>
          </cell>
          <cell r="J641" t="str">
            <v>Nasugbu</v>
          </cell>
          <cell r="K641" t="str">
            <v>Municipality</v>
          </cell>
          <cell r="M641" t="str">
            <v>1st</v>
          </cell>
          <cell r="T641" t="str">
            <v>No</v>
          </cell>
        </row>
        <row r="642">
          <cell r="B642" t="str">
            <v>Batangas</v>
          </cell>
          <cell r="J642" t="str">
            <v>Padre Garcia</v>
          </cell>
          <cell r="K642" t="str">
            <v>Municipality</v>
          </cell>
          <cell r="M642" t="str">
            <v>2nd</v>
          </cell>
          <cell r="T642" t="str">
            <v>No</v>
          </cell>
        </row>
        <row r="643">
          <cell r="B643" t="str">
            <v>Batangas</v>
          </cell>
          <cell r="J643" t="str">
            <v>Rosario</v>
          </cell>
          <cell r="K643" t="str">
            <v>Municipality</v>
          </cell>
          <cell r="M643" t="str">
            <v>1st</v>
          </cell>
          <cell r="T643" t="str">
            <v>No</v>
          </cell>
        </row>
        <row r="644">
          <cell r="B644" t="str">
            <v>Batangas</v>
          </cell>
          <cell r="J644" t="str">
            <v>San Jose</v>
          </cell>
          <cell r="K644" t="str">
            <v>Municipality</v>
          </cell>
          <cell r="M644" t="str">
            <v>1st</v>
          </cell>
          <cell r="T644" t="str">
            <v>No</v>
          </cell>
        </row>
        <row r="645">
          <cell r="B645" t="str">
            <v>Batangas</v>
          </cell>
          <cell r="J645" t="str">
            <v>San Juan</v>
          </cell>
          <cell r="K645" t="str">
            <v>Municipality</v>
          </cell>
          <cell r="M645" t="str">
            <v>1st</v>
          </cell>
          <cell r="T645" t="str">
            <v>No</v>
          </cell>
        </row>
        <row r="646">
          <cell r="B646" t="str">
            <v>Batangas</v>
          </cell>
          <cell r="J646" t="str">
            <v>San Luis</v>
          </cell>
          <cell r="K646" t="str">
            <v>Municipality</v>
          </cell>
          <cell r="M646" t="str">
            <v>4th</v>
          </cell>
          <cell r="T646" t="str">
            <v>No</v>
          </cell>
        </row>
        <row r="647">
          <cell r="B647" t="str">
            <v>Batangas</v>
          </cell>
          <cell r="J647" t="str">
            <v>San Nicolas</v>
          </cell>
          <cell r="K647" t="str">
            <v>Municipality</v>
          </cell>
          <cell r="M647" t="str">
            <v>5th</v>
          </cell>
          <cell r="T647" t="str">
            <v>No</v>
          </cell>
        </row>
        <row r="648">
          <cell r="B648" t="str">
            <v>Batangas</v>
          </cell>
          <cell r="J648" t="str">
            <v>San Pascual</v>
          </cell>
          <cell r="K648" t="str">
            <v>Municipality</v>
          </cell>
          <cell r="M648" t="str">
            <v>1st</v>
          </cell>
          <cell r="T648" t="str">
            <v>No</v>
          </cell>
        </row>
        <row r="649">
          <cell r="B649" t="str">
            <v>Batangas</v>
          </cell>
          <cell r="J649" t="str">
            <v>Santa Teresita</v>
          </cell>
          <cell r="K649" t="str">
            <v>Municipality</v>
          </cell>
          <cell r="M649" t="str">
            <v>5th</v>
          </cell>
          <cell r="T649" t="str">
            <v>No</v>
          </cell>
        </row>
        <row r="650">
          <cell r="B650" t="str">
            <v>Batangas</v>
          </cell>
          <cell r="J650" t="str">
            <v>Santo Tomas</v>
          </cell>
          <cell r="K650" t="str">
            <v>Municipality</v>
          </cell>
          <cell r="M650" t="str">
            <v>1st</v>
          </cell>
          <cell r="T650" t="str">
            <v>No</v>
          </cell>
        </row>
        <row r="651">
          <cell r="B651" t="str">
            <v>Batangas</v>
          </cell>
          <cell r="J651" t="str">
            <v>Taal</v>
          </cell>
          <cell r="K651" t="str">
            <v>Municipality</v>
          </cell>
          <cell r="M651" t="str">
            <v>3rd</v>
          </cell>
          <cell r="T651" t="str">
            <v>No</v>
          </cell>
        </row>
        <row r="652">
          <cell r="B652" t="str">
            <v>Batangas</v>
          </cell>
          <cell r="J652" t="str">
            <v>Talisay</v>
          </cell>
          <cell r="K652" t="str">
            <v>Municipality</v>
          </cell>
          <cell r="M652" t="str">
            <v>3rd</v>
          </cell>
          <cell r="T652" t="str">
            <v>No</v>
          </cell>
        </row>
        <row r="653">
          <cell r="B653" t="str">
            <v>Batangas</v>
          </cell>
          <cell r="J653" t="str">
            <v>Taysan</v>
          </cell>
          <cell r="K653" t="str">
            <v>Municipality</v>
          </cell>
          <cell r="M653" t="str">
            <v>2nd</v>
          </cell>
          <cell r="T653" t="str">
            <v>No</v>
          </cell>
        </row>
        <row r="654">
          <cell r="B654" t="str">
            <v>Batangas</v>
          </cell>
          <cell r="J654" t="str">
            <v>Tingloy</v>
          </cell>
          <cell r="K654" t="str">
            <v>Municipality</v>
          </cell>
          <cell r="M654" t="str">
            <v>5th</v>
          </cell>
          <cell r="T654" t="str">
            <v>No</v>
          </cell>
        </row>
        <row r="655">
          <cell r="B655" t="str">
            <v>Batangas</v>
          </cell>
          <cell r="J655" t="str">
            <v>Tuy</v>
          </cell>
          <cell r="K655" t="str">
            <v>Municipality</v>
          </cell>
          <cell r="M655" t="str">
            <v>3rd</v>
          </cell>
          <cell r="T655" t="str">
            <v>No</v>
          </cell>
        </row>
        <row r="656">
          <cell r="B656" t="str">
            <v>Cavite</v>
          </cell>
          <cell r="J656" t="str">
            <v>Alfonso</v>
          </cell>
          <cell r="K656" t="str">
            <v>Municipality</v>
          </cell>
          <cell r="M656" t="str">
            <v>1st</v>
          </cell>
          <cell r="T656" t="str">
            <v>No</v>
          </cell>
        </row>
        <row r="657">
          <cell r="B657" t="str">
            <v>Cavite</v>
          </cell>
          <cell r="J657" t="str">
            <v>Amadeo</v>
          </cell>
          <cell r="K657" t="str">
            <v>Municipality</v>
          </cell>
          <cell r="M657" t="str">
            <v>4th</v>
          </cell>
          <cell r="T657" t="str">
            <v>No</v>
          </cell>
        </row>
        <row r="658">
          <cell r="B658" t="str">
            <v>Cavite</v>
          </cell>
          <cell r="J658" t="str">
            <v>Bacoor City</v>
          </cell>
          <cell r="K658" t="str">
            <v>City</v>
          </cell>
          <cell r="M658" t="str">
            <v>-</v>
          </cell>
          <cell r="T658" t="str">
            <v>No</v>
          </cell>
        </row>
        <row r="659">
          <cell r="B659" t="str">
            <v>Cavite</v>
          </cell>
          <cell r="J659" t="str">
            <v>Carmona</v>
          </cell>
          <cell r="K659" t="str">
            <v>Municipality</v>
          </cell>
          <cell r="M659" t="str">
            <v>1st</v>
          </cell>
          <cell r="T659" t="str">
            <v>No</v>
          </cell>
        </row>
        <row r="660">
          <cell r="B660" t="str">
            <v>Cavite</v>
          </cell>
          <cell r="J660" t="str">
            <v>Cavite City</v>
          </cell>
          <cell r="K660" t="str">
            <v>City</v>
          </cell>
          <cell r="M660" t="str">
            <v>4th</v>
          </cell>
          <cell r="T660" t="str">
            <v>No</v>
          </cell>
        </row>
        <row r="661">
          <cell r="B661" t="str">
            <v>Cavite</v>
          </cell>
          <cell r="J661" t="str">
            <v>City Of Dasmariñas</v>
          </cell>
          <cell r="K661" t="str">
            <v>City</v>
          </cell>
          <cell r="M661" t="str">
            <v>-</v>
          </cell>
          <cell r="T661" t="str">
            <v>No</v>
          </cell>
        </row>
        <row r="662">
          <cell r="B662" t="str">
            <v>Cavite</v>
          </cell>
          <cell r="J662" t="str">
            <v>Gen.  Mariano Alvarez</v>
          </cell>
          <cell r="K662" t="str">
            <v>Municipality</v>
          </cell>
          <cell r="M662" t="str">
            <v>1st</v>
          </cell>
          <cell r="T662" t="str">
            <v>No</v>
          </cell>
        </row>
        <row r="663">
          <cell r="B663" t="str">
            <v>Cavite</v>
          </cell>
          <cell r="J663" t="str">
            <v>General Emilio Aguinaldo</v>
          </cell>
          <cell r="K663" t="str">
            <v>Municipality</v>
          </cell>
          <cell r="M663" t="str">
            <v>5th</v>
          </cell>
          <cell r="T663" t="str">
            <v>No</v>
          </cell>
        </row>
        <row r="664">
          <cell r="B664" t="str">
            <v>Cavite</v>
          </cell>
          <cell r="J664" t="str">
            <v>General Trias</v>
          </cell>
          <cell r="K664" t="str">
            <v>Municipality</v>
          </cell>
          <cell r="M664" t="str">
            <v>1st</v>
          </cell>
          <cell r="T664" t="str">
            <v>No</v>
          </cell>
        </row>
        <row r="665">
          <cell r="B665" t="str">
            <v>Cavite</v>
          </cell>
          <cell r="J665" t="str">
            <v>Imus City</v>
          </cell>
          <cell r="K665" t="str">
            <v>City</v>
          </cell>
          <cell r="M665" t="str">
            <v>-</v>
          </cell>
          <cell r="T665" t="str">
            <v>No</v>
          </cell>
        </row>
        <row r="666">
          <cell r="B666" t="str">
            <v>Cavite</v>
          </cell>
          <cell r="J666" t="str">
            <v>Indang</v>
          </cell>
          <cell r="K666" t="str">
            <v>Municipality</v>
          </cell>
          <cell r="M666" t="str">
            <v>1st</v>
          </cell>
          <cell r="T666" t="str">
            <v>No</v>
          </cell>
        </row>
        <row r="667">
          <cell r="B667" t="str">
            <v>Cavite</v>
          </cell>
          <cell r="J667" t="str">
            <v>Kawit</v>
          </cell>
          <cell r="K667" t="str">
            <v>Municipality</v>
          </cell>
          <cell r="M667" t="str">
            <v>1st</v>
          </cell>
          <cell r="T667" t="str">
            <v>No</v>
          </cell>
        </row>
        <row r="668">
          <cell r="B668" t="str">
            <v>Cavite</v>
          </cell>
          <cell r="J668" t="str">
            <v>Magallanes</v>
          </cell>
          <cell r="K668" t="str">
            <v>Municipality</v>
          </cell>
          <cell r="M668" t="str">
            <v>4th</v>
          </cell>
          <cell r="T668" t="str">
            <v>No</v>
          </cell>
        </row>
        <row r="669">
          <cell r="B669" t="str">
            <v>Cavite</v>
          </cell>
          <cell r="J669" t="str">
            <v>Maragondon</v>
          </cell>
          <cell r="K669" t="str">
            <v>Municipality</v>
          </cell>
          <cell r="M669" t="str">
            <v>3rd</v>
          </cell>
          <cell r="T669" t="str">
            <v>No</v>
          </cell>
        </row>
        <row r="670">
          <cell r="B670" t="str">
            <v>Cavite</v>
          </cell>
          <cell r="J670" t="str">
            <v>Mendez (Mendez-Nuñez)</v>
          </cell>
          <cell r="K670" t="str">
            <v>Municipality</v>
          </cell>
          <cell r="M670" t="str">
            <v>4th</v>
          </cell>
          <cell r="T670" t="str">
            <v>No</v>
          </cell>
        </row>
        <row r="671">
          <cell r="B671" t="str">
            <v>Cavite</v>
          </cell>
          <cell r="J671" t="str">
            <v>Naic</v>
          </cell>
          <cell r="K671" t="str">
            <v>Municipality</v>
          </cell>
          <cell r="M671" t="str">
            <v>1st</v>
          </cell>
          <cell r="T671" t="str">
            <v>No</v>
          </cell>
        </row>
        <row r="672">
          <cell r="B672" t="str">
            <v>Cavite</v>
          </cell>
          <cell r="J672" t="str">
            <v>Noveleta</v>
          </cell>
          <cell r="K672" t="str">
            <v>Municipality</v>
          </cell>
          <cell r="M672" t="str">
            <v>3rd</v>
          </cell>
          <cell r="T672" t="str">
            <v>No</v>
          </cell>
        </row>
        <row r="673">
          <cell r="B673" t="str">
            <v>Cavite</v>
          </cell>
          <cell r="J673" t="str">
            <v>Rosario</v>
          </cell>
          <cell r="K673" t="str">
            <v>Municipality</v>
          </cell>
          <cell r="M673" t="str">
            <v>1st</v>
          </cell>
          <cell r="T673" t="str">
            <v>No</v>
          </cell>
        </row>
        <row r="674">
          <cell r="B674" t="str">
            <v>Cavite</v>
          </cell>
          <cell r="J674" t="str">
            <v>Silang</v>
          </cell>
          <cell r="K674" t="str">
            <v>Municipality</v>
          </cell>
          <cell r="M674" t="str">
            <v>1st</v>
          </cell>
          <cell r="T674" t="str">
            <v>No</v>
          </cell>
        </row>
        <row r="675">
          <cell r="B675" t="str">
            <v>Cavite</v>
          </cell>
          <cell r="J675" t="str">
            <v>Tagaytay City</v>
          </cell>
          <cell r="K675" t="str">
            <v>City</v>
          </cell>
          <cell r="M675" t="str">
            <v>2nd</v>
          </cell>
          <cell r="T675" t="str">
            <v>No</v>
          </cell>
        </row>
        <row r="676">
          <cell r="B676" t="str">
            <v>Cavite</v>
          </cell>
          <cell r="J676" t="str">
            <v>Tanza</v>
          </cell>
          <cell r="K676" t="str">
            <v>Municipality</v>
          </cell>
          <cell r="M676" t="str">
            <v>1st</v>
          </cell>
          <cell r="T676" t="str">
            <v>No</v>
          </cell>
        </row>
        <row r="677">
          <cell r="B677" t="str">
            <v>Cavite</v>
          </cell>
          <cell r="J677" t="str">
            <v>Ternate</v>
          </cell>
          <cell r="K677" t="str">
            <v>Municipality</v>
          </cell>
          <cell r="M677" t="str">
            <v>4th</v>
          </cell>
          <cell r="T677" t="str">
            <v>No</v>
          </cell>
        </row>
        <row r="678">
          <cell r="B678" t="str">
            <v>Cavite</v>
          </cell>
          <cell r="J678" t="str">
            <v>Trece Martires City (Capital)</v>
          </cell>
          <cell r="K678" t="str">
            <v>City</v>
          </cell>
          <cell r="M678" t="str">
            <v>4th</v>
          </cell>
          <cell r="T678" t="str">
            <v>No</v>
          </cell>
        </row>
        <row r="679">
          <cell r="B679" t="str">
            <v>Laguna</v>
          </cell>
          <cell r="J679" t="str">
            <v>Alaminos</v>
          </cell>
          <cell r="K679" t="str">
            <v>Municipality</v>
          </cell>
          <cell r="M679" t="str">
            <v>3rd</v>
          </cell>
          <cell r="T679" t="str">
            <v>Yes</v>
          </cell>
        </row>
        <row r="680">
          <cell r="B680" t="str">
            <v>Laguna</v>
          </cell>
          <cell r="J680" t="str">
            <v>Bay</v>
          </cell>
          <cell r="K680" t="str">
            <v>Municipality</v>
          </cell>
          <cell r="M680" t="str">
            <v>2nd</v>
          </cell>
          <cell r="T680" t="str">
            <v>Yes</v>
          </cell>
        </row>
        <row r="681">
          <cell r="B681" t="str">
            <v>Laguna</v>
          </cell>
          <cell r="J681" t="str">
            <v>Cabuyao City</v>
          </cell>
          <cell r="K681" t="str">
            <v>City</v>
          </cell>
          <cell r="M681" t="str">
            <v>-</v>
          </cell>
          <cell r="T681" t="str">
            <v>Yes</v>
          </cell>
        </row>
        <row r="682">
          <cell r="B682" t="str">
            <v>Laguna</v>
          </cell>
          <cell r="J682" t="str">
            <v>Calauan</v>
          </cell>
          <cell r="K682" t="str">
            <v>Municipality</v>
          </cell>
          <cell r="M682" t="str">
            <v>2nd</v>
          </cell>
          <cell r="T682" t="str">
            <v>Yes</v>
          </cell>
        </row>
        <row r="683">
          <cell r="B683" t="str">
            <v>Laguna</v>
          </cell>
          <cell r="J683" t="str">
            <v>Cavinti</v>
          </cell>
          <cell r="K683" t="str">
            <v>Municipality</v>
          </cell>
          <cell r="M683" t="str">
            <v>3rd</v>
          </cell>
          <cell r="T683" t="str">
            <v>Yes</v>
          </cell>
        </row>
        <row r="684">
          <cell r="B684" t="str">
            <v>Laguna</v>
          </cell>
          <cell r="J684" t="str">
            <v>City Of Biñan</v>
          </cell>
          <cell r="K684" t="str">
            <v>City</v>
          </cell>
          <cell r="M684" t="str">
            <v>-</v>
          </cell>
          <cell r="T684" t="str">
            <v>Yes</v>
          </cell>
        </row>
        <row r="685">
          <cell r="B685" t="str">
            <v>Laguna</v>
          </cell>
          <cell r="J685" t="str">
            <v>City Of Calamba</v>
          </cell>
          <cell r="K685" t="str">
            <v>City</v>
          </cell>
          <cell r="M685" t="str">
            <v>1st</v>
          </cell>
          <cell r="T685" t="str">
            <v>Yes</v>
          </cell>
        </row>
        <row r="686">
          <cell r="B686" t="str">
            <v>Laguna</v>
          </cell>
          <cell r="J686" t="str">
            <v>City Of San Pedro</v>
          </cell>
          <cell r="K686" t="str">
            <v>City</v>
          </cell>
          <cell r="M686" t="str">
            <v>-</v>
          </cell>
          <cell r="T686" t="str">
            <v>Yes</v>
          </cell>
        </row>
        <row r="687">
          <cell r="B687" t="str">
            <v>Laguna</v>
          </cell>
          <cell r="J687" t="str">
            <v>City Of Santa Rosa</v>
          </cell>
          <cell r="K687" t="str">
            <v>City</v>
          </cell>
          <cell r="M687" t="str">
            <v>1st</v>
          </cell>
          <cell r="T687" t="str">
            <v>Yes</v>
          </cell>
        </row>
        <row r="688">
          <cell r="B688" t="str">
            <v>Laguna</v>
          </cell>
          <cell r="J688" t="str">
            <v>Famy</v>
          </cell>
          <cell r="K688" t="str">
            <v>Municipality</v>
          </cell>
          <cell r="M688" t="str">
            <v>5th</v>
          </cell>
          <cell r="T688" t="str">
            <v>Yes</v>
          </cell>
        </row>
        <row r="689">
          <cell r="B689" t="str">
            <v>Laguna</v>
          </cell>
          <cell r="J689" t="str">
            <v>Kalayaan</v>
          </cell>
          <cell r="K689" t="str">
            <v>Municipality</v>
          </cell>
          <cell r="M689" t="str">
            <v>3rd</v>
          </cell>
          <cell r="T689" t="str">
            <v>Yes</v>
          </cell>
        </row>
        <row r="690">
          <cell r="B690" t="str">
            <v>Laguna</v>
          </cell>
          <cell r="J690" t="str">
            <v>Liliw</v>
          </cell>
          <cell r="K690" t="str">
            <v>Municipality</v>
          </cell>
          <cell r="M690" t="str">
            <v>4th</v>
          </cell>
          <cell r="T690" t="str">
            <v>Yes</v>
          </cell>
        </row>
        <row r="691">
          <cell r="B691" t="str">
            <v>Laguna</v>
          </cell>
          <cell r="J691" t="str">
            <v>Los Baños</v>
          </cell>
          <cell r="K691" t="str">
            <v>Municipality</v>
          </cell>
          <cell r="M691" t="str">
            <v>1st</v>
          </cell>
          <cell r="T691" t="str">
            <v>Yes</v>
          </cell>
        </row>
        <row r="692">
          <cell r="B692" t="str">
            <v>Laguna</v>
          </cell>
          <cell r="J692" t="str">
            <v>Luisiana</v>
          </cell>
          <cell r="K692" t="str">
            <v>Municipality</v>
          </cell>
          <cell r="M692" t="str">
            <v>4th</v>
          </cell>
          <cell r="T692" t="str">
            <v>Yes</v>
          </cell>
        </row>
        <row r="693">
          <cell r="B693" t="str">
            <v>Laguna</v>
          </cell>
          <cell r="J693" t="str">
            <v>Lumban</v>
          </cell>
          <cell r="K693" t="str">
            <v>Municipality</v>
          </cell>
          <cell r="M693" t="str">
            <v>3rd</v>
          </cell>
          <cell r="T693" t="str">
            <v>Yes</v>
          </cell>
        </row>
        <row r="694">
          <cell r="B694" t="str">
            <v>Laguna</v>
          </cell>
          <cell r="J694" t="str">
            <v>Mabitac</v>
          </cell>
          <cell r="K694" t="str">
            <v>Municipality</v>
          </cell>
          <cell r="M694" t="str">
            <v>5th</v>
          </cell>
          <cell r="T694" t="str">
            <v>Yes</v>
          </cell>
        </row>
        <row r="695">
          <cell r="B695" t="str">
            <v>Laguna</v>
          </cell>
          <cell r="J695" t="str">
            <v>Magdalena</v>
          </cell>
          <cell r="K695" t="str">
            <v>Municipality</v>
          </cell>
          <cell r="M695" t="str">
            <v>4th</v>
          </cell>
          <cell r="T695" t="str">
            <v>Yes</v>
          </cell>
        </row>
        <row r="696">
          <cell r="B696" t="str">
            <v>Laguna</v>
          </cell>
          <cell r="J696" t="str">
            <v>Majayjay</v>
          </cell>
          <cell r="K696" t="str">
            <v>Municipality</v>
          </cell>
          <cell r="M696" t="str">
            <v>4th</v>
          </cell>
          <cell r="T696" t="str">
            <v>Yes</v>
          </cell>
        </row>
        <row r="697">
          <cell r="B697" t="str">
            <v>Laguna</v>
          </cell>
          <cell r="J697" t="str">
            <v>Nagcarlan</v>
          </cell>
          <cell r="K697" t="str">
            <v>Municipality</v>
          </cell>
          <cell r="M697" t="str">
            <v>2nd</v>
          </cell>
          <cell r="T697" t="str">
            <v>Yes</v>
          </cell>
        </row>
        <row r="698">
          <cell r="B698" t="str">
            <v>Laguna</v>
          </cell>
          <cell r="J698" t="str">
            <v>Paete</v>
          </cell>
          <cell r="K698" t="str">
            <v>Municipality</v>
          </cell>
          <cell r="M698" t="str">
            <v>4th</v>
          </cell>
          <cell r="T698" t="str">
            <v>Yes</v>
          </cell>
        </row>
        <row r="699">
          <cell r="B699" t="str">
            <v>Laguna</v>
          </cell>
          <cell r="J699" t="str">
            <v>Pagsanjan</v>
          </cell>
          <cell r="K699" t="str">
            <v>Municipality</v>
          </cell>
          <cell r="M699" t="str">
            <v>3rd</v>
          </cell>
          <cell r="T699" t="str">
            <v>Yes</v>
          </cell>
        </row>
        <row r="700">
          <cell r="B700" t="str">
            <v>Laguna</v>
          </cell>
          <cell r="J700" t="str">
            <v>Pakil</v>
          </cell>
          <cell r="K700" t="str">
            <v>Municipality</v>
          </cell>
          <cell r="M700" t="str">
            <v>5th</v>
          </cell>
          <cell r="T700" t="str">
            <v>Yes</v>
          </cell>
        </row>
        <row r="701">
          <cell r="B701" t="str">
            <v>Laguna</v>
          </cell>
          <cell r="J701" t="str">
            <v>Pangil</v>
          </cell>
          <cell r="K701" t="str">
            <v>Municipality</v>
          </cell>
          <cell r="M701" t="str">
            <v>4th</v>
          </cell>
          <cell r="T701" t="str">
            <v>Yes</v>
          </cell>
        </row>
        <row r="702">
          <cell r="B702" t="str">
            <v>Laguna</v>
          </cell>
          <cell r="J702" t="str">
            <v>Pila</v>
          </cell>
          <cell r="K702" t="str">
            <v>Municipality</v>
          </cell>
          <cell r="M702" t="str">
            <v>3rd</v>
          </cell>
          <cell r="T702" t="str">
            <v>Yes</v>
          </cell>
        </row>
        <row r="703">
          <cell r="B703" t="str">
            <v>Laguna</v>
          </cell>
          <cell r="J703" t="str">
            <v>Rizal</v>
          </cell>
          <cell r="K703" t="str">
            <v>Municipality</v>
          </cell>
          <cell r="M703" t="str">
            <v>5th</v>
          </cell>
          <cell r="T703" t="str">
            <v>Yes</v>
          </cell>
        </row>
        <row r="704">
          <cell r="B704" t="str">
            <v>Laguna</v>
          </cell>
          <cell r="J704" t="str">
            <v>San Pablo City</v>
          </cell>
          <cell r="K704" t="str">
            <v>City</v>
          </cell>
          <cell r="M704" t="str">
            <v>1st</v>
          </cell>
          <cell r="T704" t="str">
            <v>Yes</v>
          </cell>
        </row>
        <row r="705">
          <cell r="B705" t="str">
            <v>Laguna</v>
          </cell>
          <cell r="J705" t="str">
            <v>Santa Cruz (Capital)</v>
          </cell>
          <cell r="K705" t="str">
            <v>Municipality</v>
          </cell>
          <cell r="M705" t="str">
            <v>1st</v>
          </cell>
          <cell r="T705" t="str">
            <v>Yes</v>
          </cell>
        </row>
        <row r="706">
          <cell r="B706" t="str">
            <v>Laguna</v>
          </cell>
          <cell r="J706" t="str">
            <v>Santa Maria</v>
          </cell>
          <cell r="K706" t="str">
            <v>Municipality</v>
          </cell>
          <cell r="M706" t="str">
            <v>4th</v>
          </cell>
          <cell r="T706" t="str">
            <v>Yes</v>
          </cell>
        </row>
        <row r="707">
          <cell r="B707" t="str">
            <v>Laguna</v>
          </cell>
          <cell r="J707" t="str">
            <v>Siniloan</v>
          </cell>
          <cell r="K707" t="str">
            <v>Municipality</v>
          </cell>
          <cell r="M707" t="str">
            <v>2nd</v>
          </cell>
          <cell r="T707" t="str">
            <v>Yes</v>
          </cell>
        </row>
        <row r="708">
          <cell r="B708" t="str">
            <v>Laguna</v>
          </cell>
          <cell r="J708" t="str">
            <v>Victoria</v>
          </cell>
          <cell r="K708" t="str">
            <v>Municipality</v>
          </cell>
          <cell r="M708" t="str">
            <v>4th</v>
          </cell>
          <cell r="T708" t="str">
            <v>Yes</v>
          </cell>
        </row>
        <row r="709">
          <cell r="B709" t="str">
            <v>Quezon</v>
          </cell>
          <cell r="J709" t="str">
            <v>Agdangan</v>
          </cell>
          <cell r="K709" t="str">
            <v>Municipality</v>
          </cell>
          <cell r="M709" t="str">
            <v>5th</v>
          </cell>
          <cell r="T709" t="str">
            <v>Yes</v>
          </cell>
        </row>
        <row r="710">
          <cell r="B710" t="str">
            <v>Quezon</v>
          </cell>
          <cell r="J710" t="str">
            <v>Alabat</v>
          </cell>
          <cell r="K710" t="str">
            <v>Municipality</v>
          </cell>
          <cell r="M710" t="str">
            <v>5th</v>
          </cell>
          <cell r="T710" t="str">
            <v>Yes</v>
          </cell>
        </row>
        <row r="711">
          <cell r="B711" t="str">
            <v>Quezon</v>
          </cell>
          <cell r="J711" t="str">
            <v>Atimonan</v>
          </cell>
          <cell r="K711" t="str">
            <v>Municipality</v>
          </cell>
          <cell r="M711" t="str">
            <v>1st</v>
          </cell>
          <cell r="T711" t="str">
            <v>Yes</v>
          </cell>
        </row>
        <row r="712">
          <cell r="B712" t="str">
            <v>Quezon</v>
          </cell>
          <cell r="J712" t="str">
            <v>Buenavista</v>
          </cell>
          <cell r="K712" t="str">
            <v>Municipality</v>
          </cell>
          <cell r="M712" t="str">
            <v>4th</v>
          </cell>
          <cell r="T712" t="str">
            <v>Yes</v>
          </cell>
        </row>
        <row r="713">
          <cell r="B713" t="str">
            <v>Quezon</v>
          </cell>
          <cell r="J713" t="str">
            <v>Burdeos</v>
          </cell>
          <cell r="K713" t="str">
            <v>Municipality</v>
          </cell>
          <cell r="M713" t="str">
            <v>4th</v>
          </cell>
          <cell r="T713" t="str">
            <v>Yes</v>
          </cell>
        </row>
        <row r="714">
          <cell r="B714" t="str">
            <v>Quezon</v>
          </cell>
          <cell r="J714" t="str">
            <v>Calauag</v>
          </cell>
          <cell r="K714" t="str">
            <v>Municipality</v>
          </cell>
          <cell r="M714" t="str">
            <v>1st</v>
          </cell>
          <cell r="T714" t="str">
            <v>Yes</v>
          </cell>
        </row>
        <row r="715">
          <cell r="B715" t="str">
            <v>Quezon</v>
          </cell>
          <cell r="J715" t="str">
            <v>Candelaria</v>
          </cell>
          <cell r="K715" t="str">
            <v>Municipality</v>
          </cell>
          <cell r="M715" t="str">
            <v>1st</v>
          </cell>
          <cell r="T715" t="str">
            <v>Yes</v>
          </cell>
        </row>
        <row r="716">
          <cell r="B716" t="str">
            <v>Quezon</v>
          </cell>
          <cell r="J716" t="str">
            <v>Catanauan</v>
          </cell>
          <cell r="K716" t="str">
            <v>Municipality</v>
          </cell>
          <cell r="M716" t="str">
            <v>1st</v>
          </cell>
          <cell r="T716" t="str">
            <v>Yes</v>
          </cell>
        </row>
        <row r="717">
          <cell r="B717" t="str">
            <v>Quezon</v>
          </cell>
          <cell r="J717" t="str">
            <v>City Of Tayabas</v>
          </cell>
          <cell r="K717" t="str">
            <v>City</v>
          </cell>
          <cell r="M717" t="str">
            <v>6th</v>
          </cell>
          <cell r="T717" t="str">
            <v>Yes</v>
          </cell>
        </row>
        <row r="718">
          <cell r="B718" t="str">
            <v>Quezon</v>
          </cell>
          <cell r="J718" t="str">
            <v>Dolores</v>
          </cell>
          <cell r="K718" t="str">
            <v>Municipality</v>
          </cell>
          <cell r="M718" t="str">
            <v>4th</v>
          </cell>
          <cell r="T718" t="str">
            <v>Yes</v>
          </cell>
        </row>
        <row r="719">
          <cell r="B719" t="str">
            <v>Quezon</v>
          </cell>
          <cell r="J719" t="str">
            <v>General Luna</v>
          </cell>
          <cell r="K719" t="str">
            <v>Municipality</v>
          </cell>
          <cell r="M719" t="str">
            <v>4th</v>
          </cell>
          <cell r="T719" t="str">
            <v>Yes</v>
          </cell>
        </row>
        <row r="720">
          <cell r="B720" t="str">
            <v>Quezon</v>
          </cell>
          <cell r="J720" t="str">
            <v>General Nakar</v>
          </cell>
          <cell r="K720" t="str">
            <v>Municipality</v>
          </cell>
          <cell r="M720" t="str">
            <v>1st</v>
          </cell>
          <cell r="T720" t="str">
            <v>Yes</v>
          </cell>
        </row>
        <row r="721">
          <cell r="B721" t="str">
            <v>Quezon</v>
          </cell>
          <cell r="J721" t="str">
            <v>Guinayangan</v>
          </cell>
          <cell r="K721" t="str">
            <v>Municipality</v>
          </cell>
          <cell r="M721" t="str">
            <v>3rd</v>
          </cell>
          <cell r="T721" t="str">
            <v>Yes</v>
          </cell>
        </row>
        <row r="722">
          <cell r="B722" t="str">
            <v>Quezon</v>
          </cell>
          <cell r="J722" t="str">
            <v>Gumaca</v>
          </cell>
          <cell r="K722" t="str">
            <v>Municipality</v>
          </cell>
          <cell r="M722" t="str">
            <v>1st</v>
          </cell>
          <cell r="T722" t="str">
            <v>Yes</v>
          </cell>
        </row>
        <row r="723">
          <cell r="B723" t="str">
            <v>Quezon</v>
          </cell>
          <cell r="J723" t="str">
            <v>Infanta</v>
          </cell>
          <cell r="K723" t="str">
            <v>Municipality</v>
          </cell>
          <cell r="M723" t="str">
            <v>1st</v>
          </cell>
          <cell r="T723" t="str">
            <v>Yes</v>
          </cell>
        </row>
        <row r="724">
          <cell r="B724" t="str">
            <v>Quezon</v>
          </cell>
          <cell r="J724" t="str">
            <v>Jomalig</v>
          </cell>
          <cell r="K724" t="str">
            <v>Municipality</v>
          </cell>
          <cell r="M724" t="str">
            <v>5th</v>
          </cell>
          <cell r="T724" t="str">
            <v>Yes</v>
          </cell>
        </row>
        <row r="725">
          <cell r="B725" t="str">
            <v>Quezon</v>
          </cell>
          <cell r="J725" t="str">
            <v>Lopez</v>
          </cell>
          <cell r="K725" t="str">
            <v>Municipality</v>
          </cell>
          <cell r="M725" t="str">
            <v>1st</v>
          </cell>
          <cell r="T725" t="str">
            <v>Yes</v>
          </cell>
        </row>
        <row r="726">
          <cell r="B726" t="str">
            <v>Quezon</v>
          </cell>
          <cell r="J726" t="str">
            <v>Lucban</v>
          </cell>
          <cell r="K726" t="str">
            <v>Municipality</v>
          </cell>
          <cell r="M726" t="str">
            <v>2nd</v>
          </cell>
          <cell r="T726" t="str">
            <v>Yes</v>
          </cell>
        </row>
        <row r="727">
          <cell r="B727" t="str">
            <v>Quezon</v>
          </cell>
          <cell r="J727" t="str">
            <v>Lucena City (Capital)</v>
          </cell>
          <cell r="K727" t="str">
            <v>City</v>
          </cell>
          <cell r="M727" t="str">
            <v>2nd</v>
          </cell>
          <cell r="T727" t="str">
            <v>Yes</v>
          </cell>
        </row>
        <row r="728">
          <cell r="B728" t="str">
            <v>Quezon</v>
          </cell>
          <cell r="J728" t="str">
            <v>Macalelon</v>
          </cell>
          <cell r="K728" t="str">
            <v>Municipality</v>
          </cell>
          <cell r="M728" t="str">
            <v>4th</v>
          </cell>
          <cell r="T728" t="str">
            <v>Yes</v>
          </cell>
        </row>
        <row r="729">
          <cell r="B729" t="str">
            <v>Quezon</v>
          </cell>
          <cell r="J729" t="str">
            <v>Mauban</v>
          </cell>
          <cell r="K729" t="str">
            <v>Municipality</v>
          </cell>
          <cell r="M729" t="str">
            <v>1st</v>
          </cell>
          <cell r="T729" t="str">
            <v>Yes</v>
          </cell>
        </row>
        <row r="730">
          <cell r="B730" t="str">
            <v>Quezon</v>
          </cell>
          <cell r="J730" t="str">
            <v>Mulanay</v>
          </cell>
          <cell r="K730" t="str">
            <v>Municipality</v>
          </cell>
          <cell r="M730" t="str">
            <v>1st</v>
          </cell>
          <cell r="T730" t="str">
            <v>Yes</v>
          </cell>
        </row>
        <row r="731">
          <cell r="B731" t="str">
            <v>Quezon</v>
          </cell>
          <cell r="J731" t="str">
            <v>Padre Burgos</v>
          </cell>
          <cell r="K731" t="str">
            <v>Municipality</v>
          </cell>
          <cell r="M731" t="str">
            <v>4th</v>
          </cell>
          <cell r="T731" t="str">
            <v>Yes</v>
          </cell>
        </row>
        <row r="732">
          <cell r="B732" t="str">
            <v>Quezon</v>
          </cell>
          <cell r="J732" t="str">
            <v>Pagbilao</v>
          </cell>
          <cell r="K732" t="str">
            <v>Municipality</v>
          </cell>
          <cell r="M732" t="str">
            <v>1st</v>
          </cell>
          <cell r="T732" t="str">
            <v>Yes</v>
          </cell>
        </row>
        <row r="733">
          <cell r="B733" t="str">
            <v>Quezon</v>
          </cell>
          <cell r="J733" t="str">
            <v>Panukulan</v>
          </cell>
          <cell r="K733" t="str">
            <v>Municipality</v>
          </cell>
          <cell r="M733" t="str">
            <v>4th</v>
          </cell>
          <cell r="T733" t="str">
            <v>Yes</v>
          </cell>
        </row>
        <row r="734">
          <cell r="B734" t="str">
            <v>Quezon</v>
          </cell>
          <cell r="J734" t="str">
            <v>Patnanungan</v>
          </cell>
          <cell r="K734" t="str">
            <v>Municipality</v>
          </cell>
          <cell r="M734" t="str">
            <v>5th</v>
          </cell>
          <cell r="T734" t="str">
            <v>Yes</v>
          </cell>
        </row>
        <row r="735">
          <cell r="B735" t="str">
            <v>Quezon</v>
          </cell>
          <cell r="J735" t="str">
            <v>Perez</v>
          </cell>
          <cell r="K735" t="str">
            <v>Municipality</v>
          </cell>
          <cell r="M735" t="str">
            <v>5th</v>
          </cell>
          <cell r="T735" t="str">
            <v>Yes</v>
          </cell>
        </row>
        <row r="736">
          <cell r="B736" t="str">
            <v>Quezon</v>
          </cell>
          <cell r="J736" t="str">
            <v>Pitogo</v>
          </cell>
          <cell r="K736" t="str">
            <v>Municipality</v>
          </cell>
          <cell r="M736" t="str">
            <v>4th</v>
          </cell>
          <cell r="T736" t="str">
            <v>Yes</v>
          </cell>
        </row>
        <row r="737">
          <cell r="B737" t="str">
            <v>Quezon</v>
          </cell>
          <cell r="J737" t="str">
            <v>Plaridel</v>
          </cell>
          <cell r="K737" t="str">
            <v>Municipality</v>
          </cell>
          <cell r="M737" t="str">
            <v>5th</v>
          </cell>
          <cell r="T737" t="str">
            <v>Yes</v>
          </cell>
        </row>
        <row r="738">
          <cell r="B738" t="str">
            <v>Quezon</v>
          </cell>
          <cell r="J738" t="str">
            <v>Polillo</v>
          </cell>
          <cell r="K738" t="str">
            <v>Municipality</v>
          </cell>
          <cell r="M738" t="str">
            <v>3rd</v>
          </cell>
          <cell r="T738" t="str">
            <v>Yes</v>
          </cell>
        </row>
        <row r="739">
          <cell r="B739" t="str">
            <v>Quezon</v>
          </cell>
          <cell r="J739" t="str">
            <v>Quezon</v>
          </cell>
          <cell r="K739" t="str">
            <v>Municipality</v>
          </cell>
          <cell r="M739" t="str">
            <v>5th</v>
          </cell>
          <cell r="T739" t="str">
            <v>Yes</v>
          </cell>
        </row>
        <row r="740">
          <cell r="B740" t="str">
            <v>Quezon</v>
          </cell>
          <cell r="J740" t="str">
            <v>Real</v>
          </cell>
          <cell r="K740" t="str">
            <v>Municipality</v>
          </cell>
          <cell r="M740" t="str">
            <v>1st</v>
          </cell>
          <cell r="T740" t="str">
            <v>Yes</v>
          </cell>
        </row>
        <row r="741">
          <cell r="B741" t="str">
            <v>Quezon</v>
          </cell>
          <cell r="J741" t="str">
            <v>Sampaloc</v>
          </cell>
          <cell r="K741" t="str">
            <v>Municipality</v>
          </cell>
          <cell r="M741" t="str">
            <v>5th</v>
          </cell>
          <cell r="T741" t="str">
            <v>Yes</v>
          </cell>
        </row>
        <row r="742">
          <cell r="B742" t="str">
            <v>Quezon</v>
          </cell>
          <cell r="J742" t="str">
            <v>San Andres</v>
          </cell>
          <cell r="K742" t="str">
            <v>Municipality</v>
          </cell>
          <cell r="M742" t="str">
            <v>4th</v>
          </cell>
          <cell r="T742" t="str">
            <v>Yes</v>
          </cell>
        </row>
        <row r="743">
          <cell r="B743" t="str">
            <v>Quezon</v>
          </cell>
          <cell r="J743" t="str">
            <v>San Antonio</v>
          </cell>
          <cell r="K743" t="str">
            <v>Municipality</v>
          </cell>
          <cell r="M743" t="str">
            <v>4th</v>
          </cell>
          <cell r="T743" t="str">
            <v>Yes</v>
          </cell>
        </row>
        <row r="744">
          <cell r="B744" t="str">
            <v>Quezon</v>
          </cell>
          <cell r="J744" t="str">
            <v>San Francisco (Aurora)</v>
          </cell>
          <cell r="K744" t="str">
            <v>Municipality</v>
          </cell>
          <cell r="M744" t="str">
            <v>2nd</v>
          </cell>
          <cell r="T744" t="str">
            <v>Yes</v>
          </cell>
        </row>
        <row r="745">
          <cell r="B745" t="str">
            <v>Quezon</v>
          </cell>
          <cell r="J745" t="str">
            <v>San Narciso</v>
          </cell>
          <cell r="K745" t="str">
            <v>Municipality</v>
          </cell>
          <cell r="M745" t="str">
            <v>3rd</v>
          </cell>
          <cell r="T745" t="str">
            <v>Yes</v>
          </cell>
        </row>
        <row r="746">
          <cell r="B746" t="str">
            <v>Quezon</v>
          </cell>
          <cell r="J746" t="str">
            <v>Sariaya</v>
          </cell>
          <cell r="K746" t="str">
            <v>Municipality</v>
          </cell>
          <cell r="M746" t="str">
            <v>1st</v>
          </cell>
          <cell r="T746" t="str">
            <v>Yes</v>
          </cell>
        </row>
        <row r="747">
          <cell r="B747" t="str">
            <v>Quezon</v>
          </cell>
          <cell r="J747" t="str">
            <v>Tagkawayan</v>
          </cell>
          <cell r="K747" t="str">
            <v>Municipality</v>
          </cell>
          <cell r="M747" t="str">
            <v>1st</v>
          </cell>
          <cell r="T747" t="str">
            <v>Yes</v>
          </cell>
        </row>
        <row r="748">
          <cell r="B748" t="str">
            <v>Quezon</v>
          </cell>
          <cell r="J748" t="str">
            <v>Tiaong</v>
          </cell>
          <cell r="K748" t="str">
            <v>Municipality</v>
          </cell>
          <cell r="M748" t="str">
            <v>1st</v>
          </cell>
          <cell r="T748" t="str">
            <v>Yes</v>
          </cell>
        </row>
        <row r="749">
          <cell r="B749" t="str">
            <v>Quezon</v>
          </cell>
          <cell r="J749" t="str">
            <v>Unisan</v>
          </cell>
          <cell r="K749" t="str">
            <v>Municipality</v>
          </cell>
          <cell r="M749" t="str">
            <v>4th</v>
          </cell>
          <cell r="T749" t="str">
            <v>Yes</v>
          </cell>
        </row>
        <row r="750">
          <cell r="B750" t="str">
            <v>Rizal</v>
          </cell>
          <cell r="J750" t="str">
            <v>Angono</v>
          </cell>
          <cell r="K750" t="str">
            <v>Municipality</v>
          </cell>
          <cell r="M750" t="str">
            <v>1st</v>
          </cell>
          <cell r="T750" t="str">
            <v>No</v>
          </cell>
        </row>
        <row r="751">
          <cell r="B751" t="str">
            <v>Rizal</v>
          </cell>
          <cell r="J751" t="str">
            <v>Baras</v>
          </cell>
          <cell r="K751" t="str">
            <v>Municipality</v>
          </cell>
          <cell r="M751" t="str">
            <v>4th</v>
          </cell>
          <cell r="T751" t="str">
            <v>No</v>
          </cell>
        </row>
        <row r="752">
          <cell r="B752" t="str">
            <v>Rizal</v>
          </cell>
          <cell r="J752" t="str">
            <v>Binangonan</v>
          </cell>
          <cell r="K752" t="str">
            <v>Municipality</v>
          </cell>
          <cell r="M752" t="str">
            <v>1st</v>
          </cell>
          <cell r="T752" t="str">
            <v>No</v>
          </cell>
        </row>
        <row r="753">
          <cell r="B753" t="str">
            <v>Rizal</v>
          </cell>
          <cell r="J753" t="str">
            <v>Cainta</v>
          </cell>
          <cell r="K753" t="str">
            <v>Municipality</v>
          </cell>
          <cell r="M753" t="str">
            <v>1st</v>
          </cell>
          <cell r="T753" t="str">
            <v>No</v>
          </cell>
        </row>
        <row r="754">
          <cell r="B754" t="str">
            <v>Rizal</v>
          </cell>
          <cell r="J754" t="str">
            <v>Cardona</v>
          </cell>
          <cell r="K754" t="str">
            <v>Municipality</v>
          </cell>
          <cell r="M754" t="str">
            <v>3rd</v>
          </cell>
          <cell r="T754" t="str">
            <v>No</v>
          </cell>
        </row>
        <row r="755">
          <cell r="B755" t="str">
            <v>Rizal</v>
          </cell>
          <cell r="J755" t="str">
            <v>City Of Antipolo</v>
          </cell>
          <cell r="K755" t="str">
            <v>City</v>
          </cell>
          <cell r="M755" t="str">
            <v>1st</v>
          </cell>
          <cell r="T755" t="str">
            <v>No</v>
          </cell>
        </row>
        <row r="756">
          <cell r="B756" t="str">
            <v>Rizal</v>
          </cell>
          <cell r="J756" t="str">
            <v>Jala-Jala</v>
          </cell>
          <cell r="K756" t="str">
            <v>Municipality</v>
          </cell>
          <cell r="M756" t="str">
            <v>4th</v>
          </cell>
          <cell r="T756" t="str">
            <v>No</v>
          </cell>
        </row>
        <row r="757">
          <cell r="B757" t="str">
            <v>Rizal</v>
          </cell>
          <cell r="J757" t="str">
            <v>Morong</v>
          </cell>
          <cell r="K757" t="str">
            <v>Municipality</v>
          </cell>
          <cell r="M757" t="str">
            <v>2nd</v>
          </cell>
          <cell r="T757" t="str">
            <v>No</v>
          </cell>
        </row>
        <row r="758">
          <cell r="B758" t="str">
            <v>Rizal</v>
          </cell>
          <cell r="J758" t="str">
            <v>Pililla</v>
          </cell>
          <cell r="K758" t="str">
            <v>Municipality</v>
          </cell>
          <cell r="M758" t="str">
            <v>1st</v>
          </cell>
          <cell r="T758" t="str">
            <v>No</v>
          </cell>
        </row>
        <row r="759">
          <cell r="B759" t="str">
            <v>Rizal</v>
          </cell>
          <cell r="J759" t="str">
            <v>Rodriguez (Montalban)</v>
          </cell>
          <cell r="K759" t="str">
            <v>Municipality</v>
          </cell>
          <cell r="M759" t="str">
            <v>1st</v>
          </cell>
          <cell r="T759" t="str">
            <v>No</v>
          </cell>
        </row>
        <row r="760">
          <cell r="B760" t="str">
            <v>Rizal</v>
          </cell>
          <cell r="J760" t="str">
            <v>San Mateo</v>
          </cell>
          <cell r="K760" t="str">
            <v>Municipality</v>
          </cell>
          <cell r="M760" t="str">
            <v>1st</v>
          </cell>
          <cell r="T760" t="str">
            <v>No</v>
          </cell>
        </row>
        <row r="761">
          <cell r="B761" t="str">
            <v>Rizal</v>
          </cell>
          <cell r="J761" t="str">
            <v>Tanay</v>
          </cell>
          <cell r="K761" t="str">
            <v>Municipality</v>
          </cell>
          <cell r="M761" t="str">
            <v>1st</v>
          </cell>
          <cell r="T761" t="str">
            <v>No</v>
          </cell>
        </row>
        <row r="762">
          <cell r="B762" t="str">
            <v>Rizal</v>
          </cell>
          <cell r="J762" t="str">
            <v>Taytay</v>
          </cell>
          <cell r="K762" t="str">
            <v>Municipality</v>
          </cell>
          <cell r="M762" t="str">
            <v>1st</v>
          </cell>
          <cell r="T762" t="str">
            <v>No</v>
          </cell>
        </row>
        <row r="763">
          <cell r="B763" t="str">
            <v>Rizal</v>
          </cell>
          <cell r="J763" t="str">
            <v>Teresa</v>
          </cell>
          <cell r="K763" t="str">
            <v>Municipality</v>
          </cell>
          <cell r="M763" t="str">
            <v>2nd</v>
          </cell>
          <cell r="T763" t="str">
            <v>No</v>
          </cell>
        </row>
        <row r="764">
          <cell r="B764" t="str">
            <v>Marinduque</v>
          </cell>
          <cell r="J764" t="str">
            <v>Boac (Capital)</v>
          </cell>
          <cell r="K764" t="str">
            <v>Municipality</v>
          </cell>
          <cell r="M764" t="str">
            <v>1st</v>
          </cell>
          <cell r="T764" t="str">
            <v>No</v>
          </cell>
        </row>
        <row r="765">
          <cell r="B765" t="str">
            <v>Marinduque</v>
          </cell>
          <cell r="J765" t="str">
            <v>Buenavista</v>
          </cell>
          <cell r="K765" t="str">
            <v>Municipality</v>
          </cell>
          <cell r="M765" t="str">
            <v>4th</v>
          </cell>
          <cell r="T765" t="str">
            <v>No</v>
          </cell>
        </row>
        <row r="766">
          <cell r="B766" t="str">
            <v>Marinduque</v>
          </cell>
          <cell r="J766" t="str">
            <v>Gasan</v>
          </cell>
          <cell r="K766" t="str">
            <v>Municipality</v>
          </cell>
          <cell r="M766" t="str">
            <v>3rd</v>
          </cell>
          <cell r="T766" t="str">
            <v>No</v>
          </cell>
        </row>
        <row r="767">
          <cell r="B767" t="str">
            <v>Marinduque</v>
          </cell>
          <cell r="J767" t="str">
            <v>Mogpog</v>
          </cell>
          <cell r="K767" t="str">
            <v>Municipality</v>
          </cell>
          <cell r="M767" t="str">
            <v>3rd</v>
          </cell>
          <cell r="T767" t="str">
            <v>No</v>
          </cell>
        </row>
        <row r="768">
          <cell r="B768" t="str">
            <v>Marinduque</v>
          </cell>
          <cell r="J768" t="str">
            <v>Santa Cruz</v>
          </cell>
          <cell r="K768" t="str">
            <v>Municipality</v>
          </cell>
          <cell r="M768" t="str">
            <v>1st</v>
          </cell>
          <cell r="T768" t="str">
            <v>No</v>
          </cell>
        </row>
        <row r="769">
          <cell r="B769" t="str">
            <v>Marinduque</v>
          </cell>
          <cell r="J769" t="str">
            <v>Torrijos</v>
          </cell>
          <cell r="K769" t="str">
            <v>Municipality</v>
          </cell>
          <cell r="M769" t="str">
            <v>3rd</v>
          </cell>
          <cell r="T769" t="str">
            <v>No</v>
          </cell>
        </row>
        <row r="770">
          <cell r="B770" t="str">
            <v>Occidental_Mindoro</v>
          </cell>
          <cell r="J770" t="str">
            <v>Abra De Ilog</v>
          </cell>
          <cell r="K770" t="str">
            <v>Municipality</v>
          </cell>
          <cell r="M770" t="str">
            <v>2nd</v>
          </cell>
          <cell r="T770" t="str">
            <v>No</v>
          </cell>
        </row>
        <row r="771">
          <cell r="B771" t="str">
            <v>Occidental_Mindoro</v>
          </cell>
          <cell r="J771" t="str">
            <v>Calintaan</v>
          </cell>
          <cell r="K771" t="str">
            <v>Municipality</v>
          </cell>
          <cell r="M771" t="str">
            <v>3rd</v>
          </cell>
          <cell r="T771" t="str">
            <v>No</v>
          </cell>
        </row>
        <row r="772">
          <cell r="B772" t="str">
            <v>Occidental_Mindoro</v>
          </cell>
          <cell r="J772" t="str">
            <v>Looc</v>
          </cell>
          <cell r="K772" t="str">
            <v>Municipality</v>
          </cell>
          <cell r="M772" t="str">
            <v>5th</v>
          </cell>
          <cell r="T772" t="str">
            <v>No</v>
          </cell>
        </row>
        <row r="773">
          <cell r="B773" t="str">
            <v>Occidental_Mindoro</v>
          </cell>
          <cell r="J773" t="str">
            <v>Lubang</v>
          </cell>
          <cell r="K773" t="str">
            <v>Municipality</v>
          </cell>
          <cell r="M773" t="str">
            <v>4th</v>
          </cell>
          <cell r="T773" t="str">
            <v>No</v>
          </cell>
        </row>
        <row r="774">
          <cell r="B774" t="str">
            <v>Occidental_Mindoro</v>
          </cell>
          <cell r="J774" t="str">
            <v>Magsaysay</v>
          </cell>
          <cell r="K774" t="str">
            <v>Municipality</v>
          </cell>
          <cell r="M774" t="str">
            <v>3rd</v>
          </cell>
          <cell r="T774" t="str">
            <v>No</v>
          </cell>
        </row>
        <row r="775">
          <cell r="B775" t="str">
            <v>Occidental_Mindoro</v>
          </cell>
          <cell r="J775" t="str">
            <v>Mamburao (Capital)</v>
          </cell>
          <cell r="K775" t="str">
            <v>Municipality</v>
          </cell>
          <cell r="M775" t="str">
            <v>2nd</v>
          </cell>
          <cell r="T775" t="str">
            <v>No</v>
          </cell>
        </row>
        <row r="776">
          <cell r="B776" t="str">
            <v>Occidental_Mindoro</v>
          </cell>
          <cell r="J776" t="str">
            <v>Paluan</v>
          </cell>
          <cell r="K776" t="str">
            <v>Municipality</v>
          </cell>
          <cell r="M776" t="str">
            <v>3rd</v>
          </cell>
          <cell r="T776" t="str">
            <v>No</v>
          </cell>
        </row>
        <row r="777">
          <cell r="B777" t="str">
            <v>Occidental_Mindoro</v>
          </cell>
          <cell r="J777" t="str">
            <v>Rizal</v>
          </cell>
          <cell r="K777" t="str">
            <v>Municipality</v>
          </cell>
          <cell r="M777" t="str">
            <v>3rd</v>
          </cell>
          <cell r="T777" t="str">
            <v>No</v>
          </cell>
        </row>
        <row r="778">
          <cell r="B778" t="str">
            <v>Occidental_Mindoro</v>
          </cell>
          <cell r="J778" t="str">
            <v>Sablayan</v>
          </cell>
          <cell r="K778" t="str">
            <v>Municipality</v>
          </cell>
          <cell r="M778" t="str">
            <v>1st</v>
          </cell>
          <cell r="T778" t="str">
            <v>No</v>
          </cell>
        </row>
        <row r="779">
          <cell r="B779" t="str">
            <v>Occidental_Mindoro</v>
          </cell>
          <cell r="J779" t="str">
            <v>San Jose</v>
          </cell>
          <cell r="K779" t="str">
            <v>Municipality</v>
          </cell>
          <cell r="M779" t="str">
            <v>1st</v>
          </cell>
          <cell r="T779" t="str">
            <v>No</v>
          </cell>
        </row>
        <row r="780">
          <cell r="B780" t="str">
            <v>Occidental_Mindoro</v>
          </cell>
          <cell r="J780" t="str">
            <v>Santa Cruz</v>
          </cell>
          <cell r="K780" t="str">
            <v>Municipality</v>
          </cell>
          <cell r="M780" t="str">
            <v>1st</v>
          </cell>
          <cell r="T780" t="str">
            <v>No</v>
          </cell>
        </row>
        <row r="781">
          <cell r="B781" t="str">
            <v>Oriental_Mindoro</v>
          </cell>
          <cell r="J781" t="str">
            <v>Baco</v>
          </cell>
          <cell r="K781" t="str">
            <v>Municipality</v>
          </cell>
          <cell r="M781" t="str">
            <v>3rd</v>
          </cell>
          <cell r="T781" t="str">
            <v>No</v>
          </cell>
        </row>
        <row r="782">
          <cell r="B782" t="str">
            <v>Oriental_Mindoro</v>
          </cell>
          <cell r="J782" t="str">
            <v>Bansud</v>
          </cell>
          <cell r="K782" t="str">
            <v>Municipality</v>
          </cell>
          <cell r="M782" t="str">
            <v>2nd</v>
          </cell>
          <cell r="T782" t="str">
            <v>No</v>
          </cell>
        </row>
        <row r="783">
          <cell r="B783" t="str">
            <v>Oriental_Mindoro</v>
          </cell>
          <cell r="J783" t="str">
            <v>Bongabong</v>
          </cell>
          <cell r="K783" t="str">
            <v>Municipality</v>
          </cell>
          <cell r="M783" t="str">
            <v>1st</v>
          </cell>
          <cell r="T783" t="str">
            <v>No</v>
          </cell>
        </row>
        <row r="784">
          <cell r="B784" t="str">
            <v>Oriental_Mindoro</v>
          </cell>
          <cell r="J784" t="str">
            <v>Bulalacao (San Pedro)</v>
          </cell>
          <cell r="K784" t="str">
            <v>Municipality</v>
          </cell>
          <cell r="M784" t="str">
            <v>3rd</v>
          </cell>
          <cell r="T784" t="str">
            <v>No</v>
          </cell>
        </row>
        <row r="785">
          <cell r="B785" t="str">
            <v>Oriental_Mindoro</v>
          </cell>
          <cell r="J785" t="str">
            <v>City Of Calapan (Capital)</v>
          </cell>
          <cell r="K785" t="str">
            <v>City</v>
          </cell>
          <cell r="M785" t="str">
            <v>3rd</v>
          </cell>
          <cell r="T785" t="str">
            <v>No</v>
          </cell>
        </row>
        <row r="786">
          <cell r="B786" t="str">
            <v>Oriental_Mindoro</v>
          </cell>
          <cell r="J786" t="str">
            <v>Gloria</v>
          </cell>
          <cell r="K786" t="str">
            <v>Municipality</v>
          </cell>
          <cell r="M786" t="str">
            <v>3rd</v>
          </cell>
          <cell r="T786" t="str">
            <v>No</v>
          </cell>
        </row>
        <row r="787">
          <cell r="B787" t="str">
            <v>Oriental_Mindoro</v>
          </cell>
          <cell r="J787" t="str">
            <v>Mansalay</v>
          </cell>
          <cell r="K787" t="str">
            <v>Municipality</v>
          </cell>
          <cell r="M787" t="str">
            <v>2nd</v>
          </cell>
          <cell r="T787" t="str">
            <v>No</v>
          </cell>
        </row>
        <row r="788">
          <cell r="B788" t="str">
            <v>Oriental_Mindoro</v>
          </cell>
          <cell r="J788" t="str">
            <v>Naujan</v>
          </cell>
          <cell r="K788" t="str">
            <v>Municipality</v>
          </cell>
          <cell r="M788" t="str">
            <v>1st</v>
          </cell>
          <cell r="T788" t="str">
            <v>No</v>
          </cell>
        </row>
        <row r="789">
          <cell r="B789" t="str">
            <v>Oriental_Mindoro</v>
          </cell>
          <cell r="J789" t="str">
            <v>Pinamalayan</v>
          </cell>
          <cell r="K789" t="str">
            <v>Municipality</v>
          </cell>
          <cell r="M789" t="str">
            <v>1st</v>
          </cell>
          <cell r="T789" t="str">
            <v>No</v>
          </cell>
        </row>
        <row r="790">
          <cell r="B790" t="str">
            <v>Oriental_Mindoro</v>
          </cell>
          <cell r="J790" t="str">
            <v>Pola</v>
          </cell>
          <cell r="K790" t="str">
            <v>Municipality</v>
          </cell>
          <cell r="M790" t="str">
            <v>3rd</v>
          </cell>
          <cell r="T790" t="str">
            <v>No</v>
          </cell>
        </row>
        <row r="791">
          <cell r="B791" t="str">
            <v>Oriental_Mindoro</v>
          </cell>
          <cell r="J791" t="str">
            <v>Puerto Galera</v>
          </cell>
          <cell r="K791" t="str">
            <v>Municipality</v>
          </cell>
          <cell r="M791" t="str">
            <v>1st</v>
          </cell>
          <cell r="T791" t="str">
            <v>No</v>
          </cell>
        </row>
        <row r="792">
          <cell r="B792" t="str">
            <v>Oriental_Mindoro</v>
          </cell>
          <cell r="J792" t="str">
            <v>Roxas</v>
          </cell>
          <cell r="K792" t="str">
            <v>Municipality</v>
          </cell>
          <cell r="M792" t="str">
            <v>2nd</v>
          </cell>
          <cell r="T792" t="str">
            <v>No</v>
          </cell>
        </row>
        <row r="793">
          <cell r="B793" t="str">
            <v>Oriental_Mindoro</v>
          </cell>
          <cell r="J793" t="str">
            <v>San Teodoro</v>
          </cell>
          <cell r="K793" t="str">
            <v>Municipality</v>
          </cell>
          <cell r="M793" t="str">
            <v>4th</v>
          </cell>
          <cell r="T793" t="str">
            <v>No</v>
          </cell>
        </row>
        <row r="794">
          <cell r="B794" t="str">
            <v>Oriental_Mindoro</v>
          </cell>
          <cell r="J794" t="str">
            <v>Socorro</v>
          </cell>
          <cell r="K794" t="str">
            <v>Municipality</v>
          </cell>
          <cell r="M794" t="str">
            <v>3rd</v>
          </cell>
          <cell r="T794" t="str">
            <v>No</v>
          </cell>
        </row>
        <row r="795">
          <cell r="B795" t="str">
            <v>Oriental_Mindoro</v>
          </cell>
          <cell r="J795" t="str">
            <v>Victoria</v>
          </cell>
          <cell r="K795" t="str">
            <v>Municipality</v>
          </cell>
          <cell r="M795" t="str">
            <v>2nd</v>
          </cell>
          <cell r="T795" t="str">
            <v>No</v>
          </cell>
        </row>
        <row r="796">
          <cell r="B796" t="str">
            <v>Palawan</v>
          </cell>
          <cell r="J796" t="str">
            <v>Aborlan</v>
          </cell>
          <cell r="K796" t="str">
            <v>Municipality</v>
          </cell>
          <cell r="M796" t="str">
            <v>1st</v>
          </cell>
          <cell r="T796" t="str">
            <v>No</v>
          </cell>
        </row>
        <row r="797">
          <cell r="B797" t="str">
            <v>Palawan</v>
          </cell>
          <cell r="J797" t="str">
            <v>Agutaya</v>
          </cell>
          <cell r="K797" t="str">
            <v>Municipality</v>
          </cell>
          <cell r="M797" t="str">
            <v>5th</v>
          </cell>
          <cell r="T797" t="str">
            <v>No</v>
          </cell>
        </row>
        <row r="798">
          <cell r="B798" t="str">
            <v>Palawan</v>
          </cell>
          <cell r="J798" t="str">
            <v>Araceli</v>
          </cell>
          <cell r="K798" t="str">
            <v>Municipality</v>
          </cell>
          <cell r="M798" t="str">
            <v>4th</v>
          </cell>
          <cell r="T798" t="str">
            <v>No</v>
          </cell>
        </row>
        <row r="799">
          <cell r="B799" t="str">
            <v>Palawan</v>
          </cell>
          <cell r="J799" t="str">
            <v>Balabac</v>
          </cell>
          <cell r="K799" t="str">
            <v>Municipality</v>
          </cell>
          <cell r="M799" t="str">
            <v>2nd</v>
          </cell>
          <cell r="T799" t="str">
            <v>No</v>
          </cell>
        </row>
        <row r="800">
          <cell r="B800" t="str">
            <v>Palawan</v>
          </cell>
          <cell r="J800" t="str">
            <v>Bataraza</v>
          </cell>
          <cell r="K800" t="str">
            <v>Municipality</v>
          </cell>
          <cell r="M800" t="str">
            <v>1st</v>
          </cell>
          <cell r="T800" t="str">
            <v>No</v>
          </cell>
        </row>
        <row r="801">
          <cell r="B801" t="str">
            <v>Palawan</v>
          </cell>
          <cell r="J801" t="str">
            <v>Brooke'S Point</v>
          </cell>
          <cell r="K801" t="str">
            <v>Municipality</v>
          </cell>
          <cell r="M801" t="str">
            <v>1st</v>
          </cell>
          <cell r="T801" t="str">
            <v>No</v>
          </cell>
        </row>
        <row r="802">
          <cell r="B802" t="str">
            <v>Palawan</v>
          </cell>
          <cell r="J802" t="str">
            <v>Busuanga</v>
          </cell>
          <cell r="K802" t="str">
            <v>Municipality</v>
          </cell>
          <cell r="M802" t="str">
            <v>3rd</v>
          </cell>
          <cell r="T802" t="str">
            <v>No</v>
          </cell>
        </row>
        <row r="803">
          <cell r="B803" t="str">
            <v>Palawan</v>
          </cell>
          <cell r="J803" t="str">
            <v>Cagayancillo</v>
          </cell>
          <cell r="K803" t="str">
            <v>Municipality</v>
          </cell>
          <cell r="M803" t="str">
            <v>6th</v>
          </cell>
          <cell r="T803" t="str">
            <v>No</v>
          </cell>
        </row>
        <row r="804">
          <cell r="B804" t="str">
            <v>Palawan</v>
          </cell>
          <cell r="J804" t="str">
            <v>Coron</v>
          </cell>
          <cell r="K804" t="str">
            <v>Municipality</v>
          </cell>
          <cell r="M804" t="str">
            <v>1st</v>
          </cell>
          <cell r="T804" t="str">
            <v>No</v>
          </cell>
        </row>
        <row r="805">
          <cell r="B805" t="str">
            <v>Palawan</v>
          </cell>
          <cell r="J805" t="str">
            <v>Culion</v>
          </cell>
          <cell r="K805" t="str">
            <v>Municipality</v>
          </cell>
          <cell r="M805" t="str">
            <v>3rd</v>
          </cell>
          <cell r="T805" t="str">
            <v>No</v>
          </cell>
        </row>
        <row r="806">
          <cell r="B806" t="str">
            <v>Palawan</v>
          </cell>
          <cell r="J806" t="str">
            <v>Cuyo</v>
          </cell>
          <cell r="K806" t="str">
            <v>Municipality</v>
          </cell>
          <cell r="M806" t="str">
            <v>4th</v>
          </cell>
          <cell r="T806" t="str">
            <v>No</v>
          </cell>
        </row>
        <row r="807">
          <cell r="B807" t="str">
            <v>Palawan</v>
          </cell>
          <cell r="J807" t="str">
            <v>Dumaran</v>
          </cell>
          <cell r="K807" t="str">
            <v>Municipality</v>
          </cell>
          <cell r="M807" t="str">
            <v>3rd</v>
          </cell>
          <cell r="T807" t="str">
            <v>No</v>
          </cell>
        </row>
        <row r="808">
          <cell r="B808" t="str">
            <v>Palawan</v>
          </cell>
          <cell r="J808" t="str">
            <v>El Nido (Bacuit)</v>
          </cell>
          <cell r="K808" t="str">
            <v>Municipality</v>
          </cell>
          <cell r="M808" t="str">
            <v>1st</v>
          </cell>
          <cell r="T808" t="str">
            <v>No</v>
          </cell>
        </row>
        <row r="809">
          <cell r="B809" t="str">
            <v>Palawan</v>
          </cell>
          <cell r="J809" t="str">
            <v>Kalayaan</v>
          </cell>
          <cell r="K809" t="str">
            <v>Municipality</v>
          </cell>
          <cell r="M809" t="str">
            <v>5th</v>
          </cell>
          <cell r="T809" t="str">
            <v>No</v>
          </cell>
        </row>
        <row r="810">
          <cell r="B810" t="str">
            <v>Palawan</v>
          </cell>
          <cell r="J810" t="str">
            <v>Linapacan</v>
          </cell>
          <cell r="K810" t="str">
            <v>Municipality</v>
          </cell>
          <cell r="M810" t="str">
            <v>5th</v>
          </cell>
          <cell r="T810" t="str">
            <v>No</v>
          </cell>
        </row>
        <row r="811">
          <cell r="B811" t="str">
            <v>Palawan</v>
          </cell>
          <cell r="J811" t="str">
            <v>Magsaysay</v>
          </cell>
          <cell r="K811" t="str">
            <v>Municipality</v>
          </cell>
          <cell r="M811" t="str">
            <v>5th</v>
          </cell>
          <cell r="T811" t="str">
            <v>No</v>
          </cell>
        </row>
        <row r="812">
          <cell r="B812" t="str">
            <v>Palawan</v>
          </cell>
          <cell r="J812" t="str">
            <v>Narra</v>
          </cell>
          <cell r="K812" t="str">
            <v>Municipality</v>
          </cell>
          <cell r="M812" t="str">
            <v>1st</v>
          </cell>
          <cell r="T812" t="str">
            <v>No</v>
          </cell>
        </row>
        <row r="813">
          <cell r="B813" t="str">
            <v>Palawan</v>
          </cell>
          <cell r="J813" t="str">
            <v>Puerto Princesa City (Capital)</v>
          </cell>
          <cell r="K813" t="str">
            <v>City</v>
          </cell>
          <cell r="M813" t="str">
            <v>1st</v>
          </cell>
          <cell r="T813" t="str">
            <v>No</v>
          </cell>
        </row>
        <row r="814">
          <cell r="B814" t="str">
            <v>Palawan</v>
          </cell>
          <cell r="J814" t="str">
            <v>Quezon</v>
          </cell>
          <cell r="K814" t="str">
            <v>Municipality</v>
          </cell>
          <cell r="M814" t="str">
            <v>1st</v>
          </cell>
          <cell r="T814" t="str">
            <v>No</v>
          </cell>
        </row>
        <row r="815">
          <cell r="B815" t="str">
            <v>Palawan</v>
          </cell>
          <cell r="J815" t="str">
            <v>Rizal (Marcos)</v>
          </cell>
          <cell r="K815" t="str">
            <v>Municipality</v>
          </cell>
          <cell r="M815" t="str">
            <v>1st</v>
          </cell>
          <cell r="T815" t="str">
            <v>No</v>
          </cell>
        </row>
        <row r="816">
          <cell r="B816" t="str">
            <v>Palawan</v>
          </cell>
          <cell r="J816" t="str">
            <v>Roxas</v>
          </cell>
          <cell r="K816" t="str">
            <v>Municipality</v>
          </cell>
          <cell r="M816" t="str">
            <v>1st</v>
          </cell>
          <cell r="T816" t="str">
            <v>No</v>
          </cell>
        </row>
        <row r="817">
          <cell r="B817" t="str">
            <v>Palawan</v>
          </cell>
          <cell r="J817" t="str">
            <v>San Vicente</v>
          </cell>
          <cell r="K817" t="str">
            <v>Municipality</v>
          </cell>
          <cell r="M817" t="str">
            <v>1st</v>
          </cell>
          <cell r="T817" t="str">
            <v>No</v>
          </cell>
        </row>
        <row r="818">
          <cell r="B818" t="str">
            <v>Palawan</v>
          </cell>
          <cell r="J818" t="str">
            <v>Sofronio Española</v>
          </cell>
          <cell r="K818" t="str">
            <v>Municipality</v>
          </cell>
          <cell r="M818" t="str">
            <v>2nd</v>
          </cell>
          <cell r="T818" t="str">
            <v>No</v>
          </cell>
        </row>
        <row r="819">
          <cell r="B819" t="str">
            <v>Palawan</v>
          </cell>
          <cell r="J819" t="str">
            <v>Taytay</v>
          </cell>
          <cell r="K819" t="str">
            <v>Municipality</v>
          </cell>
          <cell r="M819" t="str">
            <v>1st</v>
          </cell>
          <cell r="T819" t="str">
            <v>No</v>
          </cell>
        </row>
        <row r="820">
          <cell r="B820" t="str">
            <v>Romblon</v>
          </cell>
          <cell r="J820" t="str">
            <v>Alcantara</v>
          </cell>
          <cell r="K820" t="str">
            <v>Municipality</v>
          </cell>
          <cell r="M820" t="str">
            <v>5th</v>
          </cell>
          <cell r="T820" t="str">
            <v>No</v>
          </cell>
        </row>
        <row r="821">
          <cell r="B821" t="str">
            <v>Romblon</v>
          </cell>
          <cell r="J821" t="str">
            <v>Banton</v>
          </cell>
          <cell r="K821" t="str">
            <v>Municipality</v>
          </cell>
          <cell r="M821" t="str">
            <v>5th</v>
          </cell>
          <cell r="T821" t="str">
            <v>No</v>
          </cell>
        </row>
        <row r="822">
          <cell r="B822" t="str">
            <v>Romblon</v>
          </cell>
          <cell r="J822" t="str">
            <v>Cajidiocan</v>
          </cell>
          <cell r="K822" t="str">
            <v>Municipality</v>
          </cell>
          <cell r="M822" t="str">
            <v>4th</v>
          </cell>
          <cell r="T822" t="str">
            <v>No</v>
          </cell>
        </row>
        <row r="823">
          <cell r="B823" t="str">
            <v>Romblon</v>
          </cell>
          <cell r="J823" t="str">
            <v>Calatrava</v>
          </cell>
          <cell r="K823" t="str">
            <v>Municipality</v>
          </cell>
          <cell r="M823" t="str">
            <v>5th</v>
          </cell>
          <cell r="T823" t="str">
            <v>No</v>
          </cell>
        </row>
        <row r="824">
          <cell r="B824" t="str">
            <v>Romblon</v>
          </cell>
          <cell r="J824" t="str">
            <v>Concepcion</v>
          </cell>
          <cell r="K824" t="str">
            <v>Municipality</v>
          </cell>
          <cell r="M824" t="str">
            <v>6th</v>
          </cell>
          <cell r="T824" t="str">
            <v>No</v>
          </cell>
        </row>
        <row r="825">
          <cell r="B825" t="str">
            <v>Romblon</v>
          </cell>
          <cell r="J825" t="str">
            <v>Corcuera</v>
          </cell>
          <cell r="K825" t="str">
            <v>Municipality</v>
          </cell>
          <cell r="M825" t="str">
            <v>5th</v>
          </cell>
          <cell r="T825" t="str">
            <v>No</v>
          </cell>
        </row>
        <row r="826">
          <cell r="B826" t="str">
            <v>Romblon</v>
          </cell>
          <cell r="J826" t="str">
            <v>Ferrol</v>
          </cell>
          <cell r="K826" t="str">
            <v>Municipality</v>
          </cell>
          <cell r="M826" t="str">
            <v>6th</v>
          </cell>
          <cell r="T826" t="str">
            <v>No</v>
          </cell>
        </row>
        <row r="827">
          <cell r="B827" t="str">
            <v>Romblon</v>
          </cell>
          <cell r="J827" t="str">
            <v>Looc</v>
          </cell>
          <cell r="K827" t="str">
            <v>Municipality</v>
          </cell>
          <cell r="M827" t="str">
            <v>4th</v>
          </cell>
          <cell r="T827" t="str">
            <v>No</v>
          </cell>
        </row>
        <row r="828">
          <cell r="B828" t="str">
            <v>Romblon</v>
          </cell>
          <cell r="J828" t="str">
            <v>Magdiwang</v>
          </cell>
          <cell r="K828" t="str">
            <v>Municipality</v>
          </cell>
          <cell r="M828" t="str">
            <v>5th</v>
          </cell>
          <cell r="T828" t="str">
            <v>No</v>
          </cell>
        </row>
        <row r="829">
          <cell r="B829" t="str">
            <v>Romblon</v>
          </cell>
          <cell r="J829" t="str">
            <v>Odiongan</v>
          </cell>
          <cell r="K829" t="str">
            <v>Municipality</v>
          </cell>
          <cell r="M829" t="str">
            <v>2nd</v>
          </cell>
          <cell r="T829" t="str">
            <v>No</v>
          </cell>
        </row>
        <row r="830">
          <cell r="B830" t="str">
            <v>Romblon</v>
          </cell>
          <cell r="J830" t="str">
            <v>Romblon (Capital)</v>
          </cell>
          <cell r="K830" t="str">
            <v>Municipality</v>
          </cell>
          <cell r="M830" t="str">
            <v>3rd</v>
          </cell>
          <cell r="T830" t="str">
            <v>No</v>
          </cell>
        </row>
        <row r="831">
          <cell r="B831" t="str">
            <v>Romblon</v>
          </cell>
          <cell r="J831" t="str">
            <v>San Agustin</v>
          </cell>
          <cell r="K831" t="str">
            <v>Municipality</v>
          </cell>
          <cell r="M831" t="str">
            <v>4th</v>
          </cell>
          <cell r="T831" t="str">
            <v>No</v>
          </cell>
        </row>
        <row r="832">
          <cell r="B832" t="str">
            <v>Romblon</v>
          </cell>
          <cell r="J832" t="str">
            <v>San Andres</v>
          </cell>
          <cell r="K832" t="str">
            <v>Municipality</v>
          </cell>
          <cell r="M832" t="str">
            <v>5th</v>
          </cell>
          <cell r="T832" t="str">
            <v>No</v>
          </cell>
        </row>
        <row r="833">
          <cell r="B833" t="str">
            <v>Romblon</v>
          </cell>
          <cell r="J833" t="str">
            <v>San Fernando</v>
          </cell>
          <cell r="K833" t="str">
            <v>Municipality</v>
          </cell>
          <cell r="M833" t="str">
            <v>4th</v>
          </cell>
          <cell r="T833" t="str">
            <v>No</v>
          </cell>
        </row>
        <row r="834">
          <cell r="B834" t="str">
            <v>Romblon</v>
          </cell>
          <cell r="J834" t="str">
            <v>San Jose</v>
          </cell>
          <cell r="K834" t="str">
            <v>Municipality</v>
          </cell>
          <cell r="M834" t="str">
            <v>5th</v>
          </cell>
          <cell r="T834" t="str">
            <v>No</v>
          </cell>
        </row>
        <row r="835">
          <cell r="B835" t="str">
            <v>Romblon</v>
          </cell>
          <cell r="J835" t="str">
            <v>Santa Fe</v>
          </cell>
          <cell r="K835" t="str">
            <v>Municipality</v>
          </cell>
          <cell r="M835" t="str">
            <v>5th</v>
          </cell>
          <cell r="T835" t="str">
            <v>No</v>
          </cell>
        </row>
        <row r="836">
          <cell r="B836" t="str">
            <v>Romblon</v>
          </cell>
          <cell r="J836" t="str">
            <v>Santa Maria (Imelda)</v>
          </cell>
          <cell r="K836" t="str">
            <v>Municipality</v>
          </cell>
          <cell r="M836" t="str">
            <v>5th</v>
          </cell>
          <cell r="T836" t="str">
            <v>No</v>
          </cell>
        </row>
        <row r="837">
          <cell r="B837" t="str">
            <v>Albay</v>
          </cell>
          <cell r="J837" t="str">
            <v>Bacacay</v>
          </cell>
          <cell r="K837" t="str">
            <v>Municipality</v>
          </cell>
          <cell r="M837" t="str">
            <v>2nd</v>
          </cell>
          <cell r="T837" t="str">
            <v>Yes</v>
          </cell>
        </row>
        <row r="838">
          <cell r="B838" t="str">
            <v>Albay</v>
          </cell>
          <cell r="J838" t="str">
            <v>Camalig</v>
          </cell>
          <cell r="K838" t="str">
            <v>Municipality</v>
          </cell>
          <cell r="M838" t="str">
            <v>1st</v>
          </cell>
          <cell r="T838" t="str">
            <v>Yes</v>
          </cell>
        </row>
        <row r="839">
          <cell r="B839" t="str">
            <v>Albay</v>
          </cell>
          <cell r="J839" t="str">
            <v>City Of Ligao</v>
          </cell>
          <cell r="K839" t="str">
            <v>City</v>
          </cell>
          <cell r="M839" t="str">
            <v>4th</v>
          </cell>
          <cell r="T839" t="str">
            <v>Yes</v>
          </cell>
        </row>
        <row r="840">
          <cell r="B840" t="str">
            <v>Albay</v>
          </cell>
          <cell r="J840" t="str">
            <v>City Of Tabaco</v>
          </cell>
          <cell r="K840" t="str">
            <v>City</v>
          </cell>
          <cell r="M840" t="str">
            <v>4th</v>
          </cell>
          <cell r="T840" t="str">
            <v>Yes</v>
          </cell>
        </row>
        <row r="841">
          <cell r="B841" t="str">
            <v>Albay</v>
          </cell>
          <cell r="J841" t="str">
            <v>Daraga (Locsin)</v>
          </cell>
          <cell r="K841" t="str">
            <v>Municipality</v>
          </cell>
          <cell r="M841" t="str">
            <v>1st</v>
          </cell>
          <cell r="T841" t="str">
            <v>Yes</v>
          </cell>
        </row>
        <row r="842">
          <cell r="B842" t="str">
            <v>Albay</v>
          </cell>
          <cell r="J842" t="str">
            <v>Guinobatan</v>
          </cell>
          <cell r="K842" t="str">
            <v>Municipality</v>
          </cell>
          <cell r="M842" t="str">
            <v>1st</v>
          </cell>
          <cell r="T842" t="str">
            <v>Yes</v>
          </cell>
        </row>
        <row r="843">
          <cell r="B843" t="str">
            <v>Albay</v>
          </cell>
          <cell r="J843" t="str">
            <v>Jovellar</v>
          </cell>
          <cell r="K843" t="str">
            <v>Municipality</v>
          </cell>
          <cell r="M843" t="str">
            <v>4th</v>
          </cell>
          <cell r="T843" t="str">
            <v>Yes</v>
          </cell>
        </row>
        <row r="844">
          <cell r="B844" t="str">
            <v>Albay</v>
          </cell>
          <cell r="J844" t="str">
            <v>Legazpi City (Capital)</v>
          </cell>
          <cell r="K844" t="str">
            <v>City</v>
          </cell>
          <cell r="M844" t="str">
            <v>2nd</v>
          </cell>
          <cell r="T844" t="str">
            <v>Yes</v>
          </cell>
        </row>
        <row r="845">
          <cell r="B845" t="str">
            <v>Albay</v>
          </cell>
          <cell r="J845" t="str">
            <v>Libon</v>
          </cell>
          <cell r="K845" t="str">
            <v>Municipality</v>
          </cell>
          <cell r="M845" t="str">
            <v>1st</v>
          </cell>
          <cell r="T845" t="str">
            <v>Yes</v>
          </cell>
        </row>
        <row r="846">
          <cell r="B846" t="str">
            <v>Albay</v>
          </cell>
          <cell r="J846" t="str">
            <v>Malilipot</v>
          </cell>
          <cell r="K846" t="str">
            <v>Municipality</v>
          </cell>
          <cell r="M846" t="str">
            <v>4th</v>
          </cell>
          <cell r="T846" t="str">
            <v>Yes</v>
          </cell>
        </row>
        <row r="847">
          <cell r="B847" t="str">
            <v>Albay</v>
          </cell>
          <cell r="J847" t="str">
            <v>Malinao</v>
          </cell>
          <cell r="K847" t="str">
            <v>Municipality</v>
          </cell>
          <cell r="M847" t="str">
            <v>3rd</v>
          </cell>
          <cell r="T847" t="str">
            <v>Yes</v>
          </cell>
        </row>
        <row r="848">
          <cell r="B848" t="str">
            <v>Albay</v>
          </cell>
          <cell r="J848" t="str">
            <v>Manito</v>
          </cell>
          <cell r="K848" t="str">
            <v>Municipality</v>
          </cell>
          <cell r="M848" t="str">
            <v>4th</v>
          </cell>
          <cell r="T848" t="str">
            <v>Yes</v>
          </cell>
        </row>
        <row r="849">
          <cell r="B849" t="str">
            <v>Albay</v>
          </cell>
          <cell r="J849" t="str">
            <v>Oas</v>
          </cell>
          <cell r="K849" t="str">
            <v>Municipality</v>
          </cell>
          <cell r="M849" t="str">
            <v>1st</v>
          </cell>
          <cell r="T849" t="str">
            <v>Yes</v>
          </cell>
        </row>
        <row r="850">
          <cell r="B850" t="str">
            <v>Albay</v>
          </cell>
          <cell r="J850" t="str">
            <v>Pio Duran</v>
          </cell>
          <cell r="K850" t="str">
            <v>Municipality</v>
          </cell>
          <cell r="M850" t="str">
            <v>3rd</v>
          </cell>
          <cell r="T850" t="str">
            <v>Yes</v>
          </cell>
        </row>
        <row r="851">
          <cell r="B851" t="str">
            <v>Albay</v>
          </cell>
          <cell r="J851" t="str">
            <v>Polangui</v>
          </cell>
          <cell r="K851" t="str">
            <v>Municipality</v>
          </cell>
          <cell r="M851" t="str">
            <v>1st</v>
          </cell>
          <cell r="T851" t="str">
            <v>Yes</v>
          </cell>
        </row>
        <row r="852">
          <cell r="B852" t="str">
            <v>Albay</v>
          </cell>
          <cell r="J852" t="str">
            <v>Rapu-Rapu</v>
          </cell>
          <cell r="K852" t="str">
            <v>Municipality</v>
          </cell>
          <cell r="M852" t="str">
            <v>3rd</v>
          </cell>
          <cell r="T852" t="str">
            <v>Yes</v>
          </cell>
        </row>
        <row r="853">
          <cell r="B853" t="str">
            <v>Albay</v>
          </cell>
          <cell r="J853" t="str">
            <v>Santo Domingo (Libog)</v>
          </cell>
          <cell r="K853" t="str">
            <v>Municipality</v>
          </cell>
          <cell r="M853" t="str">
            <v>4th</v>
          </cell>
          <cell r="T853" t="str">
            <v>Yes</v>
          </cell>
        </row>
        <row r="854">
          <cell r="B854" t="str">
            <v>Albay</v>
          </cell>
          <cell r="J854" t="str">
            <v>Tiwi</v>
          </cell>
          <cell r="K854" t="str">
            <v>Municipality</v>
          </cell>
          <cell r="M854" t="str">
            <v>1st</v>
          </cell>
          <cell r="T854" t="str">
            <v>Yes</v>
          </cell>
        </row>
        <row r="855">
          <cell r="B855" t="str">
            <v>Camarines_Norte</v>
          </cell>
          <cell r="J855" t="str">
            <v>Basud</v>
          </cell>
          <cell r="K855" t="str">
            <v>Municipality</v>
          </cell>
          <cell r="M855" t="str">
            <v>3rd</v>
          </cell>
          <cell r="T855" t="str">
            <v>No</v>
          </cell>
        </row>
        <row r="856">
          <cell r="B856" t="str">
            <v>Camarines_Norte</v>
          </cell>
          <cell r="J856" t="str">
            <v>Capalonga</v>
          </cell>
          <cell r="K856" t="str">
            <v>Municipality</v>
          </cell>
          <cell r="M856" t="str">
            <v>3rd</v>
          </cell>
          <cell r="T856" t="str">
            <v>No</v>
          </cell>
        </row>
        <row r="857">
          <cell r="B857" t="str">
            <v>Camarines_Norte</v>
          </cell>
          <cell r="J857" t="str">
            <v>Daet (Capital)</v>
          </cell>
          <cell r="K857" t="str">
            <v>Municipality</v>
          </cell>
          <cell r="M857" t="str">
            <v>1st</v>
          </cell>
          <cell r="T857" t="str">
            <v>No</v>
          </cell>
        </row>
        <row r="858">
          <cell r="B858" t="str">
            <v>Camarines_Norte</v>
          </cell>
          <cell r="J858" t="str">
            <v>Jose Panganiban</v>
          </cell>
          <cell r="K858" t="str">
            <v>Municipality</v>
          </cell>
          <cell r="M858" t="str">
            <v>2nd</v>
          </cell>
          <cell r="T858" t="str">
            <v>No</v>
          </cell>
        </row>
        <row r="859">
          <cell r="B859" t="str">
            <v>Camarines_Norte</v>
          </cell>
          <cell r="J859" t="str">
            <v>Labo</v>
          </cell>
          <cell r="K859" t="str">
            <v>Municipality</v>
          </cell>
          <cell r="M859" t="str">
            <v>1st</v>
          </cell>
          <cell r="T859" t="str">
            <v>No</v>
          </cell>
        </row>
        <row r="860">
          <cell r="B860" t="str">
            <v>Camarines_Norte</v>
          </cell>
          <cell r="J860" t="str">
            <v>Mercedes</v>
          </cell>
          <cell r="K860" t="str">
            <v>Municipality</v>
          </cell>
          <cell r="M860" t="str">
            <v>2nd</v>
          </cell>
          <cell r="T860" t="str">
            <v>No</v>
          </cell>
        </row>
        <row r="861">
          <cell r="B861" t="str">
            <v>Camarines_Norte</v>
          </cell>
          <cell r="J861" t="str">
            <v>Paracale</v>
          </cell>
          <cell r="K861" t="str">
            <v>Municipality</v>
          </cell>
          <cell r="M861" t="str">
            <v>3rd</v>
          </cell>
          <cell r="T861" t="str">
            <v>No</v>
          </cell>
        </row>
        <row r="862">
          <cell r="B862" t="str">
            <v>Camarines_Norte</v>
          </cell>
          <cell r="J862" t="str">
            <v>San Lorenzo Ruiz (Imelda)</v>
          </cell>
          <cell r="K862" t="str">
            <v>Municipality</v>
          </cell>
          <cell r="M862" t="str">
            <v>5th</v>
          </cell>
          <cell r="T862" t="str">
            <v>No</v>
          </cell>
        </row>
        <row r="863">
          <cell r="B863" t="str">
            <v>Camarines_Norte</v>
          </cell>
          <cell r="J863" t="str">
            <v>San Vicente</v>
          </cell>
          <cell r="K863" t="str">
            <v>Municipality</v>
          </cell>
          <cell r="M863" t="str">
            <v>5th</v>
          </cell>
          <cell r="T863" t="str">
            <v>No</v>
          </cell>
        </row>
        <row r="864">
          <cell r="B864" t="str">
            <v>Camarines_Norte</v>
          </cell>
          <cell r="J864" t="str">
            <v>Santa Elena</v>
          </cell>
          <cell r="K864" t="str">
            <v>Municipality</v>
          </cell>
          <cell r="M864" t="str">
            <v>3rd</v>
          </cell>
          <cell r="T864" t="str">
            <v>No</v>
          </cell>
        </row>
        <row r="865">
          <cell r="B865" t="str">
            <v>Camarines_Norte</v>
          </cell>
          <cell r="J865" t="str">
            <v>Talisay</v>
          </cell>
          <cell r="K865" t="str">
            <v>Municipality</v>
          </cell>
          <cell r="M865" t="str">
            <v>4th</v>
          </cell>
          <cell r="T865" t="str">
            <v>No</v>
          </cell>
        </row>
        <row r="866">
          <cell r="B866" t="str">
            <v>Camarines_Norte</v>
          </cell>
          <cell r="J866" t="str">
            <v>Vinzons</v>
          </cell>
          <cell r="K866" t="str">
            <v>Municipality</v>
          </cell>
          <cell r="M866" t="str">
            <v>3rd</v>
          </cell>
          <cell r="T866" t="str">
            <v>No</v>
          </cell>
        </row>
        <row r="867">
          <cell r="B867" t="str">
            <v>Camarines_Sur</v>
          </cell>
          <cell r="J867" t="str">
            <v>Baao</v>
          </cell>
          <cell r="K867" t="str">
            <v>Municipality</v>
          </cell>
          <cell r="M867" t="str">
            <v>3rd</v>
          </cell>
          <cell r="T867" t="str">
            <v>Yes</v>
          </cell>
        </row>
        <row r="868">
          <cell r="B868" t="str">
            <v>Camarines_Sur</v>
          </cell>
          <cell r="J868" t="str">
            <v>Balatan</v>
          </cell>
          <cell r="K868" t="str">
            <v>Municipality</v>
          </cell>
          <cell r="M868" t="str">
            <v>4th</v>
          </cell>
          <cell r="T868" t="str">
            <v>Yes</v>
          </cell>
        </row>
        <row r="869">
          <cell r="B869" t="str">
            <v>Camarines_Sur</v>
          </cell>
          <cell r="J869" t="str">
            <v>Bato</v>
          </cell>
          <cell r="K869" t="str">
            <v>Municipality</v>
          </cell>
          <cell r="M869" t="str">
            <v>3rd</v>
          </cell>
          <cell r="T869" t="str">
            <v>Yes</v>
          </cell>
        </row>
        <row r="870">
          <cell r="B870" t="str">
            <v>Camarines_Sur</v>
          </cell>
          <cell r="J870" t="str">
            <v>Bombon</v>
          </cell>
          <cell r="K870" t="str">
            <v>Municipality</v>
          </cell>
          <cell r="M870" t="str">
            <v>5th</v>
          </cell>
          <cell r="T870" t="str">
            <v>Yes</v>
          </cell>
        </row>
        <row r="871">
          <cell r="B871" t="str">
            <v>Camarines_Sur</v>
          </cell>
          <cell r="J871" t="str">
            <v>Buhi</v>
          </cell>
          <cell r="K871" t="str">
            <v>Municipality</v>
          </cell>
          <cell r="M871" t="str">
            <v>1st</v>
          </cell>
          <cell r="T871" t="str">
            <v>Yes</v>
          </cell>
        </row>
        <row r="872">
          <cell r="B872" t="str">
            <v>Camarines_Sur</v>
          </cell>
          <cell r="J872" t="str">
            <v>Bula</v>
          </cell>
          <cell r="K872" t="str">
            <v>Municipality</v>
          </cell>
          <cell r="M872" t="str">
            <v>2nd</v>
          </cell>
          <cell r="T872" t="str">
            <v>Yes</v>
          </cell>
        </row>
        <row r="873">
          <cell r="B873" t="str">
            <v>Camarines_Sur</v>
          </cell>
          <cell r="J873" t="str">
            <v>Cabusao</v>
          </cell>
          <cell r="K873" t="str">
            <v>Municipality</v>
          </cell>
          <cell r="M873" t="str">
            <v>5th</v>
          </cell>
          <cell r="T873" t="str">
            <v>Yes</v>
          </cell>
        </row>
        <row r="874">
          <cell r="B874" t="str">
            <v>Camarines_Sur</v>
          </cell>
          <cell r="J874" t="str">
            <v>Calabanga</v>
          </cell>
          <cell r="K874" t="str">
            <v>Municipality</v>
          </cell>
          <cell r="M874" t="str">
            <v>1st</v>
          </cell>
          <cell r="T874" t="str">
            <v>Yes</v>
          </cell>
        </row>
        <row r="875">
          <cell r="B875" t="str">
            <v>Camarines_Sur</v>
          </cell>
          <cell r="J875" t="str">
            <v>Camaligan</v>
          </cell>
          <cell r="K875" t="str">
            <v>Municipality</v>
          </cell>
          <cell r="M875" t="str">
            <v>5th</v>
          </cell>
          <cell r="T875" t="str">
            <v>Yes</v>
          </cell>
        </row>
        <row r="876">
          <cell r="B876" t="str">
            <v>Camarines_Sur</v>
          </cell>
          <cell r="J876" t="str">
            <v>Canaman</v>
          </cell>
          <cell r="K876" t="str">
            <v>Municipality</v>
          </cell>
          <cell r="M876" t="str">
            <v>4th</v>
          </cell>
          <cell r="T876" t="str">
            <v>Yes</v>
          </cell>
        </row>
        <row r="877">
          <cell r="B877" t="str">
            <v>Camarines_Sur</v>
          </cell>
          <cell r="J877" t="str">
            <v>Caramoan</v>
          </cell>
          <cell r="K877" t="str">
            <v>Municipality</v>
          </cell>
          <cell r="M877" t="str">
            <v>2nd</v>
          </cell>
          <cell r="T877" t="str">
            <v>Yes</v>
          </cell>
        </row>
        <row r="878">
          <cell r="B878" t="str">
            <v>Camarines_Sur</v>
          </cell>
          <cell r="J878" t="str">
            <v>Del Gallego</v>
          </cell>
          <cell r="K878" t="str">
            <v>Municipality</v>
          </cell>
          <cell r="M878" t="str">
            <v>4th</v>
          </cell>
          <cell r="T878" t="str">
            <v>Yes</v>
          </cell>
        </row>
        <row r="879">
          <cell r="B879" t="str">
            <v>Camarines_Sur</v>
          </cell>
          <cell r="J879" t="str">
            <v>Gainza</v>
          </cell>
          <cell r="K879" t="str">
            <v>Municipality</v>
          </cell>
          <cell r="M879" t="str">
            <v>5th</v>
          </cell>
          <cell r="T879" t="str">
            <v>Yes</v>
          </cell>
        </row>
        <row r="880">
          <cell r="B880" t="str">
            <v>Camarines_Sur</v>
          </cell>
          <cell r="J880" t="str">
            <v>Garchitorena</v>
          </cell>
          <cell r="K880" t="str">
            <v>Municipality</v>
          </cell>
          <cell r="M880" t="str">
            <v>4th</v>
          </cell>
          <cell r="T880" t="str">
            <v>Yes</v>
          </cell>
        </row>
        <row r="881">
          <cell r="B881" t="str">
            <v>Camarines_Sur</v>
          </cell>
          <cell r="J881" t="str">
            <v>Goa</v>
          </cell>
          <cell r="K881" t="str">
            <v>Municipality</v>
          </cell>
          <cell r="M881" t="str">
            <v>2nd</v>
          </cell>
          <cell r="T881" t="str">
            <v>Yes</v>
          </cell>
        </row>
        <row r="882">
          <cell r="B882" t="str">
            <v>Camarines_Sur</v>
          </cell>
          <cell r="J882" t="str">
            <v>Iriga City</v>
          </cell>
          <cell r="K882" t="str">
            <v>City</v>
          </cell>
          <cell r="M882" t="str">
            <v>4th</v>
          </cell>
          <cell r="T882" t="str">
            <v>Yes</v>
          </cell>
        </row>
        <row r="883">
          <cell r="B883" t="str">
            <v>Camarines_Sur</v>
          </cell>
          <cell r="J883" t="str">
            <v>Lagonoy</v>
          </cell>
          <cell r="K883" t="str">
            <v>Municipality</v>
          </cell>
          <cell r="M883" t="str">
            <v>2nd</v>
          </cell>
          <cell r="T883" t="str">
            <v>Yes</v>
          </cell>
        </row>
        <row r="884">
          <cell r="B884" t="str">
            <v>Camarines_Sur</v>
          </cell>
          <cell r="J884" t="str">
            <v>Libmanan</v>
          </cell>
          <cell r="K884" t="str">
            <v>Municipality</v>
          </cell>
          <cell r="M884" t="str">
            <v>1st</v>
          </cell>
          <cell r="T884" t="str">
            <v>Yes</v>
          </cell>
        </row>
        <row r="885">
          <cell r="B885" t="str">
            <v>Camarines_Sur</v>
          </cell>
          <cell r="J885" t="str">
            <v>Lupi</v>
          </cell>
          <cell r="K885" t="str">
            <v>Municipality</v>
          </cell>
          <cell r="M885" t="str">
            <v>3rd</v>
          </cell>
          <cell r="T885" t="str">
            <v>Yes</v>
          </cell>
        </row>
        <row r="886">
          <cell r="B886" t="str">
            <v>Camarines_Sur</v>
          </cell>
          <cell r="J886" t="str">
            <v>Magarao</v>
          </cell>
          <cell r="K886" t="str">
            <v>Municipality</v>
          </cell>
          <cell r="M886" t="str">
            <v>4th</v>
          </cell>
          <cell r="T886" t="str">
            <v>Yes</v>
          </cell>
        </row>
        <row r="887">
          <cell r="B887" t="str">
            <v>Camarines_Sur</v>
          </cell>
          <cell r="J887" t="str">
            <v>Milaor</v>
          </cell>
          <cell r="K887" t="str">
            <v>Municipality</v>
          </cell>
          <cell r="M887" t="str">
            <v>4th</v>
          </cell>
          <cell r="T887" t="str">
            <v>Yes</v>
          </cell>
        </row>
        <row r="888">
          <cell r="B888" t="str">
            <v>Camarines_Sur</v>
          </cell>
          <cell r="J888" t="str">
            <v>Minalabac</v>
          </cell>
          <cell r="K888" t="str">
            <v>Municipality</v>
          </cell>
          <cell r="M888" t="str">
            <v>3rd</v>
          </cell>
          <cell r="T888" t="str">
            <v>Yes</v>
          </cell>
        </row>
        <row r="889">
          <cell r="B889" t="str">
            <v>Camarines_Sur</v>
          </cell>
          <cell r="J889" t="str">
            <v>Nabua</v>
          </cell>
          <cell r="K889" t="str">
            <v>Municipality</v>
          </cell>
          <cell r="M889" t="str">
            <v>1st</v>
          </cell>
          <cell r="T889" t="str">
            <v>Yes</v>
          </cell>
        </row>
        <row r="890">
          <cell r="B890" t="str">
            <v>Camarines_Sur</v>
          </cell>
          <cell r="J890" t="str">
            <v>Naga City</v>
          </cell>
          <cell r="K890" t="str">
            <v>City</v>
          </cell>
          <cell r="M890" t="str">
            <v>2nd</v>
          </cell>
          <cell r="T890" t="str">
            <v>Yes</v>
          </cell>
        </row>
        <row r="891">
          <cell r="B891" t="str">
            <v>Camarines_Sur</v>
          </cell>
          <cell r="J891" t="str">
            <v>Ocampo</v>
          </cell>
          <cell r="K891" t="str">
            <v>Municipality</v>
          </cell>
          <cell r="M891" t="str">
            <v>3rd</v>
          </cell>
          <cell r="T891" t="str">
            <v>Yes</v>
          </cell>
        </row>
        <row r="892">
          <cell r="B892" t="str">
            <v>Camarines_Sur</v>
          </cell>
          <cell r="J892" t="str">
            <v>Pamplona</v>
          </cell>
          <cell r="K892" t="str">
            <v>Municipality</v>
          </cell>
          <cell r="M892" t="str">
            <v>4th</v>
          </cell>
          <cell r="T892" t="str">
            <v>Yes</v>
          </cell>
        </row>
        <row r="893">
          <cell r="B893" t="str">
            <v>Camarines_Sur</v>
          </cell>
          <cell r="J893" t="str">
            <v>Pasacao</v>
          </cell>
          <cell r="K893" t="str">
            <v>Municipality</v>
          </cell>
          <cell r="M893" t="str">
            <v>3rd</v>
          </cell>
          <cell r="T893" t="str">
            <v>Yes</v>
          </cell>
        </row>
        <row r="894">
          <cell r="B894" t="str">
            <v>Camarines_Sur</v>
          </cell>
          <cell r="J894" t="str">
            <v>Pili (Capital)</v>
          </cell>
          <cell r="K894" t="str">
            <v>Municipality</v>
          </cell>
          <cell r="M894" t="str">
            <v>1st</v>
          </cell>
          <cell r="T894" t="str">
            <v>Yes</v>
          </cell>
        </row>
        <row r="895">
          <cell r="B895" t="str">
            <v>Camarines_Sur</v>
          </cell>
          <cell r="J895" t="str">
            <v>Presentacion (Parubcan)</v>
          </cell>
          <cell r="K895" t="str">
            <v>Municipality</v>
          </cell>
          <cell r="M895" t="str">
            <v>4th</v>
          </cell>
          <cell r="T895" t="str">
            <v>Yes</v>
          </cell>
        </row>
        <row r="896">
          <cell r="B896" t="str">
            <v>Camarines_Sur</v>
          </cell>
          <cell r="J896" t="str">
            <v>Ragay</v>
          </cell>
          <cell r="K896" t="str">
            <v>Municipality</v>
          </cell>
          <cell r="M896" t="str">
            <v>1st</v>
          </cell>
          <cell r="T896" t="str">
            <v>Yes</v>
          </cell>
        </row>
        <row r="897">
          <cell r="B897" t="str">
            <v>Camarines_Sur</v>
          </cell>
          <cell r="J897" t="str">
            <v>Sagñay</v>
          </cell>
          <cell r="K897" t="str">
            <v>Municipality</v>
          </cell>
          <cell r="M897" t="str">
            <v>4th</v>
          </cell>
          <cell r="T897" t="str">
            <v>Yes</v>
          </cell>
        </row>
        <row r="898">
          <cell r="B898" t="str">
            <v>Camarines_Sur</v>
          </cell>
          <cell r="J898" t="str">
            <v>San Fernando</v>
          </cell>
          <cell r="K898" t="str">
            <v>Municipality</v>
          </cell>
          <cell r="M898" t="str">
            <v>4th</v>
          </cell>
          <cell r="T898" t="str">
            <v>Yes</v>
          </cell>
        </row>
        <row r="899">
          <cell r="B899" t="str">
            <v>Camarines_Sur</v>
          </cell>
          <cell r="J899" t="str">
            <v>San Jose</v>
          </cell>
          <cell r="K899" t="str">
            <v>Municipality</v>
          </cell>
          <cell r="M899" t="str">
            <v>4th</v>
          </cell>
          <cell r="T899" t="str">
            <v>Yes</v>
          </cell>
        </row>
        <row r="900">
          <cell r="B900" t="str">
            <v>Camarines_Sur</v>
          </cell>
          <cell r="J900" t="str">
            <v>Sipocot</v>
          </cell>
          <cell r="K900" t="str">
            <v>Municipality</v>
          </cell>
          <cell r="M900" t="str">
            <v>1st</v>
          </cell>
          <cell r="T900" t="str">
            <v>Yes</v>
          </cell>
        </row>
        <row r="901">
          <cell r="B901" t="str">
            <v>Camarines_Sur</v>
          </cell>
          <cell r="J901" t="str">
            <v>Siruma</v>
          </cell>
          <cell r="K901" t="str">
            <v>Municipality</v>
          </cell>
          <cell r="M901" t="str">
            <v>4th</v>
          </cell>
          <cell r="T901" t="str">
            <v>Yes</v>
          </cell>
        </row>
        <row r="902">
          <cell r="B902" t="str">
            <v>Camarines_Sur</v>
          </cell>
          <cell r="J902" t="str">
            <v>Tigaon</v>
          </cell>
          <cell r="K902" t="str">
            <v>Municipality</v>
          </cell>
          <cell r="M902" t="str">
            <v>3rd</v>
          </cell>
          <cell r="T902" t="str">
            <v>Yes</v>
          </cell>
        </row>
        <row r="903">
          <cell r="B903" t="str">
            <v>Camarines_Sur</v>
          </cell>
          <cell r="J903" t="str">
            <v>Tinambac</v>
          </cell>
          <cell r="K903" t="str">
            <v>Municipality</v>
          </cell>
          <cell r="M903" t="str">
            <v>1st</v>
          </cell>
          <cell r="T903" t="str">
            <v>Yes</v>
          </cell>
        </row>
        <row r="904">
          <cell r="B904" t="str">
            <v>Catanduanes</v>
          </cell>
          <cell r="J904" t="str">
            <v>Bagamanoc</v>
          </cell>
          <cell r="K904" t="str">
            <v>Municipality</v>
          </cell>
          <cell r="M904" t="str">
            <v>5th</v>
          </cell>
          <cell r="T904" t="str">
            <v>No</v>
          </cell>
        </row>
        <row r="905">
          <cell r="B905" t="str">
            <v>Catanduanes</v>
          </cell>
          <cell r="J905" t="str">
            <v>Baras</v>
          </cell>
          <cell r="K905" t="str">
            <v>Municipality</v>
          </cell>
          <cell r="M905" t="str">
            <v>5th</v>
          </cell>
          <cell r="T905" t="str">
            <v>No</v>
          </cell>
        </row>
        <row r="906">
          <cell r="B906" t="str">
            <v>Catanduanes</v>
          </cell>
          <cell r="J906" t="str">
            <v>Bato</v>
          </cell>
          <cell r="K906" t="str">
            <v>Municipality</v>
          </cell>
          <cell r="M906" t="str">
            <v>5th</v>
          </cell>
          <cell r="T906" t="str">
            <v>No</v>
          </cell>
        </row>
        <row r="907">
          <cell r="B907" t="str">
            <v>Catanduanes</v>
          </cell>
          <cell r="J907" t="str">
            <v>Caramoran</v>
          </cell>
          <cell r="K907" t="str">
            <v>Municipality</v>
          </cell>
          <cell r="M907" t="str">
            <v>3rd</v>
          </cell>
          <cell r="T907" t="str">
            <v>No</v>
          </cell>
        </row>
        <row r="908">
          <cell r="B908" t="str">
            <v>Catanduanes</v>
          </cell>
          <cell r="J908" t="str">
            <v>Gigmoto</v>
          </cell>
          <cell r="K908" t="str">
            <v>Municipality</v>
          </cell>
          <cell r="M908" t="str">
            <v>5th</v>
          </cell>
          <cell r="T908" t="str">
            <v>No</v>
          </cell>
        </row>
        <row r="909">
          <cell r="B909" t="str">
            <v>Catanduanes</v>
          </cell>
          <cell r="J909" t="str">
            <v>Pandan</v>
          </cell>
          <cell r="K909" t="str">
            <v>Municipality</v>
          </cell>
          <cell r="M909" t="str">
            <v>4th</v>
          </cell>
          <cell r="T909" t="str">
            <v>No</v>
          </cell>
        </row>
        <row r="910">
          <cell r="B910" t="str">
            <v>Catanduanes</v>
          </cell>
          <cell r="J910" t="str">
            <v>Panganiban (Payo)</v>
          </cell>
          <cell r="K910" t="str">
            <v>Municipality</v>
          </cell>
          <cell r="M910" t="str">
            <v>5th</v>
          </cell>
          <cell r="T910" t="str">
            <v>No</v>
          </cell>
        </row>
        <row r="911">
          <cell r="B911" t="str">
            <v>Catanduanes</v>
          </cell>
          <cell r="J911" t="str">
            <v>San Andres (Calolbon)</v>
          </cell>
          <cell r="K911" t="str">
            <v>Municipality</v>
          </cell>
          <cell r="M911" t="str">
            <v>3rd</v>
          </cell>
          <cell r="T911" t="str">
            <v>No</v>
          </cell>
        </row>
        <row r="912">
          <cell r="B912" t="str">
            <v>Catanduanes</v>
          </cell>
          <cell r="J912" t="str">
            <v>San Miguel</v>
          </cell>
          <cell r="K912" t="str">
            <v>Municipality</v>
          </cell>
          <cell r="M912" t="str">
            <v>5th</v>
          </cell>
          <cell r="T912" t="str">
            <v>No</v>
          </cell>
        </row>
        <row r="913">
          <cell r="B913" t="str">
            <v>Catanduanes</v>
          </cell>
          <cell r="J913" t="str">
            <v>Viga</v>
          </cell>
          <cell r="K913" t="str">
            <v>Municipality</v>
          </cell>
          <cell r="M913" t="str">
            <v>4th</v>
          </cell>
          <cell r="T913" t="str">
            <v>No</v>
          </cell>
        </row>
        <row r="914">
          <cell r="B914" t="str">
            <v>Catanduanes</v>
          </cell>
          <cell r="J914" t="str">
            <v>Virac (Capital)</v>
          </cell>
          <cell r="K914" t="str">
            <v>Municipality</v>
          </cell>
          <cell r="M914" t="str">
            <v>1st</v>
          </cell>
          <cell r="T914" t="str">
            <v>No</v>
          </cell>
        </row>
        <row r="915">
          <cell r="B915" t="str">
            <v>Masbate</v>
          </cell>
          <cell r="J915" t="str">
            <v>Aroroy</v>
          </cell>
          <cell r="K915" t="str">
            <v>Municipality</v>
          </cell>
          <cell r="M915" t="str">
            <v>1st</v>
          </cell>
          <cell r="T915" t="str">
            <v>No</v>
          </cell>
        </row>
        <row r="916">
          <cell r="B916" t="str">
            <v>Masbate</v>
          </cell>
          <cell r="J916" t="str">
            <v>Baleno</v>
          </cell>
          <cell r="K916" t="str">
            <v>Municipality</v>
          </cell>
          <cell r="M916" t="str">
            <v>4th</v>
          </cell>
          <cell r="T916" t="str">
            <v>No</v>
          </cell>
        </row>
        <row r="917">
          <cell r="B917" t="str">
            <v>Masbate</v>
          </cell>
          <cell r="J917" t="str">
            <v>Balud</v>
          </cell>
          <cell r="K917" t="str">
            <v>Municipality</v>
          </cell>
          <cell r="M917" t="str">
            <v>4th</v>
          </cell>
          <cell r="T917" t="str">
            <v>No</v>
          </cell>
        </row>
        <row r="918">
          <cell r="B918" t="str">
            <v>Masbate</v>
          </cell>
          <cell r="J918" t="str">
            <v>Batuan</v>
          </cell>
          <cell r="K918" t="str">
            <v>Municipality</v>
          </cell>
          <cell r="M918" t="str">
            <v>5th</v>
          </cell>
          <cell r="T918" t="str">
            <v>No</v>
          </cell>
        </row>
        <row r="919">
          <cell r="B919" t="str">
            <v>Masbate</v>
          </cell>
          <cell r="J919" t="str">
            <v>Cataingan</v>
          </cell>
          <cell r="K919" t="str">
            <v>Municipality</v>
          </cell>
          <cell r="M919" t="str">
            <v>2nd</v>
          </cell>
          <cell r="T919" t="str">
            <v>No</v>
          </cell>
        </row>
        <row r="920">
          <cell r="B920" t="str">
            <v>Masbate</v>
          </cell>
          <cell r="J920" t="str">
            <v>Cawayan</v>
          </cell>
          <cell r="K920" t="str">
            <v>Municipality</v>
          </cell>
          <cell r="M920" t="str">
            <v>2nd</v>
          </cell>
          <cell r="T920" t="str">
            <v>No</v>
          </cell>
        </row>
        <row r="921">
          <cell r="B921" t="str">
            <v>Masbate</v>
          </cell>
          <cell r="J921" t="str">
            <v>City Of Masbate (Capital)</v>
          </cell>
          <cell r="K921" t="str">
            <v>City</v>
          </cell>
          <cell r="M921" t="str">
            <v>4th</v>
          </cell>
          <cell r="T921" t="str">
            <v>No</v>
          </cell>
        </row>
        <row r="922">
          <cell r="B922" t="str">
            <v>Masbate</v>
          </cell>
          <cell r="J922" t="str">
            <v>Claveria</v>
          </cell>
          <cell r="K922" t="str">
            <v>Municipality</v>
          </cell>
          <cell r="M922" t="str">
            <v>3rd</v>
          </cell>
          <cell r="T922" t="str">
            <v>No</v>
          </cell>
        </row>
        <row r="923">
          <cell r="B923" t="str">
            <v>Masbate</v>
          </cell>
          <cell r="J923" t="str">
            <v>Dimasalang</v>
          </cell>
          <cell r="K923" t="str">
            <v>Municipality</v>
          </cell>
          <cell r="M923" t="str">
            <v>4th</v>
          </cell>
          <cell r="T923" t="str">
            <v>No</v>
          </cell>
        </row>
        <row r="924">
          <cell r="B924" t="str">
            <v>Masbate</v>
          </cell>
          <cell r="J924" t="str">
            <v>Esperanza</v>
          </cell>
          <cell r="K924" t="str">
            <v>Municipality</v>
          </cell>
          <cell r="M924" t="str">
            <v>5th</v>
          </cell>
          <cell r="T924" t="str">
            <v>No</v>
          </cell>
        </row>
        <row r="925">
          <cell r="B925" t="str">
            <v>Masbate</v>
          </cell>
          <cell r="J925" t="str">
            <v>Mandaon</v>
          </cell>
          <cell r="K925" t="str">
            <v>Municipality</v>
          </cell>
          <cell r="M925" t="str">
            <v>3rd</v>
          </cell>
          <cell r="T925" t="str">
            <v>No</v>
          </cell>
        </row>
        <row r="926">
          <cell r="B926" t="str">
            <v>Masbate</v>
          </cell>
          <cell r="J926" t="str">
            <v>Milagros</v>
          </cell>
          <cell r="K926" t="str">
            <v>Municipality</v>
          </cell>
          <cell r="M926" t="str">
            <v>1st</v>
          </cell>
          <cell r="T926" t="str">
            <v>No</v>
          </cell>
        </row>
        <row r="927">
          <cell r="B927" t="str">
            <v>Masbate</v>
          </cell>
          <cell r="J927" t="str">
            <v>Mobo</v>
          </cell>
          <cell r="K927" t="str">
            <v>Municipality</v>
          </cell>
          <cell r="M927" t="str">
            <v>4th</v>
          </cell>
          <cell r="T927" t="str">
            <v>No</v>
          </cell>
        </row>
        <row r="928">
          <cell r="B928" t="str">
            <v>Masbate</v>
          </cell>
          <cell r="J928" t="str">
            <v>Monreal</v>
          </cell>
          <cell r="K928" t="str">
            <v>Municipality</v>
          </cell>
          <cell r="M928" t="str">
            <v>4th</v>
          </cell>
          <cell r="T928" t="str">
            <v>No</v>
          </cell>
        </row>
        <row r="929">
          <cell r="B929" t="str">
            <v>Masbate</v>
          </cell>
          <cell r="J929" t="str">
            <v>Palanas</v>
          </cell>
          <cell r="K929" t="str">
            <v>Municipality</v>
          </cell>
          <cell r="M929" t="str">
            <v>4th</v>
          </cell>
          <cell r="T929" t="str">
            <v>No</v>
          </cell>
        </row>
        <row r="930">
          <cell r="B930" t="str">
            <v>Masbate</v>
          </cell>
          <cell r="J930" t="str">
            <v>Pio V.  Corpuz (Limbuhan)</v>
          </cell>
          <cell r="K930" t="str">
            <v>Municipality</v>
          </cell>
          <cell r="M930" t="str">
            <v>4th</v>
          </cell>
          <cell r="T930" t="str">
            <v>No</v>
          </cell>
        </row>
        <row r="931">
          <cell r="B931" t="str">
            <v>Masbate</v>
          </cell>
          <cell r="J931" t="str">
            <v>Placer</v>
          </cell>
          <cell r="K931" t="str">
            <v>Municipality</v>
          </cell>
          <cell r="M931" t="str">
            <v>2nd</v>
          </cell>
          <cell r="T931" t="str">
            <v>No</v>
          </cell>
        </row>
        <row r="932">
          <cell r="B932" t="str">
            <v>Masbate</v>
          </cell>
          <cell r="J932" t="str">
            <v>San Fernando</v>
          </cell>
          <cell r="K932" t="str">
            <v>Municipality</v>
          </cell>
          <cell r="M932" t="str">
            <v>5th</v>
          </cell>
          <cell r="T932" t="str">
            <v>No</v>
          </cell>
        </row>
        <row r="933">
          <cell r="B933" t="str">
            <v>Masbate</v>
          </cell>
          <cell r="J933" t="str">
            <v>San Jacinto</v>
          </cell>
          <cell r="K933" t="str">
            <v>Municipality</v>
          </cell>
          <cell r="M933" t="str">
            <v>4th</v>
          </cell>
          <cell r="T933" t="str">
            <v>No</v>
          </cell>
        </row>
        <row r="934">
          <cell r="B934" t="str">
            <v>Masbate</v>
          </cell>
          <cell r="J934" t="str">
            <v>San Pascual</v>
          </cell>
          <cell r="K934" t="str">
            <v>Municipality</v>
          </cell>
          <cell r="M934" t="str">
            <v>3rd</v>
          </cell>
          <cell r="T934" t="str">
            <v>No</v>
          </cell>
        </row>
        <row r="935">
          <cell r="B935" t="str">
            <v>Masbate</v>
          </cell>
          <cell r="J935" t="str">
            <v>Uson</v>
          </cell>
          <cell r="K935" t="str">
            <v>Municipality</v>
          </cell>
          <cell r="M935" t="str">
            <v>3rd</v>
          </cell>
          <cell r="T935" t="str">
            <v>No</v>
          </cell>
        </row>
        <row r="936">
          <cell r="B936" t="str">
            <v>Sorsogon</v>
          </cell>
          <cell r="J936" t="str">
            <v>Barcelona</v>
          </cell>
          <cell r="K936" t="str">
            <v>Municipality</v>
          </cell>
          <cell r="M936" t="str">
            <v>5th</v>
          </cell>
          <cell r="T936" t="str">
            <v>Yes</v>
          </cell>
        </row>
        <row r="937">
          <cell r="B937" t="str">
            <v>Sorsogon</v>
          </cell>
          <cell r="J937" t="str">
            <v>Bulan</v>
          </cell>
          <cell r="K937" t="str">
            <v>Municipality</v>
          </cell>
          <cell r="M937" t="str">
            <v>1st</v>
          </cell>
          <cell r="T937" t="str">
            <v>Yes</v>
          </cell>
        </row>
        <row r="938">
          <cell r="B938" t="str">
            <v>Sorsogon</v>
          </cell>
          <cell r="J938" t="str">
            <v>Bulusan</v>
          </cell>
          <cell r="K938" t="str">
            <v>Municipality</v>
          </cell>
          <cell r="M938" t="str">
            <v>4th</v>
          </cell>
          <cell r="T938" t="str">
            <v>Yes</v>
          </cell>
        </row>
        <row r="939">
          <cell r="B939" t="str">
            <v>Sorsogon</v>
          </cell>
          <cell r="J939" t="str">
            <v>Casiguran</v>
          </cell>
          <cell r="K939" t="str">
            <v>Municipality</v>
          </cell>
          <cell r="M939" t="str">
            <v>4th</v>
          </cell>
          <cell r="T939" t="str">
            <v>Yes</v>
          </cell>
        </row>
        <row r="940">
          <cell r="B940" t="str">
            <v>Sorsogon</v>
          </cell>
          <cell r="J940" t="str">
            <v>Castilla</v>
          </cell>
          <cell r="K940" t="str">
            <v>Municipality</v>
          </cell>
          <cell r="M940" t="str">
            <v>3rd</v>
          </cell>
          <cell r="T940" t="str">
            <v>Yes</v>
          </cell>
        </row>
        <row r="941">
          <cell r="B941" t="str">
            <v>Sorsogon</v>
          </cell>
          <cell r="J941" t="str">
            <v>City Of Sorsogon (Capital)</v>
          </cell>
          <cell r="K941" t="str">
            <v>City</v>
          </cell>
          <cell r="M941" t="str">
            <v>3rd</v>
          </cell>
          <cell r="T941" t="str">
            <v>Yes</v>
          </cell>
        </row>
        <row r="942">
          <cell r="B942" t="str">
            <v>Sorsogon</v>
          </cell>
          <cell r="J942" t="str">
            <v>Donsol</v>
          </cell>
          <cell r="K942" t="str">
            <v>Municipality</v>
          </cell>
          <cell r="M942" t="str">
            <v>3rd</v>
          </cell>
          <cell r="T942" t="str">
            <v>Yes</v>
          </cell>
        </row>
        <row r="943">
          <cell r="B943" t="str">
            <v>Sorsogon</v>
          </cell>
          <cell r="J943" t="str">
            <v>Gubat</v>
          </cell>
          <cell r="K943" t="str">
            <v>Municipality</v>
          </cell>
          <cell r="M943" t="str">
            <v>2nd</v>
          </cell>
          <cell r="T943" t="str">
            <v>Yes</v>
          </cell>
        </row>
        <row r="944">
          <cell r="B944" t="str">
            <v>Sorsogon</v>
          </cell>
          <cell r="J944" t="str">
            <v>Irosin</v>
          </cell>
          <cell r="K944" t="str">
            <v>Municipality</v>
          </cell>
          <cell r="M944" t="str">
            <v>2nd</v>
          </cell>
          <cell r="T944" t="str">
            <v>Yes</v>
          </cell>
        </row>
        <row r="945">
          <cell r="B945" t="str">
            <v>Sorsogon</v>
          </cell>
          <cell r="J945" t="str">
            <v>Juban</v>
          </cell>
          <cell r="K945" t="str">
            <v>Municipality</v>
          </cell>
          <cell r="M945" t="str">
            <v>4th</v>
          </cell>
          <cell r="T945" t="str">
            <v>Yes</v>
          </cell>
        </row>
        <row r="946">
          <cell r="B946" t="str">
            <v>Sorsogon</v>
          </cell>
          <cell r="J946" t="str">
            <v>Magallanes</v>
          </cell>
          <cell r="K946" t="str">
            <v>Municipality</v>
          </cell>
          <cell r="M946" t="str">
            <v>3rd</v>
          </cell>
          <cell r="T946" t="str">
            <v>Yes</v>
          </cell>
        </row>
        <row r="947">
          <cell r="B947" t="str">
            <v>Sorsogon</v>
          </cell>
          <cell r="J947" t="str">
            <v>Matnog</v>
          </cell>
          <cell r="K947" t="str">
            <v>Municipality</v>
          </cell>
          <cell r="M947" t="str">
            <v>3rd</v>
          </cell>
          <cell r="T947" t="str">
            <v>Yes</v>
          </cell>
        </row>
        <row r="948">
          <cell r="B948" t="str">
            <v>Sorsogon</v>
          </cell>
          <cell r="J948" t="str">
            <v>Pilar</v>
          </cell>
          <cell r="K948" t="str">
            <v>Municipality</v>
          </cell>
          <cell r="M948" t="str">
            <v>1st</v>
          </cell>
          <cell r="T948" t="str">
            <v>Yes</v>
          </cell>
        </row>
        <row r="949">
          <cell r="B949" t="str">
            <v>Sorsogon</v>
          </cell>
          <cell r="J949" t="str">
            <v>Prieto Diaz</v>
          </cell>
          <cell r="K949" t="str">
            <v>Municipality</v>
          </cell>
          <cell r="M949" t="str">
            <v>5th</v>
          </cell>
          <cell r="T949" t="str">
            <v>Yes</v>
          </cell>
        </row>
        <row r="950">
          <cell r="B950" t="str">
            <v>Sorsogon</v>
          </cell>
          <cell r="J950" t="str">
            <v>Santa Magdalena</v>
          </cell>
          <cell r="K950" t="str">
            <v>Municipality</v>
          </cell>
          <cell r="M950" t="str">
            <v>5th</v>
          </cell>
          <cell r="T950" t="str">
            <v>Yes</v>
          </cell>
        </row>
        <row r="951">
          <cell r="B951" t="str">
            <v>Aklan</v>
          </cell>
          <cell r="J951" t="str">
            <v>Altavas</v>
          </cell>
          <cell r="K951" t="str">
            <v>Municipality</v>
          </cell>
          <cell r="M951" t="str">
            <v>4th</v>
          </cell>
          <cell r="T951" t="str">
            <v>No</v>
          </cell>
        </row>
        <row r="952">
          <cell r="B952" t="str">
            <v>Aklan</v>
          </cell>
          <cell r="J952" t="str">
            <v>Balete</v>
          </cell>
          <cell r="K952" t="str">
            <v>Municipality</v>
          </cell>
          <cell r="M952" t="str">
            <v>4th</v>
          </cell>
          <cell r="T952" t="str">
            <v>No</v>
          </cell>
        </row>
        <row r="953">
          <cell r="B953" t="str">
            <v>Aklan</v>
          </cell>
          <cell r="J953" t="str">
            <v>Banga</v>
          </cell>
          <cell r="K953" t="str">
            <v>Municipality</v>
          </cell>
          <cell r="M953" t="str">
            <v>3rd</v>
          </cell>
          <cell r="T953" t="str">
            <v>No</v>
          </cell>
        </row>
        <row r="954">
          <cell r="B954" t="str">
            <v>Aklan</v>
          </cell>
          <cell r="J954" t="str">
            <v>Batan</v>
          </cell>
          <cell r="K954" t="str">
            <v>Municipality</v>
          </cell>
          <cell r="M954" t="str">
            <v>4th</v>
          </cell>
          <cell r="T954" t="str">
            <v>No</v>
          </cell>
        </row>
        <row r="955">
          <cell r="B955" t="str">
            <v>Aklan</v>
          </cell>
          <cell r="J955" t="str">
            <v>Buruanga</v>
          </cell>
          <cell r="K955" t="str">
            <v>Municipality</v>
          </cell>
          <cell r="M955" t="str">
            <v>5th</v>
          </cell>
          <cell r="T955" t="str">
            <v>No</v>
          </cell>
        </row>
        <row r="956">
          <cell r="B956" t="str">
            <v>Aklan</v>
          </cell>
          <cell r="J956" t="str">
            <v>Ibajay</v>
          </cell>
          <cell r="K956" t="str">
            <v>Municipality</v>
          </cell>
          <cell r="M956" t="str">
            <v>3rd</v>
          </cell>
          <cell r="T956" t="str">
            <v>No</v>
          </cell>
        </row>
        <row r="957">
          <cell r="B957" t="str">
            <v>Aklan</v>
          </cell>
          <cell r="J957" t="str">
            <v>Kalibo (Capital)</v>
          </cell>
          <cell r="K957" t="str">
            <v>Municipality</v>
          </cell>
          <cell r="M957" t="str">
            <v>1st</v>
          </cell>
          <cell r="T957" t="str">
            <v>No</v>
          </cell>
        </row>
        <row r="958">
          <cell r="B958" t="str">
            <v>Aklan</v>
          </cell>
          <cell r="J958" t="str">
            <v>Lezo</v>
          </cell>
          <cell r="K958" t="str">
            <v>Municipality</v>
          </cell>
          <cell r="M958" t="str">
            <v>5th</v>
          </cell>
          <cell r="T958" t="str">
            <v>No</v>
          </cell>
        </row>
        <row r="959">
          <cell r="B959" t="str">
            <v>Aklan</v>
          </cell>
          <cell r="J959" t="str">
            <v>Libacao</v>
          </cell>
          <cell r="K959" t="str">
            <v>Municipality</v>
          </cell>
          <cell r="M959" t="str">
            <v>3rd</v>
          </cell>
          <cell r="T959" t="str">
            <v>No</v>
          </cell>
        </row>
        <row r="960">
          <cell r="B960" t="str">
            <v>Aklan</v>
          </cell>
          <cell r="J960" t="str">
            <v>Madalag</v>
          </cell>
          <cell r="K960" t="str">
            <v>Municipality</v>
          </cell>
          <cell r="M960" t="str">
            <v>4th</v>
          </cell>
          <cell r="T960" t="str">
            <v>No</v>
          </cell>
        </row>
        <row r="961">
          <cell r="B961" t="str">
            <v>Aklan</v>
          </cell>
          <cell r="J961" t="str">
            <v>Makato</v>
          </cell>
          <cell r="K961" t="str">
            <v>Municipality</v>
          </cell>
          <cell r="M961" t="str">
            <v>4th</v>
          </cell>
          <cell r="T961" t="str">
            <v>No</v>
          </cell>
        </row>
        <row r="962">
          <cell r="B962" t="str">
            <v>Aklan</v>
          </cell>
          <cell r="J962" t="str">
            <v>Malay</v>
          </cell>
          <cell r="K962" t="str">
            <v>Municipality</v>
          </cell>
          <cell r="M962" t="str">
            <v>1st</v>
          </cell>
          <cell r="T962" t="str">
            <v>No</v>
          </cell>
        </row>
        <row r="963">
          <cell r="B963" t="str">
            <v>Aklan</v>
          </cell>
          <cell r="J963" t="str">
            <v>Malinao</v>
          </cell>
          <cell r="K963" t="str">
            <v>Municipality</v>
          </cell>
          <cell r="M963" t="str">
            <v>4th</v>
          </cell>
          <cell r="T963" t="str">
            <v>No</v>
          </cell>
        </row>
        <row r="964">
          <cell r="B964" t="str">
            <v>Aklan</v>
          </cell>
          <cell r="J964" t="str">
            <v>Nabas</v>
          </cell>
          <cell r="K964" t="str">
            <v>Municipality</v>
          </cell>
          <cell r="M964" t="str">
            <v>4th</v>
          </cell>
          <cell r="T964" t="str">
            <v>No</v>
          </cell>
        </row>
        <row r="965">
          <cell r="B965" t="str">
            <v>Aklan</v>
          </cell>
          <cell r="J965" t="str">
            <v>New Washington</v>
          </cell>
          <cell r="K965" t="str">
            <v>Municipality</v>
          </cell>
          <cell r="M965" t="str">
            <v>3rd</v>
          </cell>
          <cell r="T965" t="str">
            <v>No</v>
          </cell>
        </row>
        <row r="966">
          <cell r="B966" t="str">
            <v>Aklan</v>
          </cell>
          <cell r="J966" t="str">
            <v>Numancia</v>
          </cell>
          <cell r="K966" t="str">
            <v>Municipality</v>
          </cell>
          <cell r="M966" t="str">
            <v>4th</v>
          </cell>
          <cell r="T966" t="str">
            <v>No</v>
          </cell>
        </row>
        <row r="967">
          <cell r="B967" t="str">
            <v>Aklan</v>
          </cell>
          <cell r="J967" t="str">
            <v>Tangalan</v>
          </cell>
          <cell r="K967" t="str">
            <v>Municipality</v>
          </cell>
          <cell r="M967" t="str">
            <v>5th</v>
          </cell>
          <cell r="T967" t="str">
            <v>No</v>
          </cell>
        </row>
        <row r="968">
          <cell r="B968" t="str">
            <v>Antique</v>
          </cell>
          <cell r="J968" t="str">
            <v>Anini-Y</v>
          </cell>
          <cell r="K968" t="str">
            <v>Municipality</v>
          </cell>
          <cell r="M968" t="str">
            <v>4th</v>
          </cell>
          <cell r="T968" t="str">
            <v>No</v>
          </cell>
        </row>
        <row r="969">
          <cell r="B969" t="str">
            <v>Antique</v>
          </cell>
          <cell r="J969" t="str">
            <v>Barbaza</v>
          </cell>
          <cell r="K969" t="str">
            <v>Municipality</v>
          </cell>
          <cell r="M969" t="str">
            <v>4th</v>
          </cell>
          <cell r="T969" t="str">
            <v>No</v>
          </cell>
        </row>
        <row r="970">
          <cell r="B970" t="str">
            <v>Antique</v>
          </cell>
          <cell r="J970" t="str">
            <v>Belison</v>
          </cell>
          <cell r="K970" t="str">
            <v>Municipality</v>
          </cell>
          <cell r="M970" t="str">
            <v>5th</v>
          </cell>
          <cell r="T970" t="str">
            <v>No</v>
          </cell>
        </row>
        <row r="971">
          <cell r="B971" t="str">
            <v>Antique</v>
          </cell>
          <cell r="J971" t="str">
            <v>Bugasong</v>
          </cell>
          <cell r="K971" t="str">
            <v>Municipality</v>
          </cell>
          <cell r="M971" t="str">
            <v>3rd</v>
          </cell>
          <cell r="T971" t="str">
            <v>No</v>
          </cell>
        </row>
        <row r="972">
          <cell r="B972" t="str">
            <v>Antique</v>
          </cell>
          <cell r="J972" t="str">
            <v>Caluya</v>
          </cell>
          <cell r="K972" t="str">
            <v>Municipality</v>
          </cell>
          <cell r="M972" t="str">
            <v>1st</v>
          </cell>
          <cell r="T972" t="str">
            <v>No</v>
          </cell>
        </row>
        <row r="973">
          <cell r="B973" t="str">
            <v>Antique</v>
          </cell>
          <cell r="J973" t="str">
            <v>Culasi</v>
          </cell>
          <cell r="K973" t="str">
            <v>Municipality</v>
          </cell>
          <cell r="M973" t="str">
            <v>3rd</v>
          </cell>
          <cell r="T973" t="str">
            <v>No</v>
          </cell>
        </row>
        <row r="974">
          <cell r="B974" t="str">
            <v>Antique</v>
          </cell>
          <cell r="J974" t="str">
            <v>Hamtic</v>
          </cell>
          <cell r="K974" t="str">
            <v>Municipality</v>
          </cell>
          <cell r="M974" t="str">
            <v>3rd</v>
          </cell>
          <cell r="T974" t="str">
            <v>No</v>
          </cell>
        </row>
        <row r="975">
          <cell r="B975" t="str">
            <v>Antique</v>
          </cell>
          <cell r="J975" t="str">
            <v>Laua-An</v>
          </cell>
          <cell r="K975" t="str">
            <v>Municipality</v>
          </cell>
          <cell r="M975" t="str">
            <v>4th</v>
          </cell>
          <cell r="T975" t="str">
            <v>No</v>
          </cell>
        </row>
        <row r="976">
          <cell r="B976" t="str">
            <v>Antique</v>
          </cell>
          <cell r="J976" t="str">
            <v>Libertad</v>
          </cell>
          <cell r="K976" t="str">
            <v>Municipality</v>
          </cell>
          <cell r="M976" t="str">
            <v>5th</v>
          </cell>
          <cell r="T976" t="str">
            <v>No</v>
          </cell>
        </row>
        <row r="977">
          <cell r="B977" t="str">
            <v>Antique</v>
          </cell>
          <cell r="J977" t="str">
            <v>Pandan</v>
          </cell>
          <cell r="K977" t="str">
            <v>Municipality</v>
          </cell>
          <cell r="M977" t="str">
            <v>4th</v>
          </cell>
          <cell r="T977" t="str">
            <v>No</v>
          </cell>
        </row>
        <row r="978">
          <cell r="B978" t="str">
            <v>Antique</v>
          </cell>
          <cell r="J978" t="str">
            <v>Patnongon</v>
          </cell>
          <cell r="K978" t="str">
            <v>Municipality</v>
          </cell>
          <cell r="M978" t="str">
            <v>3rd</v>
          </cell>
          <cell r="T978" t="str">
            <v>No</v>
          </cell>
        </row>
        <row r="979">
          <cell r="B979" t="str">
            <v>Antique</v>
          </cell>
          <cell r="J979" t="str">
            <v>San Jose (Capital)</v>
          </cell>
          <cell r="K979" t="str">
            <v>Municipality</v>
          </cell>
          <cell r="M979" t="str">
            <v>1st</v>
          </cell>
          <cell r="T979" t="str">
            <v>No</v>
          </cell>
        </row>
        <row r="980">
          <cell r="B980" t="str">
            <v>Antique</v>
          </cell>
          <cell r="J980" t="str">
            <v>San Remigio</v>
          </cell>
          <cell r="K980" t="str">
            <v>Municipality</v>
          </cell>
          <cell r="M980" t="str">
            <v>3rd</v>
          </cell>
          <cell r="T980" t="str">
            <v>No</v>
          </cell>
        </row>
        <row r="981">
          <cell r="B981" t="str">
            <v>Antique</v>
          </cell>
          <cell r="J981" t="str">
            <v>Sebaste</v>
          </cell>
          <cell r="K981" t="str">
            <v>Municipality</v>
          </cell>
          <cell r="M981" t="str">
            <v>4th</v>
          </cell>
          <cell r="T981" t="str">
            <v>No</v>
          </cell>
        </row>
        <row r="982">
          <cell r="B982" t="str">
            <v>Antique</v>
          </cell>
          <cell r="J982" t="str">
            <v>Sibalom</v>
          </cell>
          <cell r="K982" t="str">
            <v>Municipality</v>
          </cell>
          <cell r="M982" t="str">
            <v>2nd</v>
          </cell>
          <cell r="T982" t="str">
            <v>No</v>
          </cell>
        </row>
        <row r="983">
          <cell r="B983" t="str">
            <v>Antique</v>
          </cell>
          <cell r="J983" t="str">
            <v>Tibiao</v>
          </cell>
          <cell r="K983" t="str">
            <v>Municipality</v>
          </cell>
          <cell r="M983" t="str">
            <v>4th</v>
          </cell>
          <cell r="T983" t="str">
            <v>No</v>
          </cell>
        </row>
        <row r="984">
          <cell r="B984" t="str">
            <v>Antique</v>
          </cell>
          <cell r="J984" t="str">
            <v>Tobias Fornier (Dao)</v>
          </cell>
          <cell r="K984" t="str">
            <v>Municipality</v>
          </cell>
          <cell r="M984" t="str">
            <v>4th</v>
          </cell>
          <cell r="T984" t="str">
            <v>No</v>
          </cell>
        </row>
        <row r="985">
          <cell r="B985" t="str">
            <v>Antique</v>
          </cell>
          <cell r="J985" t="str">
            <v>Valderrama</v>
          </cell>
          <cell r="K985" t="str">
            <v>Municipality</v>
          </cell>
          <cell r="M985" t="str">
            <v>4th</v>
          </cell>
          <cell r="T985" t="str">
            <v>No</v>
          </cell>
        </row>
        <row r="986">
          <cell r="B986" t="str">
            <v>Capiz</v>
          </cell>
          <cell r="J986" t="str">
            <v>Cuartero</v>
          </cell>
          <cell r="K986" t="str">
            <v>Municipality</v>
          </cell>
          <cell r="M986" t="str">
            <v>4th</v>
          </cell>
          <cell r="T986" t="str">
            <v>Yes</v>
          </cell>
        </row>
        <row r="987">
          <cell r="B987" t="str">
            <v>Capiz</v>
          </cell>
          <cell r="J987" t="str">
            <v>Dao</v>
          </cell>
          <cell r="K987" t="str">
            <v>Municipality</v>
          </cell>
          <cell r="M987" t="str">
            <v>4th</v>
          </cell>
          <cell r="T987" t="str">
            <v>Yes</v>
          </cell>
        </row>
        <row r="988">
          <cell r="B988" t="str">
            <v>Capiz</v>
          </cell>
          <cell r="J988" t="str">
            <v>Dumalag</v>
          </cell>
          <cell r="K988" t="str">
            <v>Municipality</v>
          </cell>
          <cell r="M988" t="str">
            <v>4th</v>
          </cell>
          <cell r="T988" t="str">
            <v>Yes</v>
          </cell>
        </row>
        <row r="989">
          <cell r="B989" t="str">
            <v>Capiz</v>
          </cell>
          <cell r="J989" t="str">
            <v>Dumarao</v>
          </cell>
          <cell r="K989" t="str">
            <v>Municipality</v>
          </cell>
          <cell r="M989" t="str">
            <v>2nd</v>
          </cell>
          <cell r="T989" t="str">
            <v>Yes</v>
          </cell>
        </row>
        <row r="990">
          <cell r="B990" t="str">
            <v>Capiz</v>
          </cell>
          <cell r="J990" t="str">
            <v>Ivisan</v>
          </cell>
          <cell r="K990" t="str">
            <v>Municipality</v>
          </cell>
          <cell r="M990" t="str">
            <v>4th</v>
          </cell>
          <cell r="T990" t="str">
            <v>Yes</v>
          </cell>
        </row>
        <row r="991">
          <cell r="B991" t="str">
            <v>Capiz</v>
          </cell>
          <cell r="J991" t="str">
            <v>Jamindan</v>
          </cell>
          <cell r="K991" t="str">
            <v>Municipality</v>
          </cell>
          <cell r="M991" t="str">
            <v>2nd</v>
          </cell>
          <cell r="T991" t="str">
            <v>Yes</v>
          </cell>
        </row>
        <row r="992">
          <cell r="B992" t="str">
            <v>Capiz</v>
          </cell>
          <cell r="J992" t="str">
            <v>Ma-Ayon</v>
          </cell>
          <cell r="K992" t="str">
            <v>Municipality</v>
          </cell>
          <cell r="M992" t="str">
            <v>3rd</v>
          </cell>
          <cell r="T992" t="str">
            <v>Yes</v>
          </cell>
        </row>
        <row r="993">
          <cell r="B993" t="str">
            <v>Capiz</v>
          </cell>
          <cell r="J993" t="str">
            <v>Mambusao</v>
          </cell>
          <cell r="K993" t="str">
            <v>Municipality</v>
          </cell>
          <cell r="M993" t="str">
            <v>3rd</v>
          </cell>
          <cell r="T993" t="str">
            <v>Yes</v>
          </cell>
        </row>
        <row r="994">
          <cell r="B994" t="str">
            <v>Capiz</v>
          </cell>
          <cell r="J994" t="str">
            <v>Panay</v>
          </cell>
          <cell r="K994" t="str">
            <v>Municipality</v>
          </cell>
          <cell r="M994" t="str">
            <v>3rd</v>
          </cell>
          <cell r="T994" t="str">
            <v>Yes</v>
          </cell>
        </row>
        <row r="995">
          <cell r="B995" t="str">
            <v>Capiz</v>
          </cell>
          <cell r="J995" t="str">
            <v>Panitan</v>
          </cell>
          <cell r="K995" t="str">
            <v>Municipality</v>
          </cell>
          <cell r="M995" t="str">
            <v>3rd</v>
          </cell>
          <cell r="T995" t="str">
            <v>Yes</v>
          </cell>
        </row>
        <row r="996">
          <cell r="B996" t="str">
            <v>Capiz</v>
          </cell>
          <cell r="J996" t="str">
            <v>Pilar</v>
          </cell>
          <cell r="K996" t="str">
            <v>Municipality</v>
          </cell>
          <cell r="M996" t="str">
            <v>3rd</v>
          </cell>
          <cell r="T996" t="str">
            <v>Yes</v>
          </cell>
        </row>
        <row r="997">
          <cell r="B997" t="str">
            <v>Capiz</v>
          </cell>
          <cell r="J997" t="str">
            <v>Pontevedra</v>
          </cell>
          <cell r="K997" t="str">
            <v>Municipality</v>
          </cell>
          <cell r="M997" t="str">
            <v>3rd</v>
          </cell>
          <cell r="T997" t="str">
            <v>Yes</v>
          </cell>
        </row>
        <row r="998">
          <cell r="B998" t="str">
            <v>Capiz</v>
          </cell>
          <cell r="J998" t="str">
            <v>President Roxas</v>
          </cell>
          <cell r="K998" t="str">
            <v>Municipality</v>
          </cell>
          <cell r="M998" t="str">
            <v>4th</v>
          </cell>
          <cell r="T998" t="str">
            <v>Yes</v>
          </cell>
        </row>
        <row r="999">
          <cell r="B999" t="str">
            <v>Capiz</v>
          </cell>
          <cell r="J999" t="str">
            <v>Roxas City (Capital)</v>
          </cell>
          <cell r="K999" t="str">
            <v>City</v>
          </cell>
          <cell r="M999" t="str">
            <v>3rd</v>
          </cell>
          <cell r="T999" t="str">
            <v>Yes</v>
          </cell>
        </row>
        <row r="1000">
          <cell r="B1000" t="str">
            <v>Capiz</v>
          </cell>
          <cell r="J1000" t="str">
            <v>Sapi-An</v>
          </cell>
          <cell r="K1000" t="str">
            <v>Municipality</v>
          </cell>
          <cell r="M1000" t="str">
            <v>4th</v>
          </cell>
          <cell r="T1000" t="str">
            <v>Yes</v>
          </cell>
        </row>
        <row r="1001">
          <cell r="B1001" t="str">
            <v>Capiz</v>
          </cell>
          <cell r="J1001" t="str">
            <v>Sigma</v>
          </cell>
          <cell r="K1001" t="str">
            <v>Municipality</v>
          </cell>
          <cell r="M1001" t="str">
            <v>4th</v>
          </cell>
          <cell r="T1001" t="str">
            <v>Yes</v>
          </cell>
        </row>
        <row r="1002">
          <cell r="B1002" t="str">
            <v>Capiz</v>
          </cell>
          <cell r="J1002" t="str">
            <v>Tapaz</v>
          </cell>
          <cell r="K1002" t="str">
            <v>Municipality</v>
          </cell>
          <cell r="M1002" t="str">
            <v>1st</v>
          </cell>
          <cell r="T1002" t="str">
            <v>Yes</v>
          </cell>
        </row>
        <row r="1003">
          <cell r="B1003" t="str">
            <v>Guimaras</v>
          </cell>
          <cell r="J1003" t="str">
            <v>Buenavista</v>
          </cell>
          <cell r="K1003" t="str">
            <v>Municipality</v>
          </cell>
          <cell r="M1003" t="str">
            <v>2nd</v>
          </cell>
          <cell r="T1003" t="str">
            <v>No</v>
          </cell>
        </row>
        <row r="1004">
          <cell r="B1004" t="str">
            <v>Guimaras</v>
          </cell>
          <cell r="J1004" t="str">
            <v>Jordan (Capital)</v>
          </cell>
          <cell r="K1004" t="str">
            <v>Municipality</v>
          </cell>
          <cell r="M1004" t="str">
            <v>3rd</v>
          </cell>
          <cell r="T1004" t="str">
            <v>No</v>
          </cell>
        </row>
        <row r="1005">
          <cell r="B1005" t="str">
            <v>Guimaras</v>
          </cell>
          <cell r="J1005" t="str">
            <v>Nueva Valencia</v>
          </cell>
          <cell r="K1005" t="str">
            <v>Municipality</v>
          </cell>
          <cell r="M1005" t="str">
            <v>3rd</v>
          </cell>
          <cell r="T1005" t="str">
            <v>No</v>
          </cell>
        </row>
        <row r="1006">
          <cell r="B1006" t="str">
            <v>Guimaras</v>
          </cell>
          <cell r="J1006" t="str">
            <v>San Lorenzo</v>
          </cell>
          <cell r="K1006" t="str">
            <v>Municipality</v>
          </cell>
          <cell r="M1006" t="str">
            <v>5th</v>
          </cell>
          <cell r="T1006" t="str">
            <v>No</v>
          </cell>
        </row>
        <row r="1007">
          <cell r="B1007" t="str">
            <v>Guimaras</v>
          </cell>
          <cell r="J1007" t="str">
            <v>Sibunag</v>
          </cell>
          <cell r="K1007" t="str">
            <v>Municipality</v>
          </cell>
          <cell r="M1007" t="str">
            <v>4th</v>
          </cell>
          <cell r="T1007" t="str">
            <v>No</v>
          </cell>
        </row>
        <row r="1008">
          <cell r="B1008" t="str">
            <v>Iloilo</v>
          </cell>
          <cell r="J1008" t="str">
            <v>Ajuy</v>
          </cell>
          <cell r="K1008" t="str">
            <v>Municipality</v>
          </cell>
          <cell r="M1008" t="str">
            <v>2nd</v>
          </cell>
          <cell r="T1008" t="str">
            <v>No</v>
          </cell>
        </row>
        <row r="1009">
          <cell r="B1009" t="str">
            <v>Iloilo</v>
          </cell>
          <cell r="J1009" t="str">
            <v>Alimodian</v>
          </cell>
          <cell r="K1009" t="str">
            <v>Municipality</v>
          </cell>
          <cell r="M1009" t="str">
            <v>3rd</v>
          </cell>
          <cell r="T1009" t="str">
            <v>No</v>
          </cell>
        </row>
        <row r="1010">
          <cell r="B1010" t="str">
            <v>Iloilo</v>
          </cell>
          <cell r="J1010" t="str">
            <v>Anilao</v>
          </cell>
          <cell r="K1010" t="str">
            <v>Municipality</v>
          </cell>
          <cell r="M1010" t="str">
            <v>4th</v>
          </cell>
          <cell r="T1010" t="str">
            <v>No</v>
          </cell>
        </row>
        <row r="1011">
          <cell r="B1011" t="str">
            <v>Iloilo</v>
          </cell>
          <cell r="J1011" t="str">
            <v>Badiangan</v>
          </cell>
          <cell r="K1011" t="str">
            <v>Municipality</v>
          </cell>
          <cell r="M1011" t="str">
            <v>4th</v>
          </cell>
          <cell r="T1011" t="str">
            <v>No</v>
          </cell>
        </row>
        <row r="1012">
          <cell r="B1012" t="str">
            <v>Iloilo</v>
          </cell>
          <cell r="J1012" t="str">
            <v>Balasan</v>
          </cell>
          <cell r="K1012" t="str">
            <v>Municipality</v>
          </cell>
          <cell r="M1012" t="str">
            <v>4th</v>
          </cell>
          <cell r="T1012" t="str">
            <v>No</v>
          </cell>
        </row>
        <row r="1013">
          <cell r="B1013" t="str">
            <v>Iloilo</v>
          </cell>
          <cell r="J1013" t="str">
            <v>Banate</v>
          </cell>
          <cell r="K1013" t="str">
            <v>Municipality</v>
          </cell>
          <cell r="M1013" t="str">
            <v>4th</v>
          </cell>
          <cell r="T1013" t="str">
            <v>No</v>
          </cell>
        </row>
        <row r="1014">
          <cell r="B1014" t="str">
            <v>Iloilo</v>
          </cell>
          <cell r="J1014" t="str">
            <v>Barotac Nuevo</v>
          </cell>
          <cell r="K1014" t="str">
            <v>Municipality</v>
          </cell>
          <cell r="M1014" t="str">
            <v>2nd</v>
          </cell>
          <cell r="T1014" t="str">
            <v>No</v>
          </cell>
        </row>
        <row r="1015">
          <cell r="B1015" t="str">
            <v>Iloilo</v>
          </cell>
          <cell r="J1015" t="str">
            <v>Barotac Viejo</v>
          </cell>
          <cell r="K1015" t="str">
            <v>Municipality</v>
          </cell>
          <cell r="M1015" t="str">
            <v>3rd</v>
          </cell>
          <cell r="T1015" t="str">
            <v>No</v>
          </cell>
        </row>
        <row r="1016">
          <cell r="B1016" t="str">
            <v>Iloilo</v>
          </cell>
          <cell r="J1016" t="str">
            <v>Batad</v>
          </cell>
          <cell r="K1016" t="str">
            <v>Municipality</v>
          </cell>
          <cell r="M1016" t="str">
            <v>5th</v>
          </cell>
          <cell r="T1016" t="str">
            <v>No</v>
          </cell>
        </row>
        <row r="1017">
          <cell r="B1017" t="str">
            <v>Iloilo</v>
          </cell>
          <cell r="J1017" t="str">
            <v>Bingawan</v>
          </cell>
          <cell r="K1017" t="str">
            <v>Municipality</v>
          </cell>
          <cell r="M1017" t="str">
            <v>5th</v>
          </cell>
          <cell r="T1017" t="str">
            <v>No</v>
          </cell>
        </row>
        <row r="1018">
          <cell r="B1018" t="str">
            <v>Iloilo</v>
          </cell>
          <cell r="J1018" t="str">
            <v>Cabatuan</v>
          </cell>
          <cell r="K1018" t="str">
            <v>Municipality</v>
          </cell>
          <cell r="M1018" t="str">
            <v>2nd</v>
          </cell>
          <cell r="T1018" t="str">
            <v>No</v>
          </cell>
        </row>
        <row r="1019">
          <cell r="B1019" t="str">
            <v>Iloilo</v>
          </cell>
          <cell r="J1019" t="str">
            <v>Calinog</v>
          </cell>
          <cell r="K1019" t="str">
            <v>Municipality</v>
          </cell>
          <cell r="M1019" t="str">
            <v>1st</v>
          </cell>
          <cell r="T1019" t="str">
            <v>No</v>
          </cell>
        </row>
        <row r="1020">
          <cell r="B1020" t="str">
            <v>Iloilo</v>
          </cell>
          <cell r="J1020" t="str">
            <v>Carles</v>
          </cell>
          <cell r="K1020" t="str">
            <v>Municipality</v>
          </cell>
          <cell r="M1020" t="str">
            <v>2nd</v>
          </cell>
          <cell r="T1020" t="str">
            <v>No</v>
          </cell>
        </row>
        <row r="1021">
          <cell r="B1021" t="str">
            <v>Iloilo</v>
          </cell>
          <cell r="J1021" t="str">
            <v>City Of Passi</v>
          </cell>
          <cell r="K1021" t="str">
            <v>City</v>
          </cell>
          <cell r="M1021" t="str">
            <v>4th</v>
          </cell>
          <cell r="T1021" t="str">
            <v>No</v>
          </cell>
        </row>
        <row r="1022">
          <cell r="B1022" t="str">
            <v>Iloilo</v>
          </cell>
          <cell r="J1022" t="str">
            <v>Concepcion</v>
          </cell>
          <cell r="K1022" t="str">
            <v>Municipality</v>
          </cell>
          <cell r="M1022" t="str">
            <v>3rd</v>
          </cell>
          <cell r="T1022" t="str">
            <v>No</v>
          </cell>
        </row>
        <row r="1023">
          <cell r="B1023" t="str">
            <v>Iloilo</v>
          </cell>
          <cell r="J1023" t="str">
            <v>Dingle</v>
          </cell>
          <cell r="K1023" t="str">
            <v>Municipality</v>
          </cell>
          <cell r="M1023" t="str">
            <v>3rd</v>
          </cell>
          <cell r="T1023" t="str">
            <v>No</v>
          </cell>
        </row>
        <row r="1024">
          <cell r="B1024" t="str">
            <v>Iloilo</v>
          </cell>
          <cell r="J1024" t="str">
            <v>Dueñas</v>
          </cell>
          <cell r="K1024" t="str">
            <v>Municipality</v>
          </cell>
          <cell r="M1024" t="str">
            <v>4th</v>
          </cell>
          <cell r="T1024" t="str">
            <v>No</v>
          </cell>
        </row>
        <row r="1025">
          <cell r="B1025" t="str">
            <v>Iloilo</v>
          </cell>
          <cell r="J1025" t="str">
            <v>Dumangas</v>
          </cell>
          <cell r="K1025" t="str">
            <v>Municipality</v>
          </cell>
          <cell r="M1025" t="str">
            <v>1st</v>
          </cell>
          <cell r="T1025" t="str">
            <v>No</v>
          </cell>
        </row>
        <row r="1026">
          <cell r="B1026" t="str">
            <v>Iloilo</v>
          </cell>
          <cell r="J1026" t="str">
            <v>Estancia</v>
          </cell>
          <cell r="K1026" t="str">
            <v>Municipality</v>
          </cell>
          <cell r="M1026" t="str">
            <v>2nd</v>
          </cell>
          <cell r="T1026" t="str">
            <v>No</v>
          </cell>
        </row>
        <row r="1027">
          <cell r="B1027" t="str">
            <v>Iloilo</v>
          </cell>
          <cell r="J1027" t="str">
            <v>Guimbal</v>
          </cell>
          <cell r="K1027" t="str">
            <v>Municipality</v>
          </cell>
          <cell r="M1027" t="str">
            <v>4th</v>
          </cell>
          <cell r="T1027" t="str">
            <v>No</v>
          </cell>
        </row>
        <row r="1028">
          <cell r="B1028" t="str">
            <v>Iloilo</v>
          </cell>
          <cell r="J1028" t="str">
            <v>Igbaras</v>
          </cell>
          <cell r="K1028" t="str">
            <v>Municipality</v>
          </cell>
          <cell r="M1028" t="str">
            <v>3rd</v>
          </cell>
          <cell r="T1028" t="str">
            <v>No</v>
          </cell>
        </row>
        <row r="1029">
          <cell r="B1029" t="str">
            <v>Iloilo</v>
          </cell>
          <cell r="J1029" t="str">
            <v>Iloilo City (Capital)</v>
          </cell>
          <cell r="K1029" t="str">
            <v>City</v>
          </cell>
          <cell r="M1029" t="str">
            <v>1st</v>
          </cell>
          <cell r="T1029" t="str">
            <v>No</v>
          </cell>
        </row>
        <row r="1030">
          <cell r="B1030" t="str">
            <v>Iloilo</v>
          </cell>
          <cell r="J1030" t="str">
            <v>Janiuay</v>
          </cell>
          <cell r="K1030" t="str">
            <v>Municipality</v>
          </cell>
          <cell r="M1030" t="str">
            <v>1st</v>
          </cell>
          <cell r="T1030" t="str">
            <v>No</v>
          </cell>
        </row>
        <row r="1031">
          <cell r="B1031" t="str">
            <v>Iloilo</v>
          </cell>
          <cell r="J1031" t="str">
            <v>Lambunao</v>
          </cell>
          <cell r="K1031" t="str">
            <v>Municipality</v>
          </cell>
          <cell r="M1031" t="str">
            <v>1st</v>
          </cell>
          <cell r="T1031" t="str">
            <v>No</v>
          </cell>
        </row>
        <row r="1032">
          <cell r="B1032" t="str">
            <v>Iloilo</v>
          </cell>
          <cell r="J1032" t="str">
            <v>Leganes</v>
          </cell>
          <cell r="K1032" t="str">
            <v>Municipality</v>
          </cell>
          <cell r="M1032" t="str">
            <v>4th</v>
          </cell>
          <cell r="T1032" t="str">
            <v>No</v>
          </cell>
        </row>
        <row r="1033">
          <cell r="B1033" t="str">
            <v>Iloilo</v>
          </cell>
          <cell r="J1033" t="str">
            <v>Lemery</v>
          </cell>
          <cell r="K1033" t="str">
            <v>Municipality</v>
          </cell>
          <cell r="M1033" t="str">
            <v>4th</v>
          </cell>
          <cell r="T1033" t="str">
            <v>No</v>
          </cell>
        </row>
        <row r="1034">
          <cell r="B1034" t="str">
            <v>Iloilo</v>
          </cell>
          <cell r="J1034" t="str">
            <v>Leon</v>
          </cell>
          <cell r="K1034" t="str">
            <v>Municipality</v>
          </cell>
          <cell r="M1034" t="str">
            <v>2nd</v>
          </cell>
          <cell r="T1034" t="str">
            <v>No</v>
          </cell>
        </row>
        <row r="1035">
          <cell r="B1035" t="str">
            <v>Iloilo</v>
          </cell>
          <cell r="J1035" t="str">
            <v>Maasin</v>
          </cell>
          <cell r="K1035" t="str">
            <v>Municipality</v>
          </cell>
          <cell r="M1035" t="str">
            <v>3rd</v>
          </cell>
          <cell r="T1035" t="str">
            <v>No</v>
          </cell>
        </row>
        <row r="1036">
          <cell r="B1036" t="str">
            <v>Iloilo</v>
          </cell>
          <cell r="J1036" t="str">
            <v>Miagao</v>
          </cell>
          <cell r="K1036" t="str">
            <v>Municipality</v>
          </cell>
          <cell r="M1036" t="str">
            <v>1st</v>
          </cell>
          <cell r="T1036" t="str">
            <v>No</v>
          </cell>
        </row>
        <row r="1037">
          <cell r="B1037" t="str">
            <v>Iloilo</v>
          </cell>
          <cell r="J1037" t="str">
            <v>Mina</v>
          </cell>
          <cell r="K1037" t="str">
            <v>Municipality</v>
          </cell>
          <cell r="M1037" t="str">
            <v>5th</v>
          </cell>
          <cell r="T1037" t="str">
            <v>No</v>
          </cell>
        </row>
        <row r="1038">
          <cell r="B1038" t="str">
            <v>Iloilo</v>
          </cell>
          <cell r="J1038" t="str">
            <v>New Lucena</v>
          </cell>
          <cell r="K1038" t="str">
            <v>Municipality</v>
          </cell>
          <cell r="M1038" t="str">
            <v>4th</v>
          </cell>
          <cell r="T1038" t="str">
            <v>No</v>
          </cell>
        </row>
        <row r="1039">
          <cell r="B1039" t="str">
            <v>Iloilo</v>
          </cell>
          <cell r="J1039" t="str">
            <v>Oton</v>
          </cell>
          <cell r="K1039" t="str">
            <v>Municipality</v>
          </cell>
          <cell r="M1039" t="str">
            <v>1st</v>
          </cell>
          <cell r="T1039" t="str">
            <v>No</v>
          </cell>
        </row>
        <row r="1040">
          <cell r="B1040" t="str">
            <v>Iloilo</v>
          </cell>
          <cell r="J1040" t="str">
            <v>Pavia</v>
          </cell>
          <cell r="K1040" t="str">
            <v>Municipality</v>
          </cell>
          <cell r="M1040" t="str">
            <v>2nd</v>
          </cell>
          <cell r="T1040" t="str">
            <v>No</v>
          </cell>
        </row>
        <row r="1041">
          <cell r="B1041" t="str">
            <v>Iloilo</v>
          </cell>
          <cell r="J1041" t="str">
            <v>Pototan</v>
          </cell>
          <cell r="K1041" t="str">
            <v>Municipality</v>
          </cell>
          <cell r="M1041" t="str">
            <v>1st</v>
          </cell>
          <cell r="T1041" t="str">
            <v>No</v>
          </cell>
        </row>
        <row r="1042">
          <cell r="B1042" t="str">
            <v>Iloilo</v>
          </cell>
          <cell r="J1042" t="str">
            <v>San Dionisio</v>
          </cell>
          <cell r="K1042" t="str">
            <v>Municipality</v>
          </cell>
          <cell r="M1042" t="str">
            <v>4th</v>
          </cell>
          <cell r="T1042" t="str">
            <v>No</v>
          </cell>
        </row>
        <row r="1043">
          <cell r="B1043" t="str">
            <v>Iloilo</v>
          </cell>
          <cell r="J1043" t="str">
            <v>San Enrique</v>
          </cell>
          <cell r="K1043" t="str">
            <v>Municipality</v>
          </cell>
          <cell r="M1043" t="str">
            <v>3rd</v>
          </cell>
          <cell r="T1043" t="str">
            <v>No</v>
          </cell>
        </row>
        <row r="1044">
          <cell r="B1044" t="str">
            <v>Iloilo</v>
          </cell>
          <cell r="J1044" t="str">
            <v>San Joaquin</v>
          </cell>
          <cell r="K1044" t="str">
            <v>Municipality</v>
          </cell>
          <cell r="M1044" t="str">
            <v>2nd</v>
          </cell>
          <cell r="T1044" t="str">
            <v>No</v>
          </cell>
        </row>
        <row r="1045">
          <cell r="B1045" t="str">
            <v>Iloilo</v>
          </cell>
          <cell r="J1045" t="str">
            <v>San Miguel</v>
          </cell>
          <cell r="K1045" t="str">
            <v>Municipality</v>
          </cell>
          <cell r="M1045" t="str">
            <v>4th</v>
          </cell>
          <cell r="T1045" t="str">
            <v>No</v>
          </cell>
        </row>
        <row r="1046">
          <cell r="B1046" t="str">
            <v>Iloilo</v>
          </cell>
          <cell r="J1046" t="str">
            <v>San Rafael</v>
          </cell>
          <cell r="K1046" t="str">
            <v>Municipality</v>
          </cell>
          <cell r="M1046" t="str">
            <v>5th</v>
          </cell>
          <cell r="T1046" t="str">
            <v>No</v>
          </cell>
        </row>
        <row r="1047">
          <cell r="B1047" t="str">
            <v>Iloilo</v>
          </cell>
          <cell r="J1047" t="str">
            <v>Santa Barbara</v>
          </cell>
          <cell r="K1047" t="str">
            <v>Municipality</v>
          </cell>
          <cell r="M1047" t="str">
            <v>2nd</v>
          </cell>
          <cell r="T1047" t="str">
            <v>No</v>
          </cell>
        </row>
        <row r="1048">
          <cell r="B1048" t="str">
            <v>Iloilo</v>
          </cell>
          <cell r="J1048" t="str">
            <v>Sara</v>
          </cell>
          <cell r="K1048" t="str">
            <v>Municipality</v>
          </cell>
          <cell r="M1048" t="str">
            <v>2nd</v>
          </cell>
          <cell r="T1048" t="str">
            <v>No</v>
          </cell>
        </row>
        <row r="1049">
          <cell r="B1049" t="str">
            <v>Iloilo</v>
          </cell>
          <cell r="J1049" t="str">
            <v>Tigbauan</v>
          </cell>
          <cell r="K1049" t="str">
            <v>Municipality</v>
          </cell>
          <cell r="M1049" t="str">
            <v>2nd</v>
          </cell>
          <cell r="T1049" t="str">
            <v>No</v>
          </cell>
        </row>
        <row r="1050">
          <cell r="B1050" t="str">
            <v>Iloilo</v>
          </cell>
          <cell r="J1050" t="str">
            <v>Tubungan</v>
          </cell>
          <cell r="K1050" t="str">
            <v>Municipality</v>
          </cell>
          <cell r="M1050" t="str">
            <v>4th</v>
          </cell>
          <cell r="T1050" t="str">
            <v>No</v>
          </cell>
        </row>
        <row r="1051">
          <cell r="B1051" t="str">
            <v>Iloilo</v>
          </cell>
          <cell r="J1051" t="str">
            <v>Zarraga</v>
          </cell>
          <cell r="K1051" t="str">
            <v>Municipality</v>
          </cell>
          <cell r="M1051" t="str">
            <v>4th</v>
          </cell>
          <cell r="T1051" t="str">
            <v>No</v>
          </cell>
        </row>
        <row r="1052">
          <cell r="B1052" t="str">
            <v>Bohol</v>
          </cell>
          <cell r="J1052" t="str">
            <v>Alburquerque</v>
          </cell>
          <cell r="K1052" t="str">
            <v>Municipality</v>
          </cell>
          <cell r="M1052" t="str">
            <v>5th</v>
          </cell>
          <cell r="T1052" t="str">
            <v>Yes</v>
          </cell>
        </row>
        <row r="1053">
          <cell r="B1053" t="str">
            <v>Bohol</v>
          </cell>
          <cell r="J1053" t="str">
            <v>Alicia</v>
          </cell>
          <cell r="K1053" t="str">
            <v>Municipality</v>
          </cell>
          <cell r="M1053" t="str">
            <v>4th</v>
          </cell>
          <cell r="T1053" t="str">
            <v>Yes</v>
          </cell>
        </row>
        <row r="1054">
          <cell r="B1054" t="str">
            <v>Bohol</v>
          </cell>
          <cell r="J1054" t="str">
            <v>Anda</v>
          </cell>
          <cell r="K1054" t="str">
            <v>Municipality</v>
          </cell>
          <cell r="M1054" t="str">
            <v>5th</v>
          </cell>
          <cell r="T1054" t="str">
            <v>Yes</v>
          </cell>
        </row>
        <row r="1055">
          <cell r="B1055" t="str">
            <v>Bohol</v>
          </cell>
          <cell r="J1055" t="str">
            <v>Antequera</v>
          </cell>
          <cell r="K1055" t="str">
            <v>Municipality</v>
          </cell>
          <cell r="M1055" t="str">
            <v>4th</v>
          </cell>
          <cell r="T1055" t="str">
            <v>Yes</v>
          </cell>
        </row>
        <row r="1056">
          <cell r="B1056" t="str">
            <v>Bohol</v>
          </cell>
          <cell r="J1056" t="str">
            <v>Baclayon</v>
          </cell>
          <cell r="K1056" t="str">
            <v>Municipality</v>
          </cell>
          <cell r="M1056" t="str">
            <v>4th</v>
          </cell>
          <cell r="T1056" t="str">
            <v>Yes</v>
          </cell>
        </row>
        <row r="1057">
          <cell r="B1057" t="str">
            <v>Bohol</v>
          </cell>
          <cell r="J1057" t="str">
            <v>Balilihan</v>
          </cell>
          <cell r="K1057" t="str">
            <v>Municipality</v>
          </cell>
          <cell r="M1057" t="str">
            <v>4th</v>
          </cell>
          <cell r="T1057" t="str">
            <v>Yes</v>
          </cell>
        </row>
        <row r="1058">
          <cell r="B1058" t="str">
            <v>Bohol</v>
          </cell>
          <cell r="J1058" t="str">
            <v>Batuan</v>
          </cell>
          <cell r="K1058" t="str">
            <v>Municipality</v>
          </cell>
          <cell r="M1058" t="str">
            <v>5th</v>
          </cell>
          <cell r="T1058" t="str">
            <v>Yes</v>
          </cell>
        </row>
        <row r="1059">
          <cell r="B1059" t="str">
            <v>Bohol</v>
          </cell>
          <cell r="J1059" t="str">
            <v>Bien Unido</v>
          </cell>
          <cell r="K1059" t="str">
            <v>Municipality</v>
          </cell>
          <cell r="M1059" t="str">
            <v>4th</v>
          </cell>
          <cell r="T1059" t="str">
            <v>Yes</v>
          </cell>
        </row>
        <row r="1060">
          <cell r="B1060" t="str">
            <v>Bohol</v>
          </cell>
          <cell r="J1060" t="str">
            <v>Bilar</v>
          </cell>
          <cell r="K1060" t="str">
            <v>Municipality</v>
          </cell>
          <cell r="M1060" t="str">
            <v>4th</v>
          </cell>
          <cell r="T1060" t="str">
            <v>Yes</v>
          </cell>
        </row>
        <row r="1061">
          <cell r="B1061" t="str">
            <v>Bohol</v>
          </cell>
          <cell r="J1061" t="str">
            <v>Buenavista</v>
          </cell>
          <cell r="K1061" t="str">
            <v>Municipality</v>
          </cell>
          <cell r="M1061" t="str">
            <v>4th</v>
          </cell>
          <cell r="T1061" t="str">
            <v>Yes</v>
          </cell>
        </row>
        <row r="1062">
          <cell r="B1062" t="str">
            <v>Bohol</v>
          </cell>
          <cell r="J1062" t="str">
            <v>Calape</v>
          </cell>
          <cell r="K1062" t="str">
            <v>Municipality</v>
          </cell>
          <cell r="M1062" t="str">
            <v>3rd</v>
          </cell>
          <cell r="T1062" t="str">
            <v>Yes</v>
          </cell>
        </row>
        <row r="1063">
          <cell r="B1063" t="str">
            <v>Bohol</v>
          </cell>
          <cell r="J1063" t="str">
            <v>Candijay</v>
          </cell>
          <cell r="K1063" t="str">
            <v>Municipality</v>
          </cell>
          <cell r="M1063" t="str">
            <v>4th</v>
          </cell>
          <cell r="T1063" t="str">
            <v>Yes</v>
          </cell>
        </row>
        <row r="1064">
          <cell r="B1064" t="str">
            <v>Bohol</v>
          </cell>
          <cell r="J1064" t="str">
            <v>Carmen</v>
          </cell>
          <cell r="K1064" t="str">
            <v>Municipality</v>
          </cell>
          <cell r="M1064" t="str">
            <v>2nd</v>
          </cell>
          <cell r="T1064" t="str">
            <v>Yes</v>
          </cell>
        </row>
        <row r="1065">
          <cell r="B1065" t="str">
            <v>Bohol</v>
          </cell>
          <cell r="J1065" t="str">
            <v>Catigbian</v>
          </cell>
          <cell r="K1065" t="str">
            <v>Municipality</v>
          </cell>
          <cell r="M1065" t="str">
            <v>4th</v>
          </cell>
          <cell r="T1065" t="str">
            <v>Yes</v>
          </cell>
        </row>
        <row r="1066">
          <cell r="B1066" t="str">
            <v>Bohol</v>
          </cell>
          <cell r="J1066" t="str">
            <v>Clarin</v>
          </cell>
          <cell r="K1066" t="str">
            <v>Municipality</v>
          </cell>
          <cell r="M1066" t="str">
            <v>5th</v>
          </cell>
          <cell r="T1066" t="str">
            <v>Yes</v>
          </cell>
        </row>
        <row r="1067">
          <cell r="B1067" t="str">
            <v>Bohol</v>
          </cell>
          <cell r="J1067" t="str">
            <v>Corella</v>
          </cell>
          <cell r="K1067" t="str">
            <v>Municipality</v>
          </cell>
          <cell r="M1067" t="str">
            <v>5th</v>
          </cell>
          <cell r="T1067" t="str">
            <v>Yes</v>
          </cell>
        </row>
        <row r="1068">
          <cell r="B1068" t="str">
            <v>Bohol</v>
          </cell>
          <cell r="J1068" t="str">
            <v>Cortes</v>
          </cell>
          <cell r="K1068" t="str">
            <v>Municipality</v>
          </cell>
          <cell r="M1068" t="str">
            <v>5th</v>
          </cell>
          <cell r="T1068" t="str">
            <v>Yes</v>
          </cell>
        </row>
        <row r="1069">
          <cell r="B1069" t="str">
            <v>Bohol</v>
          </cell>
          <cell r="J1069" t="str">
            <v>Dagohoy</v>
          </cell>
          <cell r="K1069" t="str">
            <v>Municipality</v>
          </cell>
          <cell r="M1069" t="str">
            <v>5th</v>
          </cell>
          <cell r="T1069" t="str">
            <v>Yes</v>
          </cell>
        </row>
        <row r="1070">
          <cell r="B1070" t="str">
            <v>Bohol</v>
          </cell>
          <cell r="J1070" t="str">
            <v>Danao</v>
          </cell>
          <cell r="K1070" t="str">
            <v>Municipality</v>
          </cell>
          <cell r="M1070" t="str">
            <v>4th</v>
          </cell>
          <cell r="T1070" t="str">
            <v>Yes</v>
          </cell>
        </row>
        <row r="1071">
          <cell r="B1071" t="str">
            <v>Bohol</v>
          </cell>
          <cell r="J1071" t="str">
            <v>Dauis</v>
          </cell>
          <cell r="K1071" t="str">
            <v>Municipality</v>
          </cell>
          <cell r="M1071" t="str">
            <v>4th</v>
          </cell>
          <cell r="T1071" t="str">
            <v>Yes</v>
          </cell>
        </row>
        <row r="1072">
          <cell r="B1072" t="str">
            <v>Bohol</v>
          </cell>
          <cell r="J1072" t="str">
            <v>Dimiao</v>
          </cell>
          <cell r="K1072" t="str">
            <v>Municipality</v>
          </cell>
          <cell r="M1072" t="str">
            <v>4th</v>
          </cell>
          <cell r="T1072" t="str">
            <v>Yes</v>
          </cell>
        </row>
        <row r="1073">
          <cell r="B1073" t="str">
            <v>Bohol</v>
          </cell>
          <cell r="J1073" t="str">
            <v>Duero</v>
          </cell>
          <cell r="K1073" t="str">
            <v>Municipality</v>
          </cell>
          <cell r="M1073" t="str">
            <v>4th</v>
          </cell>
          <cell r="T1073" t="str">
            <v>Yes</v>
          </cell>
        </row>
        <row r="1074">
          <cell r="B1074" t="str">
            <v>Bohol</v>
          </cell>
          <cell r="J1074" t="str">
            <v>Garcia Hernandez</v>
          </cell>
          <cell r="K1074" t="str">
            <v>Municipality</v>
          </cell>
          <cell r="M1074" t="str">
            <v>4th</v>
          </cell>
          <cell r="T1074" t="str">
            <v>Yes</v>
          </cell>
        </row>
        <row r="1075">
          <cell r="B1075" t="str">
            <v>Bohol</v>
          </cell>
          <cell r="J1075" t="str">
            <v>Getafe</v>
          </cell>
          <cell r="K1075" t="str">
            <v>Municipality</v>
          </cell>
          <cell r="M1075" t="str">
            <v>3rd</v>
          </cell>
          <cell r="T1075" t="str">
            <v>Yes</v>
          </cell>
        </row>
        <row r="1076">
          <cell r="B1076" t="str">
            <v>Bohol</v>
          </cell>
          <cell r="J1076" t="str">
            <v>Guindulman</v>
          </cell>
          <cell r="K1076" t="str">
            <v>Municipality</v>
          </cell>
          <cell r="M1076" t="str">
            <v>4th</v>
          </cell>
          <cell r="T1076" t="str">
            <v>Yes</v>
          </cell>
        </row>
        <row r="1077">
          <cell r="B1077" t="str">
            <v>Bohol</v>
          </cell>
          <cell r="J1077" t="str">
            <v>Inabanga</v>
          </cell>
          <cell r="K1077" t="str">
            <v>Municipality</v>
          </cell>
          <cell r="M1077" t="str">
            <v>3rd</v>
          </cell>
          <cell r="T1077" t="str">
            <v>Yes</v>
          </cell>
        </row>
        <row r="1078">
          <cell r="B1078" t="str">
            <v>Bohol</v>
          </cell>
          <cell r="J1078" t="str">
            <v>Jagna</v>
          </cell>
          <cell r="K1078" t="str">
            <v>Municipality</v>
          </cell>
          <cell r="M1078" t="str">
            <v>3rd</v>
          </cell>
          <cell r="T1078" t="str">
            <v>Yes</v>
          </cell>
        </row>
        <row r="1079">
          <cell r="B1079" t="str">
            <v>Bohol</v>
          </cell>
          <cell r="J1079" t="str">
            <v>Lila</v>
          </cell>
          <cell r="K1079" t="str">
            <v>Municipality</v>
          </cell>
          <cell r="M1079" t="str">
            <v>5th</v>
          </cell>
          <cell r="T1079" t="str">
            <v>Yes</v>
          </cell>
        </row>
        <row r="1080">
          <cell r="B1080" t="str">
            <v>Bohol</v>
          </cell>
          <cell r="J1080" t="str">
            <v>Loay</v>
          </cell>
          <cell r="K1080" t="str">
            <v>Municipality</v>
          </cell>
          <cell r="M1080" t="str">
            <v>5th</v>
          </cell>
          <cell r="T1080" t="str">
            <v>Yes</v>
          </cell>
        </row>
        <row r="1081">
          <cell r="B1081" t="str">
            <v>Bohol</v>
          </cell>
          <cell r="J1081" t="str">
            <v>Loboc</v>
          </cell>
          <cell r="K1081" t="str">
            <v>Municipality</v>
          </cell>
          <cell r="M1081" t="str">
            <v>4th</v>
          </cell>
          <cell r="T1081" t="str">
            <v>Yes</v>
          </cell>
        </row>
        <row r="1082">
          <cell r="B1082" t="str">
            <v>Bohol</v>
          </cell>
          <cell r="J1082" t="str">
            <v>Loon</v>
          </cell>
          <cell r="K1082" t="str">
            <v>Municipality</v>
          </cell>
          <cell r="M1082" t="str">
            <v>2nd</v>
          </cell>
          <cell r="T1082" t="str">
            <v>Yes</v>
          </cell>
        </row>
        <row r="1083">
          <cell r="B1083" t="str">
            <v>Bohol</v>
          </cell>
          <cell r="J1083" t="str">
            <v>Mabini</v>
          </cell>
          <cell r="K1083" t="str">
            <v>Municipality</v>
          </cell>
          <cell r="M1083" t="str">
            <v>4th</v>
          </cell>
          <cell r="T1083" t="str">
            <v>Yes</v>
          </cell>
        </row>
        <row r="1084">
          <cell r="B1084" t="str">
            <v>Bohol</v>
          </cell>
          <cell r="J1084" t="str">
            <v>Maribojoc</v>
          </cell>
          <cell r="K1084" t="str">
            <v>Municipality</v>
          </cell>
          <cell r="M1084" t="str">
            <v>4th</v>
          </cell>
          <cell r="T1084" t="str">
            <v>Yes</v>
          </cell>
        </row>
        <row r="1085">
          <cell r="B1085" t="str">
            <v>Bohol</v>
          </cell>
          <cell r="J1085" t="str">
            <v>Panglao</v>
          </cell>
          <cell r="K1085" t="str">
            <v>Municipality</v>
          </cell>
          <cell r="M1085" t="str">
            <v>4th</v>
          </cell>
          <cell r="T1085" t="str">
            <v>Yes</v>
          </cell>
        </row>
        <row r="1086">
          <cell r="B1086" t="str">
            <v>Bohol</v>
          </cell>
          <cell r="J1086" t="str">
            <v>Pilar</v>
          </cell>
          <cell r="K1086" t="str">
            <v>Municipality</v>
          </cell>
          <cell r="M1086" t="str">
            <v>4th</v>
          </cell>
          <cell r="T1086" t="str">
            <v>Yes</v>
          </cell>
        </row>
        <row r="1087">
          <cell r="B1087" t="str">
            <v>Bohol</v>
          </cell>
          <cell r="J1087" t="str">
            <v>Pres.  Carlos P. Garcia (Pitogo)</v>
          </cell>
          <cell r="K1087" t="str">
            <v>Municipality</v>
          </cell>
          <cell r="M1087" t="str">
            <v>4th</v>
          </cell>
          <cell r="T1087" t="str">
            <v>Yes</v>
          </cell>
        </row>
        <row r="1088">
          <cell r="B1088" t="str">
            <v>Bohol</v>
          </cell>
          <cell r="J1088" t="str">
            <v>Sagbayan (Borja)</v>
          </cell>
          <cell r="K1088" t="str">
            <v>Municipality</v>
          </cell>
          <cell r="M1088" t="str">
            <v>4th</v>
          </cell>
          <cell r="T1088" t="str">
            <v>Yes</v>
          </cell>
        </row>
        <row r="1089">
          <cell r="B1089" t="str">
            <v>Bohol</v>
          </cell>
          <cell r="J1089" t="str">
            <v>San Isidro</v>
          </cell>
          <cell r="K1089" t="str">
            <v>Municipality</v>
          </cell>
          <cell r="M1089" t="str">
            <v>5th</v>
          </cell>
          <cell r="T1089" t="str">
            <v>Yes</v>
          </cell>
        </row>
        <row r="1090">
          <cell r="B1090" t="str">
            <v>Bohol</v>
          </cell>
          <cell r="J1090" t="str">
            <v>San Miguel</v>
          </cell>
          <cell r="K1090" t="str">
            <v>Municipality</v>
          </cell>
          <cell r="M1090" t="str">
            <v>4th</v>
          </cell>
          <cell r="T1090" t="str">
            <v>Yes</v>
          </cell>
        </row>
        <row r="1091">
          <cell r="B1091" t="str">
            <v>Bohol</v>
          </cell>
          <cell r="J1091" t="str">
            <v>Sevilla</v>
          </cell>
          <cell r="K1091" t="str">
            <v>Municipality</v>
          </cell>
          <cell r="M1091" t="str">
            <v>5th</v>
          </cell>
          <cell r="T1091" t="str">
            <v>Yes</v>
          </cell>
        </row>
        <row r="1092">
          <cell r="B1092" t="str">
            <v>Bohol</v>
          </cell>
          <cell r="J1092" t="str">
            <v>Sierra Bullones</v>
          </cell>
          <cell r="K1092" t="str">
            <v>Municipality</v>
          </cell>
          <cell r="M1092" t="str">
            <v>3rd</v>
          </cell>
          <cell r="T1092" t="str">
            <v>Yes</v>
          </cell>
        </row>
        <row r="1093">
          <cell r="B1093" t="str">
            <v>Bohol</v>
          </cell>
          <cell r="J1093" t="str">
            <v>Sikatuna</v>
          </cell>
          <cell r="K1093" t="str">
            <v>Municipality</v>
          </cell>
          <cell r="M1093" t="str">
            <v>5th</v>
          </cell>
          <cell r="T1093" t="str">
            <v>Yes</v>
          </cell>
        </row>
        <row r="1094">
          <cell r="B1094" t="str">
            <v>Bohol</v>
          </cell>
          <cell r="J1094" t="str">
            <v>Tagbilaran City (Capital)</v>
          </cell>
          <cell r="K1094" t="str">
            <v>City</v>
          </cell>
          <cell r="M1094" t="str">
            <v>3rd</v>
          </cell>
          <cell r="T1094" t="str">
            <v>Yes</v>
          </cell>
        </row>
        <row r="1095">
          <cell r="B1095" t="str">
            <v>Bohol</v>
          </cell>
          <cell r="J1095" t="str">
            <v>Talibon</v>
          </cell>
          <cell r="K1095" t="str">
            <v>Municipality</v>
          </cell>
          <cell r="M1095" t="str">
            <v>1st</v>
          </cell>
          <cell r="T1095" t="str">
            <v>Yes</v>
          </cell>
        </row>
        <row r="1096">
          <cell r="B1096" t="str">
            <v>Bohol</v>
          </cell>
          <cell r="J1096" t="str">
            <v>Trinidad</v>
          </cell>
          <cell r="K1096" t="str">
            <v>Municipality</v>
          </cell>
          <cell r="M1096" t="str">
            <v>3rd</v>
          </cell>
          <cell r="T1096" t="str">
            <v>Yes</v>
          </cell>
        </row>
        <row r="1097">
          <cell r="B1097" t="str">
            <v>Bohol</v>
          </cell>
          <cell r="J1097" t="str">
            <v>Tubigon</v>
          </cell>
          <cell r="K1097" t="str">
            <v>Municipality</v>
          </cell>
          <cell r="M1097" t="str">
            <v>1st</v>
          </cell>
          <cell r="T1097" t="str">
            <v>Yes</v>
          </cell>
        </row>
        <row r="1098">
          <cell r="B1098" t="str">
            <v>Bohol</v>
          </cell>
          <cell r="J1098" t="str">
            <v>Ubay</v>
          </cell>
          <cell r="K1098" t="str">
            <v>Municipality</v>
          </cell>
          <cell r="M1098" t="str">
            <v>1st</v>
          </cell>
          <cell r="T1098" t="str">
            <v>Yes</v>
          </cell>
        </row>
        <row r="1099">
          <cell r="B1099" t="str">
            <v>Bohol</v>
          </cell>
          <cell r="J1099" t="str">
            <v>Valencia</v>
          </cell>
          <cell r="K1099" t="str">
            <v>Municipality</v>
          </cell>
          <cell r="M1099" t="str">
            <v>4th</v>
          </cell>
          <cell r="T1099" t="str">
            <v>Yes</v>
          </cell>
        </row>
        <row r="1100">
          <cell r="B1100" t="str">
            <v>Cebu</v>
          </cell>
          <cell r="J1100" t="str">
            <v>Alcantara</v>
          </cell>
          <cell r="K1100" t="str">
            <v>Municipality</v>
          </cell>
          <cell r="M1100" t="str">
            <v>5th</v>
          </cell>
          <cell r="T1100" t="str">
            <v>No</v>
          </cell>
        </row>
        <row r="1101">
          <cell r="B1101" t="str">
            <v>Cebu</v>
          </cell>
          <cell r="J1101" t="str">
            <v>Alcoy</v>
          </cell>
          <cell r="K1101" t="str">
            <v>Municipality</v>
          </cell>
          <cell r="M1101" t="str">
            <v>5th</v>
          </cell>
          <cell r="T1101" t="str">
            <v>No</v>
          </cell>
        </row>
        <row r="1102">
          <cell r="B1102" t="str">
            <v>Cebu</v>
          </cell>
          <cell r="J1102" t="str">
            <v>Alegria</v>
          </cell>
          <cell r="K1102" t="str">
            <v>Municipality</v>
          </cell>
          <cell r="M1102" t="str">
            <v>4th</v>
          </cell>
          <cell r="T1102" t="str">
            <v>No</v>
          </cell>
        </row>
        <row r="1103">
          <cell r="B1103" t="str">
            <v>Cebu</v>
          </cell>
          <cell r="J1103" t="str">
            <v>Aloguinsan</v>
          </cell>
          <cell r="K1103" t="str">
            <v>Municipality</v>
          </cell>
          <cell r="M1103" t="str">
            <v>4th</v>
          </cell>
          <cell r="T1103" t="str">
            <v>No</v>
          </cell>
        </row>
        <row r="1104">
          <cell r="B1104" t="str">
            <v>Cebu</v>
          </cell>
          <cell r="J1104" t="str">
            <v>Argao</v>
          </cell>
          <cell r="K1104" t="str">
            <v>Municipality</v>
          </cell>
          <cell r="M1104" t="str">
            <v>1st</v>
          </cell>
          <cell r="T1104" t="str">
            <v>No</v>
          </cell>
        </row>
        <row r="1105">
          <cell r="B1105" t="str">
            <v>Cebu</v>
          </cell>
          <cell r="J1105" t="str">
            <v>Asturias</v>
          </cell>
          <cell r="K1105" t="str">
            <v>Municipality</v>
          </cell>
          <cell r="M1105" t="str">
            <v>3rd</v>
          </cell>
          <cell r="T1105" t="str">
            <v>No</v>
          </cell>
        </row>
        <row r="1106">
          <cell r="B1106" t="str">
            <v>Cebu</v>
          </cell>
          <cell r="J1106" t="str">
            <v>Badian</v>
          </cell>
          <cell r="K1106" t="str">
            <v>Municipality</v>
          </cell>
          <cell r="M1106" t="str">
            <v>3rd</v>
          </cell>
          <cell r="T1106" t="str">
            <v>No</v>
          </cell>
        </row>
        <row r="1107">
          <cell r="B1107" t="str">
            <v>Cebu</v>
          </cell>
          <cell r="J1107" t="str">
            <v>Balamban</v>
          </cell>
          <cell r="K1107" t="str">
            <v>Municipality</v>
          </cell>
          <cell r="M1107" t="str">
            <v>1st</v>
          </cell>
          <cell r="T1107" t="str">
            <v>No</v>
          </cell>
        </row>
        <row r="1108">
          <cell r="B1108" t="str">
            <v>Cebu</v>
          </cell>
          <cell r="J1108" t="str">
            <v>Bantayan</v>
          </cell>
          <cell r="K1108" t="str">
            <v>Municipality</v>
          </cell>
          <cell r="M1108" t="str">
            <v>1st</v>
          </cell>
          <cell r="T1108" t="str">
            <v>No</v>
          </cell>
        </row>
        <row r="1109">
          <cell r="B1109" t="str">
            <v>Cebu</v>
          </cell>
          <cell r="J1109" t="str">
            <v>Barili</v>
          </cell>
          <cell r="K1109" t="str">
            <v>Municipality</v>
          </cell>
          <cell r="M1109" t="str">
            <v>2nd</v>
          </cell>
          <cell r="T1109" t="str">
            <v>No</v>
          </cell>
        </row>
        <row r="1110">
          <cell r="B1110" t="str">
            <v>Cebu</v>
          </cell>
          <cell r="J1110" t="str">
            <v>Boljoon</v>
          </cell>
          <cell r="K1110" t="str">
            <v>Municipality</v>
          </cell>
          <cell r="M1110" t="str">
            <v>5th</v>
          </cell>
          <cell r="T1110" t="str">
            <v>No</v>
          </cell>
        </row>
        <row r="1111">
          <cell r="B1111" t="str">
            <v>Cebu</v>
          </cell>
          <cell r="J1111" t="str">
            <v>Borbon</v>
          </cell>
          <cell r="K1111" t="str">
            <v>Municipality</v>
          </cell>
          <cell r="M1111" t="str">
            <v>4th</v>
          </cell>
          <cell r="T1111" t="str">
            <v>No</v>
          </cell>
        </row>
        <row r="1112">
          <cell r="B1112" t="str">
            <v>Cebu</v>
          </cell>
          <cell r="J1112" t="str">
            <v>Carmen</v>
          </cell>
          <cell r="K1112" t="str">
            <v>Municipality</v>
          </cell>
          <cell r="M1112" t="str">
            <v>3rd</v>
          </cell>
          <cell r="T1112" t="str">
            <v>No</v>
          </cell>
        </row>
        <row r="1113">
          <cell r="B1113" t="str">
            <v>Cebu</v>
          </cell>
          <cell r="J1113" t="str">
            <v>Catmon</v>
          </cell>
          <cell r="K1113" t="str">
            <v>Municipality</v>
          </cell>
          <cell r="M1113" t="str">
            <v>4th</v>
          </cell>
          <cell r="T1113" t="str">
            <v>No</v>
          </cell>
        </row>
        <row r="1114">
          <cell r="B1114" t="str">
            <v>Cebu</v>
          </cell>
          <cell r="J1114" t="str">
            <v>Cebu City (Capital)</v>
          </cell>
          <cell r="K1114" t="str">
            <v>City</v>
          </cell>
          <cell r="M1114" t="str">
            <v>1st</v>
          </cell>
          <cell r="T1114" t="str">
            <v>No</v>
          </cell>
        </row>
        <row r="1115">
          <cell r="B1115" t="str">
            <v>Cebu</v>
          </cell>
          <cell r="J1115" t="str">
            <v>City Of Bogo</v>
          </cell>
          <cell r="K1115" t="str">
            <v>City</v>
          </cell>
          <cell r="M1115" t="str">
            <v>6th</v>
          </cell>
          <cell r="T1115" t="str">
            <v>No</v>
          </cell>
        </row>
        <row r="1116">
          <cell r="B1116" t="str">
            <v>Cebu</v>
          </cell>
          <cell r="J1116" t="str">
            <v>City Of Carcar</v>
          </cell>
          <cell r="K1116" t="str">
            <v>City</v>
          </cell>
          <cell r="M1116" t="str">
            <v>5th</v>
          </cell>
          <cell r="T1116" t="str">
            <v>No</v>
          </cell>
        </row>
        <row r="1117">
          <cell r="B1117" t="str">
            <v>Cebu</v>
          </cell>
          <cell r="J1117" t="str">
            <v>City Of Naga</v>
          </cell>
          <cell r="K1117" t="str">
            <v>City</v>
          </cell>
          <cell r="M1117" t="str">
            <v>-</v>
          </cell>
          <cell r="T1117" t="str">
            <v>No</v>
          </cell>
        </row>
        <row r="1118">
          <cell r="B1118" t="str">
            <v>Cebu</v>
          </cell>
          <cell r="J1118" t="str">
            <v>City Of Talisay</v>
          </cell>
          <cell r="K1118" t="str">
            <v>City</v>
          </cell>
          <cell r="M1118" t="str">
            <v>3rd</v>
          </cell>
          <cell r="T1118" t="str">
            <v>No</v>
          </cell>
        </row>
        <row r="1119">
          <cell r="B1119" t="str">
            <v>Cebu</v>
          </cell>
          <cell r="J1119" t="str">
            <v>Compostela</v>
          </cell>
          <cell r="K1119" t="str">
            <v>Municipality</v>
          </cell>
          <cell r="M1119" t="str">
            <v>3rd</v>
          </cell>
          <cell r="T1119" t="str">
            <v>No</v>
          </cell>
        </row>
        <row r="1120">
          <cell r="B1120" t="str">
            <v>Cebu</v>
          </cell>
          <cell r="J1120" t="str">
            <v>Consolacion</v>
          </cell>
          <cell r="K1120" t="str">
            <v>Municipality</v>
          </cell>
          <cell r="M1120" t="str">
            <v>1st</v>
          </cell>
          <cell r="T1120" t="str">
            <v>No</v>
          </cell>
        </row>
        <row r="1121">
          <cell r="B1121" t="str">
            <v>Cebu</v>
          </cell>
          <cell r="J1121" t="str">
            <v>Cordova</v>
          </cell>
          <cell r="K1121" t="str">
            <v>Municipality</v>
          </cell>
          <cell r="M1121" t="str">
            <v>3rd</v>
          </cell>
          <cell r="T1121" t="str">
            <v>No</v>
          </cell>
        </row>
        <row r="1122">
          <cell r="B1122" t="str">
            <v>Cebu</v>
          </cell>
          <cell r="J1122" t="str">
            <v>Daanbantayan</v>
          </cell>
          <cell r="K1122" t="str">
            <v>Municipality</v>
          </cell>
          <cell r="M1122" t="str">
            <v>1st</v>
          </cell>
          <cell r="T1122" t="str">
            <v>No</v>
          </cell>
        </row>
        <row r="1123">
          <cell r="B1123" t="str">
            <v>Cebu</v>
          </cell>
          <cell r="J1123" t="str">
            <v>Dalaguete</v>
          </cell>
          <cell r="K1123" t="str">
            <v>Municipality</v>
          </cell>
          <cell r="M1123" t="str">
            <v>1st</v>
          </cell>
          <cell r="T1123" t="str">
            <v>No</v>
          </cell>
        </row>
        <row r="1124">
          <cell r="B1124" t="str">
            <v>Cebu</v>
          </cell>
          <cell r="J1124" t="str">
            <v>Danao City</v>
          </cell>
          <cell r="K1124" t="str">
            <v>City</v>
          </cell>
          <cell r="M1124" t="str">
            <v>3rd</v>
          </cell>
          <cell r="T1124" t="str">
            <v>No</v>
          </cell>
        </row>
        <row r="1125">
          <cell r="B1125" t="str">
            <v>Cebu</v>
          </cell>
          <cell r="J1125" t="str">
            <v>Dumanjug</v>
          </cell>
          <cell r="K1125" t="str">
            <v>Municipality</v>
          </cell>
          <cell r="M1125" t="str">
            <v>3rd</v>
          </cell>
          <cell r="T1125" t="str">
            <v>No</v>
          </cell>
        </row>
        <row r="1126">
          <cell r="B1126" t="str">
            <v>Cebu</v>
          </cell>
          <cell r="J1126" t="str">
            <v>Ginatilan</v>
          </cell>
          <cell r="K1126" t="str">
            <v>Municipality</v>
          </cell>
          <cell r="M1126" t="str">
            <v>5th</v>
          </cell>
          <cell r="T1126" t="str">
            <v>No</v>
          </cell>
        </row>
        <row r="1127">
          <cell r="B1127" t="str">
            <v>Cebu</v>
          </cell>
          <cell r="J1127" t="str">
            <v>Lapu-Lapu City (Opon)</v>
          </cell>
          <cell r="K1127" t="str">
            <v>City</v>
          </cell>
          <cell r="M1127" t="str">
            <v>1st</v>
          </cell>
          <cell r="T1127" t="str">
            <v>No</v>
          </cell>
        </row>
        <row r="1128">
          <cell r="B1128" t="str">
            <v>Cebu</v>
          </cell>
          <cell r="J1128" t="str">
            <v>Liloan</v>
          </cell>
          <cell r="K1128" t="str">
            <v>Municipality</v>
          </cell>
          <cell r="M1128" t="str">
            <v>1st</v>
          </cell>
          <cell r="T1128" t="str">
            <v>No</v>
          </cell>
        </row>
        <row r="1129">
          <cell r="B1129" t="str">
            <v>Cebu</v>
          </cell>
          <cell r="J1129" t="str">
            <v>Madridejos</v>
          </cell>
          <cell r="K1129" t="str">
            <v>Municipality</v>
          </cell>
          <cell r="M1129" t="str">
            <v>4th</v>
          </cell>
          <cell r="T1129" t="str">
            <v>No</v>
          </cell>
        </row>
        <row r="1130">
          <cell r="B1130" t="str">
            <v>Cebu</v>
          </cell>
          <cell r="J1130" t="str">
            <v>Malabuyoc</v>
          </cell>
          <cell r="K1130" t="str">
            <v>Municipality</v>
          </cell>
          <cell r="M1130" t="str">
            <v>5th</v>
          </cell>
          <cell r="T1130" t="str">
            <v>No</v>
          </cell>
        </row>
        <row r="1131">
          <cell r="B1131" t="str">
            <v>Cebu</v>
          </cell>
          <cell r="J1131" t="str">
            <v>Mandaue City</v>
          </cell>
          <cell r="K1131" t="str">
            <v>City</v>
          </cell>
          <cell r="M1131" t="str">
            <v>1st</v>
          </cell>
          <cell r="T1131" t="str">
            <v>No</v>
          </cell>
        </row>
        <row r="1132">
          <cell r="B1132" t="str">
            <v>Cebu</v>
          </cell>
          <cell r="J1132" t="str">
            <v>Medellin</v>
          </cell>
          <cell r="K1132" t="str">
            <v>Municipality</v>
          </cell>
          <cell r="M1132" t="str">
            <v>2nd</v>
          </cell>
          <cell r="T1132" t="str">
            <v>No</v>
          </cell>
        </row>
        <row r="1133">
          <cell r="B1133" t="str">
            <v>Cebu</v>
          </cell>
          <cell r="J1133" t="str">
            <v>Minglanilla</v>
          </cell>
          <cell r="K1133" t="str">
            <v>Municipality</v>
          </cell>
          <cell r="M1133" t="str">
            <v>1st</v>
          </cell>
          <cell r="T1133" t="str">
            <v>No</v>
          </cell>
        </row>
        <row r="1134">
          <cell r="B1134" t="str">
            <v>Cebu</v>
          </cell>
          <cell r="J1134" t="str">
            <v>Moalboal</v>
          </cell>
          <cell r="K1134" t="str">
            <v>Municipality</v>
          </cell>
          <cell r="M1134" t="str">
            <v>4th</v>
          </cell>
          <cell r="T1134" t="str">
            <v>No</v>
          </cell>
        </row>
        <row r="1135">
          <cell r="B1135" t="str">
            <v>Cebu</v>
          </cell>
          <cell r="J1135" t="str">
            <v>Oslob</v>
          </cell>
          <cell r="K1135" t="str">
            <v>Municipality</v>
          </cell>
          <cell r="M1135" t="str">
            <v>4th</v>
          </cell>
          <cell r="T1135" t="str">
            <v>No</v>
          </cell>
        </row>
        <row r="1136">
          <cell r="B1136" t="str">
            <v>Cebu</v>
          </cell>
          <cell r="J1136" t="str">
            <v>Pilar</v>
          </cell>
          <cell r="K1136" t="str">
            <v>Municipality</v>
          </cell>
          <cell r="M1136" t="str">
            <v>5th</v>
          </cell>
          <cell r="T1136" t="str">
            <v>No</v>
          </cell>
        </row>
        <row r="1137">
          <cell r="B1137" t="str">
            <v>Cebu</v>
          </cell>
          <cell r="J1137" t="str">
            <v>Pinamungahan</v>
          </cell>
          <cell r="K1137" t="str">
            <v>Municipality</v>
          </cell>
          <cell r="M1137" t="str">
            <v>2nd</v>
          </cell>
          <cell r="T1137" t="str">
            <v>No</v>
          </cell>
        </row>
        <row r="1138">
          <cell r="B1138" t="str">
            <v>Cebu</v>
          </cell>
          <cell r="J1138" t="str">
            <v>Poro</v>
          </cell>
          <cell r="K1138" t="str">
            <v>Municipality</v>
          </cell>
          <cell r="M1138" t="str">
            <v>4th</v>
          </cell>
          <cell r="T1138" t="str">
            <v>No</v>
          </cell>
        </row>
        <row r="1139">
          <cell r="B1139" t="str">
            <v>Cebu</v>
          </cell>
          <cell r="J1139" t="str">
            <v>Ronda</v>
          </cell>
          <cell r="K1139" t="str">
            <v>Municipality</v>
          </cell>
          <cell r="M1139" t="str">
            <v>5th</v>
          </cell>
          <cell r="T1139" t="str">
            <v>No</v>
          </cell>
        </row>
        <row r="1140">
          <cell r="B1140" t="str">
            <v>Cebu</v>
          </cell>
          <cell r="J1140" t="str">
            <v>Samboan</v>
          </cell>
          <cell r="K1140" t="str">
            <v>Municipality</v>
          </cell>
          <cell r="M1140" t="str">
            <v>5th</v>
          </cell>
          <cell r="T1140" t="str">
            <v>No</v>
          </cell>
        </row>
        <row r="1141">
          <cell r="B1141" t="str">
            <v>Cebu</v>
          </cell>
          <cell r="J1141" t="str">
            <v>San Fernando</v>
          </cell>
          <cell r="K1141" t="str">
            <v>Municipality</v>
          </cell>
          <cell r="M1141" t="str">
            <v>2nd</v>
          </cell>
          <cell r="T1141" t="str">
            <v>No</v>
          </cell>
        </row>
        <row r="1142">
          <cell r="B1142" t="str">
            <v>Cebu</v>
          </cell>
          <cell r="J1142" t="str">
            <v>San Francisco</v>
          </cell>
          <cell r="K1142" t="str">
            <v>Municipality</v>
          </cell>
          <cell r="M1142" t="str">
            <v>3rd</v>
          </cell>
          <cell r="T1142" t="str">
            <v>No</v>
          </cell>
        </row>
        <row r="1143">
          <cell r="B1143" t="str">
            <v>Cebu</v>
          </cell>
          <cell r="J1143" t="str">
            <v>San Remigio</v>
          </cell>
          <cell r="K1143" t="str">
            <v>Municipality</v>
          </cell>
          <cell r="M1143" t="str">
            <v>3rd</v>
          </cell>
          <cell r="T1143" t="str">
            <v>No</v>
          </cell>
        </row>
        <row r="1144">
          <cell r="B1144" t="str">
            <v>Cebu</v>
          </cell>
          <cell r="J1144" t="str">
            <v>Santa Fe</v>
          </cell>
          <cell r="K1144" t="str">
            <v>Municipality</v>
          </cell>
          <cell r="M1144" t="str">
            <v>4th</v>
          </cell>
          <cell r="T1144" t="str">
            <v>No</v>
          </cell>
        </row>
        <row r="1145">
          <cell r="B1145" t="str">
            <v>Cebu</v>
          </cell>
          <cell r="J1145" t="str">
            <v>Santander</v>
          </cell>
          <cell r="K1145" t="str">
            <v>Municipality</v>
          </cell>
          <cell r="M1145" t="str">
            <v>4th</v>
          </cell>
          <cell r="T1145" t="str">
            <v>No</v>
          </cell>
        </row>
        <row r="1146">
          <cell r="B1146" t="str">
            <v>Cebu</v>
          </cell>
          <cell r="J1146" t="str">
            <v>Sibonga</v>
          </cell>
          <cell r="K1146" t="str">
            <v>Municipality</v>
          </cell>
          <cell r="M1146" t="str">
            <v>3rd</v>
          </cell>
          <cell r="T1146" t="str">
            <v>No</v>
          </cell>
        </row>
        <row r="1147">
          <cell r="B1147" t="str">
            <v>Cebu</v>
          </cell>
          <cell r="J1147" t="str">
            <v>Sogod</v>
          </cell>
          <cell r="K1147" t="str">
            <v>Municipality</v>
          </cell>
          <cell r="M1147" t="str">
            <v>4th</v>
          </cell>
          <cell r="T1147" t="str">
            <v>No</v>
          </cell>
        </row>
        <row r="1148">
          <cell r="B1148" t="str">
            <v>Cebu</v>
          </cell>
          <cell r="J1148" t="str">
            <v>Tabogon</v>
          </cell>
          <cell r="K1148" t="str">
            <v>Municipality</v>
          </cell>
          <cell r="M1148" t="str">
            <v>3rd</v>
          </cell>
          <cell r="T1148" t="str">
            <v>No</v>
          </cell>
        </row>
        <row r="1149">
          <cell r="B1149" t="str">
            <v>Cebu</v>
          </cell>
          <cell r="J1149" t="str">
            <v>Tabuelan</v>
          </cell>
          <cell r="K1149" t="str">
            <v>Municipality</v>
          </cell>
          <cell r="M1149" t="str">
            <v>4th</v>
          </cell>
          <cell r="T1149" t="str">
            <v>No</v>
          </cell>
        </row>
        <row r="1150">
          <cell r="B1150" t="str">
            <v>Cebu</v>
          </cell>
          <cell r="J1150" t="str">
            <v>Toledo City</v>
          </cell>
          <cell r="K1150" t="str">
            <v>City</v>
          </cell>
          <cell r="M1150" t="str">
            <v>3rd</v>
          </cell>
          <cell r="T1150" t="str">
            <v>No</v>
          </cell>
        </row>
        <row r="1151">
          <cell r="B1151" t="str">
            <v>Cebu</v>
          </cell>
          <cell r="J1151" t="str">
            <v>Tuburan</v>
          </cell>
          <cell r="K1151" t="str">
            <v>Municipality</v>
          </cell>
          <cell r="M1151" t="str">
            <v>2nd</v>
          </cell>
          <cell r="T1151" t="str">
            <v>No</v>
          </cell>
        </row>
        <row r="1152">
          <cell r="B1152" t="str">
            <v>Cebu</v>
          </cell>
          <cell r="J1152" t="str">
            <v>Tudela</v>
          </cell>
          <cell r="K1152" t="str">
            <v>Municipality</v>
          </cell>
          <cell r="M1152" t="str">
            <v>5th</v>
          </cell>
          <cell r="T1152" t="str">
            <v>No</v>
          </cell>
        </row>
        <row r="1153">
          <cell r="B1153" t="str">
            <v>Siquijor</v>
          </cell>
          <cell r="J1153" t="str">
            <v>Enrique Villanueva</v>
          </cell>
          <cell r="K1153" t="str">
            <v>Municipality</v>
          </cell>
          <cell r="M1153" t="str">
            <v>5th</v>
          </cell>
          <cell r="T1153" t="str">
            <v>No</v>
          </cell>
        </row>
        <row r="1154">
          <cell r="B1154" t="str">
            <v>Siquijor</v>
          </cell>
          <cell r="J1154" t="str">
            <v>Larena</v>
          </cell>
          <cell r="K1154" t="str">
            <v>Municipality</v>
          </cell>
          <cell r="M1154" t="str">
            <v>5th</v>
          </cell>
          <cell r="T1154" t="str">
            <v>No</v>
          </cell>
        </row>
        <row r="1155">
          <cell r="B1155" t="str">
            <v>Siquijor</v>
          </cell>
          <cell r="J1155" t="str">
            <v>Lazi</v>
          </cell>
          <cell r="K1155" t="str">
            <v>Municipality</v>
          </cell>
          <cell r="M1155" t="str">
            <v>4th</v>
          </cell>
          <cell r="T1155" t="str">
            <v>No</v>
          </cell>
        </row>
        <row r="1156">
          <cell r="B1156" t="str">
            <v>Siquijor</v>
          </cell>
          <cell r="J1156" t="str">
            <v>Maria</v>
          </cell>
          <cell r="K1156" t="str">
            <v>Municipality</v>
          </cell>
          <cell r="M1156" t="str">
            <v>5th</v>
          </cell>
          <cell r="T1156" t="str">
            <v>No</v>
          </cell>
        </row>
        <row r="1157">
          <cell r="B1157" t="str">
            <v>Siquijor</v>
          </cell>
          <cell r="J1157" t="str">
            <v>San Juan</v>
          </cell>
          <cell r="K1157" t="str">
            <v>Municipality</v>
          </cell>
          <cell r="M1157" t="str">
            <v>5th</v>
          </cell>
          <cell r="T1157" t="str">
            <v>No</v>
          </cell>
        </row>
        <row r="1158">
          <cell r="B1158" t="str">
            <v>Siquijor</v>
          </cell>
          <cell r="J1158" t="str">
            <v>Siquijor (Capital)</v>
          </cell>
          <cell r="K1158" t="str">
            <v>Municipality</v>
          </cell>
          <cell r="M1158" t="str">
            <v>4th</v>
          </cell>
          <cell r="T1158" t="str">
            <v>No</v>
          </cell>
        </row>
        <row r="1159">
          <cell r="B1159" t="str">
            <v>Biliran</v>
          </cell>
          <cell r="J1159" t="str">
            <v>Almeria</v>
          </cell>
          <cell r="K1159" t="str">
            <v>Municipality</v>
          </cell>
          <cell r="M1159" t="str">
            <v>5th</v>
          </cell>
          <cell r="T1159" t="str">
            <v>No</v>
          </cell>
        </row>
        <row r="1160">
          <cell r="B1160" t="str">
            <v>Biliran</v>
          </cell>
          <cell r="J1160" t="str">
            <v>Biliran</v>
          </cell>
          <cell r="K1160" t="str">
            <v>Municipality</v>
          </cell>
          <cell r="M1160" t="str">
            <v>5th</v>
          </cell>
          <cell r="T1160" t="str">
            <v>No</v>
          </cell>
        </row>
        <row r="1161">
          <cell r="B1161" t="str">
            <v>Biliran</v>
          </cell>
          <cell r="J1161" t="str">
            <v>Cabucgayan</v>
          </cell>
          <cell r="K1161" t="str">
            <v>Municipality</v>
          </cell>
          <cell r="M1161" t="str">
            <v>5th</v>
          </cell>
          <cell r="T1161" t="str">
            <v>No</v>
          </cell>
        </row>
        <row r="1162">
          <cell r="B1162" t="str">
            <v>Biliran</v>
          </cell>
          <cell r="J1162" t="str">
            <v>Caibiran</v>
          </cell>
          <cell r="K1162" t="str">
            <v>Municipality</v>
          </cell>
          <cell r="M1162" t="str">
            <v>5th</v>
          </cell>
          <cell r="T1162" t="str">
            <v>No</v>
          </cell>
        </row>
        <row r="1163">
          <cell r="B1163" t="str">
            <v>Biliran</v>
          </cell>
          <cell r="J1163" t="str">
            <v>Culaba</v>
          </cell>
          <cell r="K1163" t="str">
            <v>Municipality</v>
          </cell>
          <cell r="M1163" t="str">
            <v>5th</v>
          </cell>
          <cell r="T1163" t="str">
            <v>No</v>
          </cell>
        </row>
        <row r="1164">
          <cell r="B1164" t="str">
            <v>Biliran</v>
          </cell>
          <cell r="J1164" t="str">
            <v>Kawayan</v>
          </cell>
          <cell r="K1164" t="str">
            <v>Municipality</v>
          </cell>
          <cell r="M1164" t="str">
            <v>5th</v>
          </cell>
          <cell r="T1164" t="str">
            <v>No</v>
          </cell>
        </row>
        <row r="1165">
          <cell r="B1165" t="str">
            <v>Biliran</v>
          </cell>
          <cell r="J1165" t="str">
            <v>Maripipi</v>
          </cell>
          <cell r="K1165" t="str">
            <v>Municipality</v>
          </cell>
          <cell r="M1165" t="str">
            <v>5th</v>
          </cell>
          <cell r="T1165" t="str">
            <v>No</v>
          </cell>
        </row>
        <row r="1166">
          <cell r="B1166" t="str">
            <v>Biliran</v>
          </cell>
          <cell r="J1166" t="str">
            <v>Naval (Capital)</v>
          </cell>
          <cell r="K1166" t="str">
            <v>Municipality</v>
          </cell>
          <cell r="M1166" t="str">
            <v>2nd</v>
          </cell>
          <cell r="T1166" t="str">
            <v>No</v>
          </cell>
        </row>
        <row r="1167">
          <cell r="B1167" t="str">
            <v>Eastern_Samar</v>
          </cell>
          <cell r="J1167" t="str">
            <v>Arteche</v>
          </cell>
          <cell r="K1167" t="str">
            <v>Municipality</v>
          </cell>
          <cell r="M1167" t="str">
            <v>3rd</v>
          </cell>
          <cell r="T1167" t="str">
            <v>No</v>
          </cell>
        </row>
        <row r="1168">
          <cell r="B1168" t="str">
            <v>Eastern_Samar</v>
          </cell>
          <cell r="J1168" t="str">
            <v>Balangiga</v>
          </cell>
          <cell r="K1168" t="str">
            <v>Municipality</v>
          </cell>
          <cell r="M1168" t="str">
            <v>4th</v>
          </cell>
          <cell r="T1168" t="str">
            <v>No</v>
          </cell>
        </row>
        <row r="1169">
          <cell r="B1169" t="str">
            <v>Eastern_Samar</v>
          </cell>
          <cell r="J1169" t="str">
            <v>Balangkayan</v>
          </cell>
          <cell r="K1169" t="str">
            <v>Municipality</v>
          </cell>
          <cell r="M1169" t="str">
            <v>5th</v>
          </cell>
          <cell r="T1169" t="str">
            <v>No</v>
          </cell>
        </row>
        <row r="1170">
          <cell r="B1170" t="str">
            <v>Eastern_Samar</v>
          </cell>
          <cell r="J1170" t="str">
            <v>Can-Avid</v>
          </cell>
          <cell r="K1170" t="str">
            <v>Municipality</v>
          </cell>
          <cell r="M1170" t="str">
            <v>4th</v>
          </cell>
          <cell r="T1170" t="str">
            <v>No</v>
          </cell>
        </row>
        <row r="1171">
          <cell r="B1171" t="str">
            <v>Eastern_Samar</v>
          </cell>
          <cell r="J1171" t="str">
            <v>City Of Borongan (Capital)</v>
          </cell>
          <cell r="K1171" t="str">
            <v>City</v>
          </cell>
          <cell r="M1171" t="str">
            <v>-</v>
          </cell>
          <cell r="T1171" t="str">
            <v>No</v>
          </cell>
        </row>
        <row r="1172">
          <cell r="B1172" t="str">
            <v>Eastern_Samar</v>
          </cell>
          <cell r="J1172" t="str">
            <v>Dolores</v>
          </cell>
          <cell r="K1172" t="str">
            <v>Municipality</v>
          </cell>
          <cell r="M1172" t="str">
            <v>5th</v>
          </cell>
          <cell r="T1172" t="str">
            <v>No</v>
          </cell>
        </row>
        <row r="1173">
          <cell r="B1173" t="str">
            <v>Eastern_Samar</v>
          </cell>
          <cell r="J1173" t="str">
            <v>General Macarthur</v>
          </cell>
          <cell r="K1173" t="str">
            <v>Municipality</v>
          </cell>
          <cell r="M1173" t="str">
            <v>5th</v>
          </cell>
          <cell r="T1173" t="str">
            <v>No</v>
          </cell>
        </row>
        <row r="1174">
          <cell r="B1174" t="str">
            <v>Eastern_Samar</v>
          </cell>
          <cell r="J1174" t="str">
            <v>Giporlos</v>
          </cell>
          <cell r="K1174" t="str">
            <v>Municipality</v>
          </cell>
          <cell r="M1174" t="str">
            <v>5th</v>
          </cell>
          <cell r="T1174" t="str">
            <v>No</v>
          </cell>
        </row>
        <row r="1175">
          <cell r="B1175" t="str">
            <v>Eastern_Samar</v>
          </cell>
          <cell r="J1175" t="str">
            <v>Guiuan</v>
          </cell>
          <cell r="K1175" t="str">
            <v>Municipality</v>
          </cell>
          <cell r="M1175" t="str">
            <v>2nd</v>
          </cell>
          <cell r="T1175" t="str">
            <v>No</v>
          </cell>
        </row>
        <row r="1176">
          <cell r="B1176" t="str">
            <v>Eastern_Samar</v>
          </cell>
          <cell r="J1176" t="str">
            <v>Hernani</v>
          </cell>
          <cell r="K1176" t="str">
            <v>Municipality</v>
          </cell>
          <cell r="M1176" t="str">
            <v>5th</v>
          </cell>
          <cell r="T1176" t="str">
            <v>No</v>
          </cell>
        </row>
        <row r="1177">
          <cell r="B1177" t="str">
            <v>Eastern_Samar</v>
          </cell>
          <cell r="J1177" t="str">
            <v>Jipapad</v>
          </cell>
          <cell r="K1177" t="str">
            <v>Municipality</v>
          </cell>
          <cell r="M1177" t="str">
            <v>5th</v>
          </cell>
          <cell r="T1177" t="str">
            <v>No</v>
          </cell>
        </row>
        <row r="1178">
          <cell r="B1178" t="str">
            <v>Eastern_Samar</v>
          </cell>
          <cell r="J1178" t="str">
            <v>Lawaan</v>
          </cell>
          <cell r="K1178" t="str">
            <v>Municipality</v>
          </cell>
          <cell r="M1178" t="str">
            <v>5th</v>
          </cell>
          <cell r="T1178" t="str">
            <v>No</v>
          </cell>
        </row>
        <row r="1179">
          <cell r="B1179" t="str">
            <v>Eastern_Samar</v>
          </cell>
          <cell r="J1179" t="str">
            <v>Llorente</v>
          </cell>
          <cell r="K1179" t="str">
            <v>Municipality</v>
          </cell>
          <cell r="M1179" t="str">
            <v>3rd</v>
          </cell>
          <cell r="T1179" t="str">
            <v>No</v>
          </cell>
        </row>
        <row r="1180">
          <cell r="B1180" t="str">
            <v>Eastern_Samar</v>
          </cell>
          <cell r="J1180" t="str">
            <v>Maslog</v>
          </cell>
          <cell r="K1180" t="str">
            <v>Municipality</v>
          </cell>
          <cell r="M1180" t="str">
            <v>5th</v>
          </cell>
          <cell r="T1180" t="str">
            <v>No</v>
          </cell>
        </row>
        <row r="1181">
          <cell r="B1181" t="str">
            <v>Eastern_Samar</v>
          </cell>
          <cell r="J1181" t="str">
            <v>Maydolong</v>
          </cell>
          <cell r="K1181" t="str">
            <v>Municipality</v>
          </cell>
          <cell r="M1181" t="str">
            <v>4th</v>
          </cell>
          <cell r="T1181" t="str">
            <v>No</v>
          </cell>
        </row>
        <row r="1182">
          <cell r="B1182" t="str">
            <v>Eastern_Samar</v>
          </cell>
          <cell r="J1182" t="str">
            <v>Mercedes</v>
          </cell>
          <cell r="K1182" t="str">
            <v>Municipality</v>
          </cell>
          <cell r="M1182" t="str">
            <v>5th</v>
          </cell>
          <cell r="T1182" t="str">
            <v>No</v>
          </cell>
        </row>
        <row r="1183">
          <cell r="B1183" t="str">
            <v>Eastern_Samar</v>
          </cell>
          <cell r="J1183" t="str">
            <v>Oras</v>
          </cell>
          <cell r="K1183" t="str">
            <v>Municipality</v>
          </cell>
          <cell r="M1183" t="str">
            <v>4th</v>
          </cell>
          <cell r="T1183" t="str">
            <v>No</v>
          </cell>
        </row>
        <row r="1184">
          <cell r="B1184" t="str">
            <v>Eastern_Samar</v>
          </cell>
          <cell r="J1184" t="str">
            <v>Quinapondan</v>
          </cell>
          <cell r="K1184" t="str">
            <v>Municipality</v>
          </cell>
          <cell r="M1184" t="str">
            <v>5th</v>
          </cell>
          <cell r="T1184" t="str">
            <v>No</v>
          </cell>
        </row>
        <row r="1185">
          <cell r="B1185" t="str">
            <v>Eastern_Samar</v>
          </cell>
          <cell r="J1185" t="str">
            <v>Salcedo</v>
          </cell>
          <cell r="K1185" t="str">
            <v>Municipality</v>
          </cell>
          <cell r="M1185" t="str">
            <v>5th</v>
          </cell>
          <cell r="T1185" t="str">
            <v>No</v>
          </cell>
        </row>
        <row r="1186">
          <cell r="B1186" t="str">
            <v>Eastern_Samar</v>
          </cell>
          <cell r="J1186" t="str">
            <v>San Julian</v>
          </cell>
          <cell r="K1186" t="str">
            <v>Municipality</v>
          </cell>
          <cell r="M1186" t="str">
            <v>5th</v>
          </cell>
          <cell r="T1186" t="str">
            <v>No</v>
          </cell>
        </row>
        <row r="1187">
          <cell r="B1187" t="str">
            <v>Eastern_Samar</v>
          </cell>
          <cell r="J1187" t="str">
            <v>San Policarpo</v>
          </cell>
          <cell r="K1187" t="str">
            <v>Municipality</v>
          </cell>
          <cell r="M1187" t="str">
            <v>5th</v>
          </cell>
          <cell r="T1187" t="str">
            <v>No</v>
          </cell>
        </row>
        <row r="1188">
          <cell r="B1188" t="str">
            <v>Eastern_Samar</v>
          </cell>
          <cell r="J1188" t="str">
            <v>Sulat</v>
          </cell>
          <cell r="K1188" t="str">
            <v>Municipality</v>
          </cell>
          <cell r="M1188" t="str">
            <v>4th</v>
          </cell>
          <cell r="T1188" t="str">
            <v>No</v>
          </cell>
        </row>
        <row r="1189">
          <cell r="B1189" t="str">
            <v>Eastern_Samar</v>
          </cell>
          <cell r="J1189" t="str">
            <v>Taft</v>
          </cell>
          <cell r="K1189" t="str">
            <v>Municipality</v>
          </cell>
          <cell r="M1189" t="str">
            <v>4th</v>
          </cell>
          <cell r="T1189" t="str">
            <v>No</v>
          </cell>
        </row>
        <row r="1190">
          <cell r="B1190" t="str">
            <v>Leyte</v>
          </cell>
          <cell r="J1190" t="str">
            <v>Abuyog</v>
          </cell>
          <cell r="K1190" t="str">
            <v>Municipality</v>
          </cell>
          <cell r="M1190" t="str">
            <v>1st</v>
          </cell>
          <cell r="T1190" t="str">
            <v>Yes</v>
          </cell>
        </row>
        <row r="1191">
          <cell r="B1191" t="str">
            <v>Leyte</v>
          </cell>
          <cell r="J1191" t="str">
            <v>Alangalang</v>
          </cell>
          <cell r="K1191" t="str">
            <v>Municipality</v>
          </cell>
          <cell r="M1191" t="str">
            <v>2nd</v>
          </cell>
          <cell r="T1191" t="str">
            <v>Yes</v>
          </cell>
        </row>
        <row r="1192">
          <cell r="B1192" t="str">
            <v>Leyte</v>
          </cell>
          <cell r="J1192" t="str">
            <v>Albuera</v>
          </cell>
          <cell r="K1192" t="str">
            <v>Municipality</v>
          </cell>
          <cell r="M1192" t="str">
            <v>3rd</v>
          </cell>
          <cell r="T1192" t="str">
            <v>Yes</v>
          </cell>
        </row>
        <row r="1193">
          <cell r="B1193" t="str">
            <v>Leyte</v>
          </cell>
          <cell r="J1193" t="str">
            <v>Babatngon</v>
          </cell>
          <cell r="K1193" t="str">
            <v>Municipality</v>
          </cell>
          <cell r="M1193" t="str">
            <v>4th</v>
          </cell>
          <cell r="T1193" t="str">
            <v>Yes</v>
          </cell>
        </row>
        <row r="1194">
          <cell r="B1194" t="str">
            <v>Leyte</v>
          </cell>
          <cell r="J1194" t="str">
            <v>Barugo</v>
          </cell>
          <cell r="K1194" t="str">
            <v>Municipality</v>
          </cell>
          <cell r="M1194" t="str">
            <v>4th</v>
          </cell>
          <cell r="T1194" t="str">
            <v>Yes</v>
          </cell>
        </row>
        <row r="1195">
          <cell r="B1195" t="str">
            <v>Leyte</v>
          </cell>
          <cell r="J1195" t="str">
            <v>Bato</v>
          </cell>
          <cell r="K1195" t="str">
            <v>Municipality</v>
          </cell>
          <cell r="M1195" t="str">
            <v>4th</v>
          </cell>
          <cell r="T1195" t="str">
            <v>Yes</v>
          </cell>
        </row>
        <row r="1196">
          <cell r="B1196" t="str">
            <v>Leyte</v>
          </cell>
          <cell r="J1196" t="str">
            <v>Burauen</v>
          </cell>
          <cell r="K1196" t="str">
            <v>Municipality</v>
          </cell>
          <cell r="M1196" t="str">
            <v>1st</v>
          </cell>
          <cell r="T1196" t="str">
            <v>Yes</v>
          </cell>
        </row>
        <row r="1197">
          <cell r="B1197" t="str">
            <v>Leyte</v>
          </cell>
          <cell r="J1197" t="str">
            <v>Calubian</v>
          </cell>
          <cell r="K1197" t="str">
            <v>Municipality</v>
          </cell>
          <cell r="M1197" t="str">
            <v>4th</v>
          </cell>
          <cell r="T1197" t="str">
            <v>Yes</v>
          </cell>
        </row>
        <row r="1198">
          <cell r="B1198" t="str">
            <v>Leyte</v>
          </cell>
          <cell r="J1198" t="str">
            <v>Capoocan</v>
          </cell>
          <cell r="K1198" t="str">
            <v>Municipality</v>
          </cell>
          <cell r="M1198" t="str">
            <v>4th</v>
          </cell>
          <cell r="T1198" t="str">
            <v>Yes</v>
          </cell>
        </row>
        <row r="1199">
          <cell r="B1199" t="str">
            <v>Leyte</v>
          </cell>
          <cell r="J1199" t="str">
            <v>Carigara</v>
          </cell>
          <cell r="K1199" t="str">
            <v>Municipality</v>
          </cell>
          <cell r="M1199" t="str">
            <v>2nd</v>
          </cell>
          <cell r="T1199" t="str">
            <v>Yes</v>
          </cell>
        </row>
        <row r="1200">
          <cell r="B1200" t="str">
            <v>Leyte</v>
          </cell>
          <cell r="J1200" t="str">
            <v>City Of Baybay</v>
          </cell>
          <cell r="K1200" t="str">
            <v>City</v>
          </cell>
          <cell r="M1200" t="str">
            <v>-</v>
          </cell>
          <cell r="T1200" t="str">
            <v>Yes</v>
          </cell>
        </row>
        <row r="1201">
          <cell r="B1201" t="str">
            <v>Leyte</v>
          </cell>
          <cell r="J1201" t="str">
            <v>Dagami</v>
          </cell>
          <cell r="K1201" t="str">
            <v>Municipality</v>
          </cell>
          <cell r="M1201" t="str">
            <v>3rd</v>
          </cell>
          <cell r="T1201" t="str">
            <v>Yes</v>
          </cell>
        </row>
        <row r="1202">
          <cell r="B1202" t="str">
            <v>Leyte</v>
          </cell>
          <cell r="J1202" t="str">
            <v>Dulag</v>
          </cell>
          <cell r="K1202" t="str">
            <v>Municipality</v>
          </cell>
          <cell r="M1202" t="str">
            <v>3rd</v>
          </cell>
          <cell r="T1202" t="str">
            <v>Yes</v>
          </cell>
        </row>
        <row r="1203">
          <cell r="B1203" t="str">
            <v>Leyte</v>
          </cell>
          <cell r="J1203" t="str">
            <v>Hilongos</v>
          </cell>
          <cell r="K1203" t="str">
            <v>Municipality</v>
          </cell>
          <cell r="M1203" t="str">
            <v>2nd</v>
          </cell>
          <cell r="T1203" t="str">
            <v>Yes</v>
          </cell>
        </row>
        <row r="1204">
          <cell r="B1204" t="str">
            <v>Leyte</v>
          </cell>
          <cell r="J1204" t="str">
            <v>Hindang</v>
          </cell>
          <cell r="K1204" t="str">
            <v>Municipality</v>
          </cell>
          <cell r="M1204" t="str">
            <v>5th</v>
          </cell>
          <cell r="T1204" t="str">
            <v>Yes</v>
          </cell>
        </row>
        <row r="1205">
          <cell r="B1205" t="str">
            <v>Leyte</v>
          </cell>
          <cell r="J1205" t="str">
            <v>Inopacan</v>
          </cell>
          <cell r="K1205" t="str">
            <v>Municipality</v>
          </cell>
          <cell r="M1205" t="str">
            <v>4th</v>
          </cell>
          <cell r="T1205" t="str">
            <v>Yes</v>
          </cell>
        </row>
        <row r="1206">
          <cell r="B1206" t="str">
            <v>Leyte</v>
          </cell>
          <cell r="J1206" t="str">
            <v>Isabel</v>
          </cell>
          <cell r="K1206" t="str">
            <v>Municipality</v>
          </cell>
          <cell r="M1206" t="str">
            <v>1st</v>
          </cell>
          <cell r="T1206" t="str">
            <v>Yes</v>
          </cell>
        </row>
        <row r="1207">
          <cell r="B1207" t="str">
            <v>Leyte</v>
          </cell>
          <cell r="J1207" t="str">
            <v>Jaro</v>
          </cell>
          <cell r="K1207" t="str">
            <v>Municipality</v>
          </cell>
          <cell r="M1207" t="str">
            <v>3rd</v>
          </cell>
          <cell r="T1207" t="str">
            <v>Yes</v>
          </cell>
        </row>
        <row r="1208">
          <cell r="B1208" t="str">
            <v>Leyte</v>
          </cell>
          <cell r="J1208" t="str">
            <v>Javier (Bugho)</v>
          </cell>
          <cell r="K1208" t="str">
            <v>Municipality</v>
          </cell>
          <cell r="M1208" t="str">
            <v>4th</v>
          </cell>
          <cell r="T1208" t="str">
            <v>Yes</v>
          </cell>
        </row>
        <row r="1209">
          <cell r="B1209" t="str">
            <v>Leyte</v>
          </cell>
          <cell r="J1209" t="str">
            <v>Julita</v>
          </cell>
          <cell r="K1209" t="str">
            <v>Municipality</v>
          </cell>
          <cell r="M1209" t="str">
            <v>5th</v>
          </cell>
          <cell r="T1209" t="str">
            <v>Yes</v>
          </cell>
        </row>
        <row r="1210">
          <cell r="B1210" t="str">
            <v>Leyte</v>
          </cell>
          <cell r="J1210" t="str">
            <v>Kananga</v>
          </cell>
          <cell r="K1210" t="str">
            <v>Municipality</v>
          </cell>
          <cell r="M1210" t="str">
            <v>1st</v>
          </cell>
          <cell r="T1210" t="str">
            <v>Yes</v>
          </cell>
        </row>
        <row r="1211">
          <cell r="B1211" t="str">
            <v>Leyte</v>
          </cell>
          <cell r="J1211" t="str">
            <v>La Paz</v>
          </cell>
          <cell r="K1211" t="str">
            <v>Municipality</v>
          </cell>
          <cell r="M1211" t="str">
            <v>5th</v>
          </cell>
          <cell r="T1211" t="str">
            <v>Yes</v>
          </cell>
        </row>
        <row r="1212">
          <cell r="B1212" t="str">
            <v>Leyte</v>
          </cell>
          <cell r="J1212" t="str">
            <v>Leyte</v>
          </cell>
          <cell r="K1212" t="str">
            <v>Municipality</v>
          </cell>
          <cell r="M1212" t="str">
            <v>4th</v>
          </cell>
          <cell r="T1212" t="str">
            <v>Yes</v>
          </cell>
        </row>
        <row r="1213">
          <cell r="B1213" t="str">
            <v>Leyte</v>
          </cell>
          <cell r="J1213" t="str">
            <v>Macarthur</v>
          </cell>
          <cell r="K1213" t="str">
            <v>Municipality</v>
          </cell>
          <cell r="M1213" t="str">
            <v>-</v>
          </cell>
          <cell r="T1213" t="str">
            <v>Yes</v>
          </cell>
        </row>
        <row r="1214">
          <cell r="B1214" t="str">
            <v>Leyte</v>
          </cell>
          <cell r="J1214" t="str">
            <v>Mahaplag</v>
          </cell>
          <cell r="K1214" t="str">
            <v>Municipality</v>
          </cell>
          <cell r="M1214" t="str">
            <v>4th</v>
          </cell>
          <cell r="T1214" t="str">
            <v>Yes</v>
          </cell>
        </row>
        <row r="1215">
          <cell r="B1215" t="str">
            <v>Leyte</v>
          </cell>
          <cell r="J1215" t="str">
            <v>Matag-Ob</v>
          </cell>
          <cell r="K1215" t="str">
            <v>Municipality</v>
          </cell>
          <cell r="M1215" t="str">
            <v>4th</v>
          </cell>
          <cell r="T1215" t="str">
            <v>Yes</v>
          </cell>
        </row>
        <row r="1216">
          <cell r="B1216" t="str">
            <v>Leyte</v>
          </cell>
          <cell r="J1216" t="str">
            <v>Matalom</v>
          </cell>
          <cell r="K1216" t="str">
            <v>Municipality</v>
          </cell>
          <cell r="M1216" t="str">
            <v>3rd</v>
          </cell>
          <cell r="T1216" t="str">
            <v>Yes</v>
          </cell>
        </row>
        <row r="1217">
          <cell r="B1217" t="str">
            <v>Leyte</v>
          </cell>
          <cell r="J1217" t="str">
            <v>Mayorga</v>
          </cell>
          <cell r="K1217" t="str">
            <v>Municipality</v>
          </cell>
          <cell r="M1217" t="str">
            <v>5th</v>
          </cell>
          <cell r="T1217" t="str">
            <v>Yes</v>
          </cell>
        </row>
        <row r="1218">
          <cell r="B1218" t="str">
            <v>Leyte</v>
          </cell>
          <cell r="J1218" t="str">
            <v>Merida</v>
          </cell>
          <cell r="K1218" t="str">
            <v>Municipality</v>
          </cell>
          <cell r="M1218" t="str">
            <v>5th</v>
          </cell>
          <cell r="T1218" t="str">
            <v>Yes</v>
          </cell>
        </row>
        <row r="1219">
          <cell r="B1219" t="str">
            <v>Leyte</v>
          </cell>
          <cell r="J1219" t="str">
            <v>Ormoc City</v>
          </cell>
          <cell r="K1219" t="str">
            <v>City</v>
          </cell>
          <cell r="M1219" t="str">
            <v>1st</v>
          </cell>
          <cell r="T1219" t="str">
            <v>Yes</v>
          </cell>
        </row>
        <row r="1220">
          <cell r="B1220" t="str">
            <v>Leyte</v>
          </cell>
          <cell r="J1220" t="str">
            <v>Palo</v>
          </cell>
          <cell r="K1220" t="str">
            <v>Municipality</v>
          </cell>
          <cell r="M1220" t="str">
            <v>3rd</v>
          </cell>
          <cell r="T1220" t="str">
            <v>Yes</v>
          </cell>
        </row>
        <row r="1221">
          <cell r="B1221" t="str">
            <v>Leyte</v>
          </cell>
          <cell r="J1221" t="str">
            <v>Palompon</v>
          </cell>
          <cell r="K1221" t="str">
            <v>Municipality</v>
          </cell>
          <cell r="M1221" t="str">
            <v>2nd</v>
          </cell>
          <cell r="T1221" t="str">
            <v>Yes</v>
          </cell>
        </row>
        <row r="1222">
          <cell r="B1222" t="str">
            <v>Leyte</v>
          </cell>
          <cell r="J1222" t="str">
            <v>Pastrana</v>
          </cell>
          <cell r="K1222" t="str">
            <v>Municipality</v>
          </cell>
          <cell r="M1222" t="str">
            <v>5th</v>
          </cell>
          <cell r="T1222" t="str">
            <v>Yes</v>
          </cell>
        </row>
        <row r="1223">
          <cell r="B1223" t="str">
            <v>Leyte</v>
          </cell>
          <cell r="J1223" t="str">
            <v>San Isidro</v>
          </cell>
          <cell r="K1223" t="str">
            <v>Municipality</v>
          </cell>
          <cell r="M1223" t="str">
            <v>4th</v>
          </cell>
          <cell r="T1223" t="str">
            <v>Yes</v>
          </cell>
        </row>
        <row r="1224">
          <cell r="B1224" t="str">
            <v>Leyte</v>
          </cell>
          <cell r="J1224" t="str">
            <v>San Miguel</v>
          </cell>
          <cell r="K1224" t="str">
            <v>Municipality</v>
          </cell>
          <cell r="M1224" t="str">
            <v>4th</v>
          </cell>
          <cell r="T1224" t="str">
            <v>Yes</v>
          </cell>
        </row>
        <row r="1225">
          <cell r="B1225" t="str">
            <v>Leyte</v>
          </cell>
          <cell r="J1225" t="str">
            <v>Santa Fe</v>
          </cell>
          <cell r="K1225" t="str">
            <v>Municipality</v>
          </cell>
          <cell r="M1225" t="str">
            <v>5th</v>
          </cell>
          <cell r="T1225" t="str">
            <v>Yes</v>
          </cell>
        </row>
        <row r="1226">
          <cell r="B1226" t="str">
            <v>Leyte</v>
          </cell>
          <cell r="J1226" t="str">
            <v>Tabango</v>
          </cell>
          <cell r="K1226" t="str">
            <v>Municipality</v>
          </cell>
          <cell r="M1226" t="str">
            <v>4th</v>
          </cell>
          <cell r="T1226" t="str">
            <v>Yes</v>
          </cell>
        </row>
        <row r="1227">
          <cell r="B1227" t="str">
            <v>Leyte</v>
          </cell>
          <cell r="J1227" t="str">
            <v>Tabontabon</v>
          </cell>
          <cell r="K1227" t="str">
            <v>Municipality</v>
          </cell>
          <cell r="M1227" t="str">
            <v>5th</v>
          </cell>
          <cell r="T1227" t="str">
            <v>Yes</v>
          </cell>
        </row>
        <row r="1228">
          <cell r="B1228" t="str">
            <v>Leyte</v>
          </cell>
          <cell r="J1228" t="str">
            <v>Tacloban City (Capital)</v>
          </cell>
          <cell r="K1228" t="str">
            <v>City</v>
          </cell>
          <cell r="M1228" t="str">
            <v>1st</v>
          </cell>
          <cell r="T1228" t="str">
            <v>Yes</v>
          </cell>
        </row>
        <row r="1229">
          <cell r="B1229" t="str">
            <v>Leyte</v>
          </cell>
          <cell r="J1229" t="str">
            <v>Tanauan</v>
          </cell>
          <cell r="K1229" t="str">
            <v>Municipality</v>
          </cell>
          <cell r="M1229" t="str">
            <v>2nd</v>
          </cell>
          <cell r="T1229" t="str">
            <v>Yes</v>
          </cell>
        </row>
        <row r="1230">
          <cell r="B1230" t="str">
            <v>Leyte</v>
          </cell>
          <cell r="J1230" t="str">
            <v>Tolosa</v>
          </cell>
          <cell r="K1230" t="str">
            <v>Municipality</v>
          </cell>
          <cell r="M1230" t="str">
            <v>5th</v>
          </cell>
          <cell r="T1230" t="str">
            <v>Yes</v>
          </cell>
        </row>
        <row r="1231">
          <cell r="B1231" t="str">
            <v>Leyte</v>
          </cell>
          <cell r="J1231" t="str">
            <v>Tunga</v>
          </cell>
          <cell r="K1231" t="str">
            <v>Municipality</v>
          </cell>
          <cell r="M1231" t="str">
            <v>6th</v>
          </cell>
          <cell r="T1231" t="str">
            <v>Yes</v>
          </cell>
        </row>
        <row r="1232">
          <cell r="B1232" t="str">
            <v>Leyte</v>
          </cell>
          <cell r="J1232" t="str">
            <v>Villaba</v>
          </cell>
          <cell r="K1232" t="str">
            <v>Municipality</v>
          </cell>
          <cell r="M1232" t="str">
            <v>3rd</v>
          </cell>
          <cell r="T1232" t="str">
            <v>Yes</v>
          </cell>
        </row>
        <row r="1233">
          <cell r="B1233" t="str">
            <v>Northern_Samar</v>
          </cell>
          <cell r="J1233" t="str">
            <v>Allen</v>
          </cell>
          <cell r="K1233" t="str">
            <v>Municipality</v>
          </cell>
          <cell r="M1233" t="str">
            <v>5th</v>
          </cell>
          <cell r="T1233" t="str">
            <v>No</v>
          </cell>
        </row>
        <row r="1234">
          <cell r="B1234" t="str">
            <v>Northern_Samar</v>
          </cell>
          <cell r="J1234" t="str">
            <v>Biri</v>
          </cell>
          <cell r="K1234" t="str">
            <v>Municipality</v>
          </cell>
          <cell r="M1234" t="str">
            <v>5th</v>
          </cell>
          <cell r="T1234" t="str">
            <v>No</v>
          </cell>
        </row>
        <row r="1235">
          <cell r="B1235" t="str">
            <v>Northern_Samar</v>
          </cell>
          <cell r="J1235" t="str">
            <v>Bobon</v>
          </cell>
          <cell r="K1235" t="str">
            <v>Municipality</v>
          </cell>
          <cell r="M1235" t="str">
            <v>4th</v>
          </cell>
          <cell r="T1235" t="str">
            <v>No</v>
          </cell>
        </row>
        <row r="1236">
          <cell r="B1236" t="str">
            <v>Northern_Samar</v>
          </cell>
          <cell r="J1236" t="str">
            <v>Capul</v>
          </cell>
          <cell r="K1236" t="str">
            <v>Municipality</v>
          </cell>
          <cell r="M1236" t="str">
            <v>5th</v>
          </cell>
          <cell r="T1236" t="str">
            <v>No</v>
          </cell>
        </row>
        <row r="1237">
          <cell r="B1237" t="str">
            <v>Northern_Samar</v>
          </cell>
          <cell r="J1237" t="str">
            <v>Catarman (Capital)</v>
          </cell>
          <cell r="K1237" t="str">
            <v>Municipality</v>
          </cell>
          <cell r="M1237" t="str">
            <v>1st</v>
          </cell>
          <cell r="T1237" t="str">
            <v>No</v>
          </cell>
        </row>
        <row r="1238">
          <cell r="B1238" t="str">
            <v>Northern_Samar</v>
          </cell>
          <cell r="J1238" t="str">
            <v>Catubig</v>
          </cell>
          <cell r="K1238" t="str">
            <v>Municipality</v>
          </cell>
          <cell r="M1238" t="str">
            <v>3rd</v>
          </cell>
          <cell r="T1238" t="str">
            <v>No</v>
          </cell>
        </row>
        <row r="1239">
          <cell r="B1239" t="str">
            <v>Northern_Samar</v>
          </cell>
          <cell r="J1239" t="str">
            <v>Gamay</v>
          </cell>
          <cell r="K1239" t="str">
            <v>Municipality</v>
          </cell>
          <cell r="M1239" t="str">
            <v>4th</v>
          </cell>
          <cell r="T1239" t="str">
            <v>No</v>
          </cell>
        </row>
        <row r="1240">
          <cell r="B1240" t="str">
            <v>Northern_Samar</v>
          </cell>
          <cell r="J1240" t="str">
            <v>Laoang</v>
          </cell>
          <cell r="K1240" t="str">
            <v>Municipality</v>
          </cell>
          <cell r="M1240" t="str">
            <v>2nd</v>
          </cell>
          <cell r="T1240" t="str">
            <v>No</v>
          </cell>
        </row>
        <row r="1241">
          <cell r="B1241" t="str">
            <v>Northern_Samar</v>
          </cell>
          <cell r="J1241" t="str">
            <v>Lapinig</v>
          </cell>
          <cell r="K1241" t="str">
            <v>Municipality</v>
          </cell>
          <cell r="M1241" t="str">
            <v>5th</v>
          </cell>
          <cell r="T1241" t="str">
            <v>No</v>
          </cell>
        </row>
        <row r="1242">
          <cell r="B1242" t="str">
            <v>Northern_Samar</v>
          </cell>
          <cell r="J1242" t="str">
            <v>Las Navas</v>
          </cell>
          <cell r="K1242" t="str">
            <v>Municipality</v>
          </cell>
          <cell r="M1242" t="str">
            <v>4th</v>
          </cell>
          <cell r="T1242" t="str">
            <v>No</v>
          </cell>
        </row>
        <row r="1243">
          <cell r="B1243" t="str">
            <v>Northern_Samar</v>
          </cell>
          <cell r="J1243" t="str">
            <v>Lavezares</v>
          </cell>
          <cell r="K1243" t="str">
            <v>Municipality</v>
          </cell>
          <cell r="M1243" t="str">
            <v>4th</v>
          </cell>
          <cell r="T1243" t="str">
            <v>No</v>
          </cell>
        </row>
        <row r="1244">
          <cell r="B1244" t="str">
            <v>Northern_Samar</v>
          </cell>
          <cell r="J1244" t="str">
            <v>Lope De Vega</v>
          </cell>
          <cell r="K1244" t="str">
            <v>Municipality</v>
          </cell>
          <cell r="M1244" t="str">
            <v>4th</v>
          </cell>
          <cell r="T1244" t="str">
            <v>No</v>
          </cell>
        </row>
        <row r="1245">
          <cell r="B1245" t="str">
            <v>Northern_Samar</v>
          </cell>
          <cell r="J1245" t="str">
            <v>Mapanas</v>
          </cell>
          <cell r="K1245" t="str">
            <v>Municipality</v>
          </cell>
          <cell r="M1245" t="str">
            <v>5th</v>
          </cell>
          <cell r="T1245" t="str">
            <v>No</v>
          </cell>
        </row>
        <row r="1246">
          <cell r="B1246" t="str">
            <v>Northern_Samar</v>
          </cell>
          <cell r="J1246" t="str">
            <v>Mondragon</v>
          </cell>
          <cell r="K1246" t="str">
            <v>Municipality</v>
          </cell>
          <cell r="M1246" t="str">
            <v>3rd</v>
          </cell>
          <cell r="T1246" t="str">
            <v>No</v>
          </cell>
        </row>
        <row r="1247">
          <cell r="B1247" t="str">
            <v>Northern_Samar</v>
          </cell>
          <cell r="J1247" t="str">
            <v>Palapag</v>
          </cell>
          <cell r="K1247" t="str">
            <v>Municipality</v>
          </cell>
          <cell r="M1247" t="str">
            <v>3rd</v>
          </cell>
          <cell r="T1247" t="str">
            <v>No</v>
          </cell>
        </row>
        <row r="1248">
          <cell r="B1248" t="str">
            <v>Northern_Samar</v>
          </cell>
          <cell r="J1248" t="str">
            <v>Pambujan</v>
          </cell>
          <cell r="K1248" t="str">
            <v>Municipality</v>
          </cell>
          <cell r="M1248" t="str">
            <v>4th</v>
          </cell>
          <cell r="T1248" t="str">
            <v>No</v>
          </cell>
        </row>
        <row r="1249">
          <cell r="B1249" t="str">
            <v>Northern_Samar</v>
          </cell>
          <cell r="J1249" t="str">
            <v>Rosario</v>
          </cell>
          <cell r="K1249" t="str">
            <v>Municipality</v>
          </cell>
          <cell r="M1249" t="str">
            <v>5th</v>
          </cell>
          <cell r="T1249" t="str">
            <v>No</v>
          </cell>
        </row>
        <row r="1250">
          <cell r="B1250" t="str">
            <v>Northern_Samar</v>
          </cell>
          <cell r="J1250" t="str">
            <v>San Antonio</v>
          </cell>
          <cell r="K1250" t="str">
            <v>Municipality</v>
          </cell>
          <cell r="M1250" t="str">
            <v>5th</v>
          </cell>
          <cell r="T1250" t="str">
            <v>No</v>
          </cell>
        </row>
        <row r="1251">
          <cell r="B1251" t="str">
            <v>Northern_Samar</v>
          </cell>
          <cell r="J1251" t="str">
            <v>San Isidro</v>
          </cell>
          <cell r="K1251" t="str">
            <v>Municipality</v>
          </cell>
          <cell r="M1251" t="str">
            <v>4th</v>
          </cell>
          <cell r="T1251" t="str">
            <v>No</v>
          </cell>
        </row>
        <row r="1252">
          <cell r="B1252" t="str">
            <v>Northern_Samar</v>
          </cell>
          <cell r="J1252" t="str">
            <v>San Jose</v>
          </cell>
          <cell r="K1252" t="str">
            <v>Municipality</v>
          </cell>
          <cell r="M1252" t="str">
            <v>5th</v>
          </cell>
          <cell r="T1252" t="str">
            <v>No</v>
          </cell>
        </row>
        <row r="1253">
          <cell r="B1253" t="str">
            <v>Northern_Samar</v>
          </cell>
          <cell r="J1253" t="str">
            <v>San Roque</v>
          </cell>
          <cell r="K1253" t="str">
            <v>Municipality</v>
          </cell>
          <cell r="M1253" t="str">
            <v>4th</v>
          </cell>
          <cell r="T1253" t="str">
            <v>No</v>
          </cell>
        </row>
        <row r="1254">
          <cell r="B1254" t="str">
            <v>Northern_Samar</v>
          </cell>
          <cell r="J1254" t="str">
            <v>San Vicente</v>
          </cell>
          <cell r="K1254" t="str">
            <v>Municipality</v>
          </cell>
          <cell r="M1254" t="str">
            <v>6th</v>
          </cell>
          <cell r="T1254" t="str">
            <v>No</v>
          </cell>
        </row>
        <row r="1255">
          <cell r="B1255" t="str">
            <v>Northern_Samar</v>
          </cell>
          <cell r="J1255" t="str">
            <v>Silvino Lobos</v>
          </cell>
          <cell r="K1255" t="str">
            <v>Municipality</v>
          </cell>
          <cell r="M1255" t="str">
            <v>4th</v>
          </cell>
          <cell r="T1255" t="str">
            <v>No</v>
          </cell>
        </row>
        <row r="1256">
          <cell r="B1256" t="str">
            <v>Northern_Samar</v>
          </cell>
          <cell r="J1256" t="str">
            <v>Victoria</v>
          </cell>
          <cell r="K1256" t="str">
            <v>Municipality</v>
          </cell>
          <cell r="M1256" t="str">
            <v>5th</v>
          </cell>
          <cell r="T1256" t="str">
            <v>No</v>
          </cell>
        </row>
        <row r="1257">
          <cell r="B1257" t="str">
            <v>Southern_Leyte</v>
          </cell>
          <cell r="J1257" t="str">
            <v>Anahawan</v>
          </cell>
          <cell r="K1257" t="str">
            <v>Municipality</v>
          </cell>
          <cell r="M1257" t="str">
            <v>5th</v>
          </cell>
          <cell r="T1257" t="str">
            <v>Yes</v>
          </cell>
        </row>
        <row r="1258">
          <cell r="B1258" t="str">
            <v>Southern_Leyte</v>
          </cell>
          <cell r="J1258" t="str">
            <v>Bontoc</v>
          </cell>
          <cell r="K1258" t="str">
            <v>Municipality</v>
          </cell>
          <cell r="M1258" t="str">
            <v>4th</v>
          </cell>
          <cell r="T1258" t="str">
            <v>Yes</v>
          </cell>
        </row>
        <row r="1259">
          <cell r="B1259" t="str">
            <v>Southern_Leyte</v>
          </cell>
          <cell r="J1259" t="str">
            <v>City Of Maasin (Capital)</v>
          </cell>
          <cell r="K1259" t="str">
            <v>City</v>
          </cell>
          <cell r="M1259" t="str">
            <v>4th</v>
          </cell>
          <cell r="T1259" t="str">
            <v>Yes</v>
          </cell>
        </row>
        <row r="1260">
          <cell r="B1260" t="str">
            <v>Southern_Leyte</v>
          </cell>
          <cell r="J1260" t="str">
            <v>Hinunangan</v>
          </cell>
          <cell r="K1260" t="str">
            <v>Municipality</v>
          </cell>
          <cell r="M1260" t="str">
            <v>3rd</v>
          </cell>
          <cell r="T1260" t="str">
            <v>Yes</v>
          </cell>
        </row>
        <row r="1261">
          <cell r="B1261" t="str">
            <v>Southern_Leyte</v>
          </cell>
          <cell r="J1261" t="str">
            <v>Hinundayan</v>
          </cell>
          <cell r="K1261" t="str">
            <v>Municipality</v>
          </cell>
          <cell r="M1261" t="str">
            <v>5th</v>
          </cell>
          <cell r="T1261" t="str">
            <v>Yes</v>
          </cell>
        </row>
        <row r="1262">
          <cell r="B1262" t="str">
            <v>Southern_Leyte</v>
          </cell>
          <cell r="J1262" t="str">
            <v>Libagon</v>
          </cell>
          <cell r="K1262" t="str">
            <v>Municipality</v>
          </cell>
          <cell r="M1262" t="str">
            <v>5th</v>
          </cell>
          <cell r="T1262" t="str">
            <v>Yes</v>
          </cell>
        </row>
        <row r="1263">
          <cell r="B1263" t="str">
            <v>Southern_Leyte</v>
          </cell>
          <cell r="J1263" t="str">
            <v>Liloan</v>
          </cell>
          <cell r="K1263" t="str">
            <v>Municipality</v>
          </cell>
          <cell r="M1263" t="str">
            <v>4th</v>
          </cell>
          <cell r="T1263" t="str">
            <v>Yes</v>
          </cell>
        </row>
        <row r="1264">
          <cell r="B1264" t="str">
            <v>Southern_Leyte</v>
          </cell>
          <cell r="J1264" t="str">
            <v>Limasawa</v>
          </cell>
          <cell r="K1264" t="str">
            <v>Municipality</v>
          </cell>
          <cell r="M1264" t="str">
            <v>6th</v>
          </cell>
          <cell r="T1264" t="str">
            <v>Yes</v>
          </cell>
        </row>
        <row r="1265">
          <cell r="B1265" t="str">
            <v>Southern_Leyte</v>
          </cell>
          <cell r="J1265" t="str">
            <v>Macrohon</v>
          </cell>
          <cell r="K1265" t="str">
            <v>Municipality</v>
          </cell>
          <cell r="M1265" t="str">
            <v>4th</v>
          </cell>
          <cell r="T1265" t="str">
            <v>Yes</v>
          </cell>
        </row>
        <row r="1266">
          <cell r="B1266" t="str">
            <v>Southern_Leyte</v>
          </cell>
          <cell r="J1266" t="str">
            <v>Malitbog</v>
          </cell>
          <cell r="K1266" t="str">
            <v>Municipality</v>
          </cell>
          <cell r="M1266" t="str">
            <v>4th</v>
          </cell>
          <cell r="T1266" t="str">
            <v>Yes</v>
          </cell>
        </row>
        <row r="1267">
          <cell r="B1267" t="str">
            <v>Southern_Leyte</v>
          </cell>
          <cell r="J1267" t="str">
            <v>Padre Burgos</v>
          </cell>
          <cell r="K1267" t="str">
            <v>Municipality</v>
          </cell>
          <cell r="M1267" t="str">
            <v>5th</v>
          </cell>
          <cell r="T1267" t="str">
            <v>Yes</v>
          </cell>
        </row>
        <row r="1268">
          <cell r="B1268" t="str">
            <v>Southern_Leyte</v>
          </cell>
          <cell r="J1268" t="str">
            <v>Pintuyan</v>
          </cell>
          <cell r="K1268" t="str">
            <v>Municipality</v>
          </cell>
          <cell r="M1268" t="str">
            <v>5th</v>
          </cell>
          <cell r="T1268" t="str">
            <v>Yes</v>
          </cell>
        </row>
        <row r="1269">
          <cell r="B1269" t="str">
            <v>Southern_Leyte</v>
          </cell>
          <cell r="J1269" t="str">
            <v>Saint Bernard</v>
          </cell>
          <cell r="K1269" t="str">
            <v>Municipality</v>
          </cell>
          <cell r="M1269" t="str">
            <v>4th</v>
          </cell>
          <cell r="T1269" t="str">
            <v>Yes</v>
          </cell>
        </row>
        <row r="1270">
          <cell r="B1270" t="str">
            <v>Southern_Leyte</v>
          </cell>
          <cell r="J1270" t="str">
            <v>San Francisco</v>
          </cell>
          <cell r="K1270" t="str">
            <v>Municipality</v>
          </cell>
          <cell r="M1270" t="str">
            <v>5th</v>
          </cell>
          <cell r="T1270" t="str">
            <v>Yes</v>
          </cell>
        </row>
        <row r="1271">
          <cell r="B1271" t="str">
            <v>Southern_Leyte</v>
          </cell>
          <cell r="J1271" t="str">
            <v>San Juan (Cabalian)</v>
          </cell>
          <cell r="K1271" t="str">
            <v>Municipality</v>
          </cell>
          <cell r="M1271" t="str">
            <v>5th</v>
          </cell>
          <cell r="T1271" t="str">
            <v>Yes</v>
          </cell>
        </row>
        <row r="1272">
          <cell r="B1272" t="str">
            <v>Southern_Leyte</v>
          </cell>
          <cell r="J1272" t="str">
            <v>San Ricardo</v>
          </cell>
          <cell r="K1272" t="str">
            <v>Municipality</v>
          </cell>
          <cell r="M1272" t="str">
            <v>5th</v>
          </cell>
          <cell r="T1272" t="str">
            <v>Yes</v>
          </cell>
        </row>
        <row r="1273">
          <cell r="B1273" t="str">
            <v>Southern_Leyte</v>
          </cell>
          <cell r="J1273" t="str">
            <v>Silago</v>
          </cell>
          <cell r="K1273" t="str">
            <v>Municipality</v>
          </cell>
          <cell r="M1273" t="str">
            <v>4th</v>
          </cell>
          <cell r="T1273" t="str">
            <v>Yes</v>
          </cell>
        </row>
        <row r="1274">
          <cell r="B1274" t="str">
            <v>Southern_Leyte</v>
          </cell>
          <cell r="J1274" t="str">
            <v>Sogod</v>
          </cell>
          <cell r="K1274" t="str">
            <v>Municipality</v>
          </cell>
          <cell r="M1274" t="str">
            <v>2nd</v>
          </cell>
          <cell r="T1274" t="str">
            <v>Yes</v>
          </cell>
        </row>
        <row r="1275">
          <cell r="B1275" t="str">
            <v>Southern_Leyte</v>
          </cell>
          <cell r="J1275" t="str">
            <v>Tomas Oppus</v>
          </cell>
          <cell r="K1275" t="str">
            <v>Municipality</v>
          </cell>
          <cell r="M1275" t="str">
            <v>5th</v>
          </cell>
          <cell r="T1275" t="str">
            <v>Yes</v>
          </cell>
        </row>
        <row r="1276">
          <cell r="B1276" t="str">
            <v>Western_Samar</v>
          </cell>
          <cell r="J1276" t="str">
            <v>Almagro</v>
          </cell>
          <cell r="K1276" t="str">
            <v>Municipality</v>
          </cell>
          <cell r="M1276" t="str">
            <v>5th</v>
          </cell>
          <cell r="T1276" t="str">
            <v>No</v>
          </cell>
        </row>
        <row r="1277">
          <cell r="B1277" t="str">
            <v>Western_Samar</v>
          </cell>
          <cell r="J1277" t="str">
            <v>Basey</v>
          </cell>
          <cell r="K1277" t="str">
            <v>Municipality</v>
          </cell>
          <cell r="M1277" t="str">
            <v>1st</v>
          </cell>
          <cell r="T1277" t="str">
            <v>No</v>
          </cell>
        </row>
        <row r="1278">
          <cell r="B1278" t="str">
            <v>Western_Samar</v>
          </cell>
          <cell r="J1278" t="str">
            <v>Calbayog City</v>
          </cell>
          <cell r="K1278" t="str">
            <v>City</v>
          </cell>
          <cell r="M1278" t="str">
            <v>1st</v>
          </cell>
          <cell r="T1278" t="str">
            <v>No</v>
          </cell>
        </row>
        <row r="1279">
          <cell r="B1279" t="str">
            <v>Western_Samar</v>
          </cell>
          <cell r="J1279" t="str">
            <v>Calbiga</v>
          </cell>
          <cell r="K1279" t="str">
            <v>Municipality</v>
          </cell>
          <cell r="M1279" t="str">
            <v>4th</v>
          </cell>
          <cell r="T1279" t="str">
            <v>No</v>
          </cell>
        </row>
        <row r="1280">
          <cell r="B1280" t="str">
            <v>Western_Samar</v>
          </cell>
          <cell r="J1280" t="str">
            <v>City Of Catbalogan (Capital)</v>
          </cell>
          <cell r="K1280" t="str">
            <v>City</v>
          </cell>
          <cell r="M1280" t="str">
            <v>5th</v>
          </cell>
          <cell r="T1280" t="str">
            <v>No</v>
          </cell>
        </row>
        <row r="1281">
          <cell r="B1281" t="str">
            <v>Western_Samar</v>
          </cell>
          <cell r="J1281" t="str">
            <v>Daram</v>
          </cell>
          <cell r="K1281" t="str">
            <v>Municipality</v>
          </cell>
          <cell r="M1281" t="str">
            <v>3rd</v>
          </cell>
          <cell r="T1281" t="str">
            <v>No</v>
          </cell>
        </row>
        <row r="1282">
          <cell r="B1282" t="str">
            <v>Western_Samar</v>
          </cell>
          <cell r="J1282" t="str">
            <v>Gandara</v>
          </cell>
          <cell r="K1282" t="str">
            <v>Municipality</v>
          </cell>
          <cell r="M1282" t="str">
            <v>2nd</v>
          </cell>
          <cell r="T1282" t="str">
            <v>No</v>
          </cell>
        </row>
        <row r="1283">
          <cell r="B1283" t="str">
            <v>Western_Samar</v>
          </cell>
          <cell r="J1283" t="str">
            <v>Hinabangan</v>
          </cell>
          <cell r="K1283" t="str">
            <v>Municipality</v>
          </cell>
          <cell r="M1283" t="str">
            <v>4th</v>
          </cell>
          <cell r="T1283" t="str">
            <v>No</v>
          </cell>
        </row>
        <row r="1284">
          <cell r="B1284" t="str">
            <v>Western_Samar</v>
          </cell>
          <cell r="J1284" t="str">
            <v>Jiabong</v>
          </cell>
          <cell r="K1284" t="str">
            <v>Municipality</v>
          </cell>
          <cell r="M1284" t="str">
            <v>5th</v>
          </cell>
          <cell r="T1284" t="str">
            <v>No</v>
          </cell>
        </row>
        <row r="1285">
          <cell r="B1285" t="str">
            <v>Western_Samar</v>
          </cell>
          <cell r="J1285" t="str">
            <v>Marabut</v>
          </cell>
          <cell r="K1285" t="str">
            <v>Municipality</v>
          </cell>
          <cell r="M1285" t="str">
            <v>5th</v>
          </cell>
          <cell r="T1285" t="str">
            <v>No</v>
          </cell>
        </row>
        <row r="1286">
          <cell r="B1286" t="str">
            <v>Western_Samar</v>
          </cell>
          <cell r="J1286" t="str">
            <v>Matuguinao</v>
          </cell>
          <cell r="K1286" t="str">
            <v>Municipality</v>
          </cell>
          <cell r="M1286" t="str">
            <v>5th</v>
          </cell>
          <cell r="T1286" t="str">
            <v>No</v>
          </cell>
        </row>
        <row r="1287">
          <cell r="B1287" t="str">
            <v>Western_Samar</v>
          </cell>
          <cell r="J1287" t="str">
            <v>Motiong</v>
          </cell>
          <cell r="K1287" t="str">
            <v>Municipality</v>
          </cell>
          <cell r="M1287" t="str">
            <v>4th</v>
          </cell>
          <cell r="T1287" t="str">
            <v>No</v>
          </cell>
        </row>
        <row r="1288">
          <cell r="B1288" t="str">
            <v>Western_Samar</v>
          </cell>
          <cell r="J1288" t="str">
            <v>Pagsanghan</v>
          </cell>
          <cell r="K1288" t="str">
            <v>Municipality</v>
          </cell>
          <cell r="M1288" t="str">
            <v>5th</v>
          </cell>
          <cell r="T1288" t="str">
            <v>No</v>
          </cell>
        </row>
        <row r="1289">
          <cell r="B1289" t="str">
            <v>Western_Samar</v>
          </cell>
          <cell r="J1289" t="str">
            <v>Paranas (Wright)</v>
          </cell>
          <cell r="K1289" t="str">
            <v>Municipality</v>
          </cell>
          <cell r="M1289" t="str">
            <v>2nd</v>
          </cell>
          <cell r="T1289" t="str">
            <v>No</v>
          </cell>
        </row>
        <row r="1290">
          <cell r="B1290" t="str">
            <v>Western_Samar</v>
          </cell>
          <cell r="J1290" t="str">
            <v>Pinabacdao</v>
          </cell>
          <cell r="K1290" t="str">
            <v>Municipality</v>
          </cell>
          <cell r="M1290" t="str">
            <v>4th</v>
          </cell>
          <cell r="T1290" t="str">
            <v>No</v>
          </cell>
        </row>
        <row r="1291">
          <cell r="B1291" t="str">
            <v>Western_Samar</v>
          </cell>
          <cell r="J1291" t="str">
            <v>San Jorge</v>
          </cell>
          <cell r="K1291" t="str">
            <v>Municipality</v>
          </cell>
          <cell r="M1291" t="str">
            <v>4th</v>
          </cell>
          <cell r="T1291" t="str">
            <v>No</v>
          </cell>
        </row>
        <row r="1292">
          <cell r="B1292" t="str">
            <v>Western_Samar</v>
          </cell>
          <cell r="J1292" t="str">
            <v>San Jose De Buan</v>
          </cell>
          <cell r="K1292" t="str">
            <v>Municipality</v>
          </cell>
          <cell r="M1292" t="str">
            <v>4th</v>
          </cell>
          <cell r="T1292" t="str">
            <v>No</v>
          </cell>
        </row>
        <row r="1293">
          <cell r="B1293" t="str">
            <v>Western_Samar</v>
          </cell>
          <cell r="J1293" t="str">
            <v>San Sebastian</v>
          </cell>
          <cell r="K1293" t="str">
            <v>Municipality</v>
          </cell>
          <cell r="M1293" t="str">
            <v>6th</v>
          </cell>
          <cell r="T1293" t="str">
            <v>No</v>
          </cell>
        </row>
        <row r="1294">
          <cell r="B1294" t="str">
            <v>Western_Samar</v>
          </cell>
          <cell r="J1294" t="str">
            <v>Santa Margarita</v>
          </cell>
          <cell r="K1294" t="str">
            <v>Municipality</v>
          </cell>
          <cell r="M1294" t="str">
            <v>4th</v>
          </cell>
          <cell r="T1294" t="str">
            <v>No</v>
          </cell>
        </row>
        <row r="1295">
          <cell r="B1295" t="str">
            <v>Western_Samar</v>
          </cell>
          <cell r="J1295" t="str">
            <v>Santa Rita</v>
          </cell>
          <cell r="K1295" t="str">
            <v>Municipality</v>
          </cell>
          <cell r="M1295" t="str">
            <v>3rd</v>
          </cell>
          <cell r="T1295" t="str">
            <v>No</v>
          </cell>
        </row>
        <row r="1296">
          <cell r="B1296" t="str">
            <v>Western_Samar</v>
          </cell>
          <cell r="J1296" t="str">
            <v>Santo Niño</v>
          </cell>
          <cell r="K1296" t="str">
            <v>Municipality</v>
          </cell>
          <cell r="M1296" t="str">
            <v>5th</v>
          </cell>
          <cell r="T1296" t="str">
            <v>No</v>
          </cell>
        </row>
        <row r="1297">
          <cell r="B1297" t="str">
            <v>Western_Samar</v>
          </cell>
          <cell r="J1297" t="str">
            <v>Tagapul-An</v>
          </cell>
          <cell r="K1297" t="str">
            <v>Municipality</v>
          </cell>
          <cell r="M1297" t="str">
            <v>5th</v>
          </cell>
          <cell r="T1297" t="str">
            <v>No</v>
          </cell>
        </row>
        <row r="1298">
          <cell r="B1298" t="str">
            <v>Western_Samar</v>
          </cell>
          <cell r="J1298" t="str">
            <v>Talalora</v>
          </cell>
          <cell r="K1298" t="str">
            <v>Municipality</v>
          </cell>
          <cell r="M1298" t="str">
            <v>6th</v>
          </cell>
          <cell r="T1298" t="str">
            <v>No</v>
          </cell>
        </row>
        <row r="1299">
          <cell r="B1299" t="str">
            <v>Western_Samar</v>
          </cell>
          <cell r="J1299" t="str">
            <v>Tarangnan</v>
          </cell>
          <cell r="K1299" t="str">
            <v>Municipality</v>
          </cell>
          <cell r="M1299" t="str">
            <v>4th</v>
          </cell>
          <cell r="T1299" t="str">
            <v>No</v>
          </cell>
        </row>
        <row r="1300">
          <cell r="B1300" t="str">
            <v>Western_Samar</v>
          </cell>
          <cell r="J1300" t="str">
            <v>Villareal</v>
          </cell>
          <cell r="K1300" t="str">
            <v>Municipality</v>
          </cell>
          <cell r="M1300" t="str">
            <v>4th</v>
          </cell>
          <cell r="T1300" t="str">
            <v>No</v>
          </cell>
        </row>
        <row r="1301">
          <cell r="B1301" t="str">
            <v>Western_Samar</v>
          </cell>
          <cell r="J1301" t="str">
            <v>Zumarraga</v>
          </cell>
          <cell r="K1301" t="str">
            <v>Municipality</v>
          </cell>
          <cell r="M1301" t="str">
            <v>5th</v>
          </cell>
          <cell r="T1301" t="str">
            <v>No</v>
          </cell>
        </row>
        <row r="1302">
          <cell r="B1302" t="str">
            <v>Basilan</v>
          </cell>
          <cell r="J1302" t="str">
            <v>City of Isabela</v>
          </cell>
          <cell r="K1302" t="str">
            <v>City</v>
          </cell>
          <cell r="M1302" t="str">
            <v>4th</v>
          </cell>
          <cell r="T1302" t="str">
            <v>Yes</v>
          </cell>
        </row>
        <row r="1303">
          <cell r="B1303" t="str">
            <v>Zamboanga_del_Norte</v>
          </cell>
          <cell r="J1303" t="str">
            <v>Bacungan (Leon T.  Postigo)</v>
          </cell>
          <cell r="K1303" t="str">
            <v>Municipality</v>
          </cell>
          <cell r="M1303" t="str">
            <v>4th</v>
          </cell>
          <cell r="T1303" t="str">
            <v>No</v>
          </cell>
        </row>
        <row r="1304">
          <cell r="B1304" t="str">
            <v>Zamboanga_del_Norte</v>
          </cell>
          <cell r="J1304" t="str">
            <v>Baliguian</v>
          </cell>
          <cell r="K1304" t="str">
            <v>Municipality</v>
          </cell>
          <cell r="M1304" t="str">
            <v>3rd</v>
          </cell>
          <cell r="T1304" t="str">
            <v>No</v>
          </cell>
        </row>
        <row r="1305">
          <cell r="B1305" t="str">
            <v>Zamboanga_del_Norte</v>
          </cell>
          <cell r="J1305" t="str">
            <v>Dapitan City</v>
          </cell>
          <cell r="K1305" t="str">
            <v>City</v>
          </cell>
          <cell r="M1305" t="str">
            <v>3rd</v>
          </cell>
          <cell r="T1305" t="str">
            <v>No</v>
          </cell>
        </row>
        <row r="1306">
          <cell r="B1306" t="str">
            <v>Zamboanga_del_Norte</v>
          </cell>
          <cell r="J1306" t="str">
            <v>Dipolog City (Capital)</v>
          </cell>
          <cell r="K1306" t="str">
            <v>City</v>
          </cell>
          <cell r="M1306" t="str">
            <v>3rd</v>
          </cell>
          <cell r="T1306" t="str">
            <v>No</v>
          </cell>
        </row>
        <row r="1307">
          <cell r="B1307" t="str">
            <v>Zamboanga_del_Norte</v>
          </cell>
          <cell r="J1307" t="str">
            <v>Godod</v>
          </cell>
          <cell r="K1307" t="str">
            <v>Municipality</v>
          </cell>
          <cell r="M1307" t="str">
            <v>4th</v>
          </cell>
          <cell r="T1307" t="str">
            <v>No</v>
          </cell>
        </row>
        <row r="1308">
          <cell r="B1308" t="str">
            <v>Zamboanga_del_Norte</v>
          </cell>
          <cell r="J1308" t="str">
            <v>Gutalac</v>
          </cell>
          <cell r="K1308" t="str">
            <v>Municipality</v>
          </cell>
          <cell r="M1308" t="str">
            <v>2nd</v>
          </cell>
          <cell r="T1308" t="str">
            <v>No</v>
          </cell>
        </row>
        <row r="1309">
          <cell r="B1309" t="str">
            <v>Zamboanga_del_Norte</v>
          </cell>
          <cell r="J1309" t="str">
            <v>Jose Dalman (Ponot)</v>
          </cell>
          <cell r="K1309" t="str">
            <v>Municipality</v>
          </cell>
          <cell r="M1309" t="str">
            <v>5th</v>
          </cell>
          <cell r="T1309" t="str">
            <v>No</v>
          </cell>
        </row>
        <row r="1310">
          <cell r="B1310" t="str">
            <v>Zamboanga_del_Norte</v>
          </cell>
          <cell r="J1310" t="str">
            <v>Kalawit</v>
          </cell>
          <cell r="K1310" t="str">
            <v>Municipality</v>
          </cell>
          <cell r="M1310" t="str">
            <v>4th</v>
          </cell>
          <cell r="T1310" t="str">
            <v>No</v>
          </cell>
        </row>
        <row r="1311">
          <cell r="B1311" t="str">
            <v>Zamboanga_del_Norte</v>
          </cell>
          <cell r="J1311" t="str">
            <v>Katipunan</v>
          </cell>
          <cell r="K1311" t="str">
            <v>Municipality</v>
          </cell>
          <cell r="M1311" t="str">
            <v>2nd</v>
          </cell>
          <cell r="T1311" t="str">
            <v>No</v>
          </cell>
        </row>
        <row r="1312">
          <cell r="B1312" t="str">
            <v>Zamboanga_del_Norte</v>
          </cell>
          <cell r="J1312" t="str">
            <v>La Libertad</v>
          </cell>
          <cell r="K1312" t="str">
            <v>Municipality</v>
          </cell>
          <cell r="M1312" t="str">
            <v>5th</v>
          </cell>
          <cell r="T1312" t="str">
            <v>No</v>
          </cell>
        </row>
        <row r="1313">
          <cell r="B1313" t="str">
            <v>Zamboanga_del_Norte</v>
          </cell>
          <cell r="J1313" t="str">
            <v>Labason</v>
          </cell>
          <cell r="K1313" t="str">
            <v>Municipality</v>
          </cell>
          <cell r="M1313" t="str">
            <v>3rd</v>
          </cell>
          <cell r="T1313" t="str">
            <v>No</v>
          </cell>
        </row>
        <row r="1314">
          <cell r="B1314" t="str">
            <v>Zamboanga_del_Norte</v>
          </cell>
          <cell r="J1314" t="str">
            <v>Liloy</v>
          </cell>
          <cell r="K1314" t="str">
            <v>Municipality</v>
          </cell>
          <cell r="M1314" t="str">
            <v>3rd</v>
          </cell>
          <cell r="T1314" t="str">
            <v>No</v>
          </cell>
        </row>
        <row r="1315">
          <cell r="B1315" t="str">
            <v>Zamboanga_del_Norte</v>
          </cell>
          <cell r="J1315" t="str">
            <v>Manukan</v>
          </cell>
          <cell r="K1315" t="str">
            <v>Municipality</v>
          </cell>
          <cell r="M1315" t="str">
            <v>3rd</v>
          </cell>
          <cell r="T1315" t="str">
            <v>No</v>
          </cell>
        </row>
        <row r="1316">
          <cell r="B1316" t="str">
            <v>Zamboanga_del_Norte</v>
          </cell>
          <cell r="J1316" t="str">
            <v>Mutia</v>
          </cell>
          <cell r="K1316" t="str">
            <v>Municipality</v>
          </cell>
          <cell r="M1316" t="str">
            <v>5th</v>
          </cell>
          <cell r="T1316" t="str">
            <v>No</v>
          </cell>
        </row>
        <row r="1317">
          <cell r="B1317" t="str">
            <v>Zamboanga_del_Norte</v>
          </cell>
          <cell r="J1317" t="str">
            <v>Piñan (New Piñan)</v>
          </cell>
          <cell r="K1317" t="str">
            <v>Municipality</v>
          </cell>
          <cell r="M1317" t="str">
            <v>4th</v>
          </cell>
          <cell r="T1317" t="str">
            <v>No</v>
          </cell>
        </row>
        <row r="1318">
          <cell r="B1318" t="str">
            <v>Zamboanga_del_Norte</v>
          </cell>
          <cell r="J1318" t="str">
            <v>Polanco</v>
          </cell>
          <cell r="K1318" t="str">
            <v>Municipality</v>
          </cell>
          <cell r="M1318" t="str">
            <v>3rd</v>
          </cell>
          <cell r="T1318" t="str">
            <v>No</v>
          </cell>
        </row>
        <row r="1319">
          <cell r="B1319" t="str">
            <v>Zamboanga_del_Norte</v>
          </cell>
          <cell r="J1319" t="str">
            <v>Pres.  Manuel A. Roxas</v>
          </cell>
          <cell r="K1319" t="str">
            <v>Municipality</v>
          </cell>
          <cell r="M1319" t="str">
            <v>5th</v>
          </cell>
          <cell r="T1319" t="str">
            <v>No</v>
          </cell>
        </row>
        <row r="1320">
          <cell r="B1320" t="str">
            <v>Zamboanga_del_Norte</v>
          </cell>
          <cell r="J1320" t="str">
            <v>Rizal</v>
          </cell>
          <cell r="K1320" t="str">
            <v>Municipality</v>
          </cell>
          <cell r="M1320" t="str">
            <v>5th</v>
          </cell>
          <cell r="T1320" t="str">
            <v>No</v>
          </cell>
        </row>
        <row r="1321">
          <cell r="B1321" t="str">
            <v>Zamboanga_del_Norte</v>
          </cell>
          <cell r="J1321" t="str">
            <v>Salug</v>
          </cell>
          <cell r="K1321" t="str">
            <v>Municipality</v>
          </cell>
          <cell r="M1321" t="str">
            <v>3rd</v>
          </cell>
          <cell r="T1321" t="str">
            <v>No</v>
          </cell>
        </row>
        <row r="1322">
          <cell r="B1322" t="str">
            <v>Zamboanga_del_Norte</v>
          </cell>
          <cell r="J1322" t="str">
            <v>Sergio Osmeña Sr</v>
          </cell>
          <cell r="K1322" t="str">
            <v>Municipality</v>
          </cell>
          <cell r="M1322" t="str">
            <v>2nd</v>
          </cell>
          <cell r="T1322" t="str">
            <v>No</v>
          </cell>
        </row>
        <row r="1323">
          <cell r="B1323" t="str">
            <v>Zamboanga_del_Norte</v>
          </cell>
          <cell r="J1323" t="str">
            <v>Siayan</v>
          </cell>
          <cell r="K1323" t="str">
            <v>Municipality</v>
          </cell>
          <cell r="M1323" t="str">
            <v>2nd</v>
          </cell>
          <cell r="T1323" t="str">
            <v>No</v>
          </cell>
        </row>
        <row r="1324">
          <cell r="B1324" t="str">
            <v>Zamboanga_del_Norte</v>
          </cell>
          <cell r="J1324" t="str">
            <v>Sibuco</v>
          </cell>
          <cell r="K1324" t="str">
            <v>Municipality</v>
          </cell>
          <cell r="M1324" t="str">
            <v>1st</v>
          </cell>
          <cell r="T1324" t="str">
            <v>No</v>
          </cell>
        </row>
        <row r="1325">
          <cell r="B1325" t="str">
            <v>Zamboanga_del_Norte</v>
          </cell>
          <cell r="J1325" t="str">
            <v>Sibutad</v>
          </cell>
          <cell r="K1325" t="str">
            <v>Municipality</v>
          </cell>
          <cell r="M1325" t="str">
            <v>5th</v>
          </cell>
          <cell r="T1325" t="str">
            <v>No</v>
          </cell>
        </row>
        <row r="1326">
          <cell r="B1326" t="str">
            <v>Zamboanga_del_Norte</v>
          </cell>
          <cell r="J1326" t="str">
            <v>Sindangan</v>
          </cell>
          <cell r="K1326" t="str">
            <v>Municipality</v>
          </cell>
          <cell r="M1326" t="str">
            <v>1st</v>
          </cell>
          <cell r="T1326" t="str">
            <v>No</v>
          </cell>
        </row>
        <row r="1327">
          <cell r="B1327" t="str">
            <v>Zamboanga_del_Norte</v>
          </cell>
          <cell r="J1327" t="str">
            <v>Siocon</v>
          </cell>
          <cell r="K1327" t="str">
            <v>Municipality</v>
          </cell>
          <cell r="M1327" t="str">
            <v>1st</v>
          </cell>
          <cell r="T1327" t="str">
            <v>No</v>
          </cell>
        </row>
        <row r="1328">
          <cell r="B1328" t="str">
            <v>Zamboanga_del_Norte</v>
          </cell>
          <cell r="J1328" t="str">
            <v>Sirawai</v>
          </cell>
          <cell r="K1328" t="str">
            <v>Municipality</v>
          </cell>
          <cell r="M1328" t="str">
            <v>4th</v>
          </cell>
          <cell r="T1328" t="str">
            <v>No</v>
          </cell>
        </row>
        <row r="1329">
          <cell r="B1329" t="str">
            <v>Zamboanga_del_Norte</v>
          </cell>
          <cell r="J1329" t="str">
            <v>Tampilisan</v>
          </cell>
          <cell r="K1329" t="str">
            <v>Municipality</v>
          </cell>
          <cell r="M1329" t="str">
            <v>4th</v>
          </cell>
          <cell r="T1329" t="str">
            <v>No</v>
          </cell>
        </row>
        <row r="1330">
          <cell r="B1330" t="str">
            <v>Zamboanga_del_Sur</v>
          </cell>
          <cell r="J1330" t="str">
            <v>Aurora</v>
          </cell>
          <cell r="K1330" t="str">
            <v>Municipality</v>
          </cell>
          <cell r="M1330" t="str">
            <v>2nd</v>
          </cell>
          <cell r="T1330" t="str">
            <v>Yes</v>
          </cell>
        </row>
        <row r="1331">
          <cell r="B1331" t="str">
            <v>Zamboanga_del_Sur</v>
          </cell>
          <cell r="J1331" t="str">
            <v>Bayog</v>
          </cell>
          <cell r="K1331" t="str">
            <v>Municipality</v>
          </cell>
          <cell r="M1331" t="str">
            <v>3rd</v>
          </cell>
          <cell r="T1331" t="str">
            <v>Yes</v>
          </cell>
        </row>
        <row r="1332">
          <cell r="B1332" t="str">
            <v>Zamboanga_del_Sur</v>
          </cell>
          <cell r="J1332" t="str">
            <v>Dimataling</v>
          </cell>
          <cell r="K1332" t="str">
            <v>Municipality</v>
          </cell>
          <cell r="M1332" t="str">
            <v>4th</v>
          </cell>
          <cell r="T1332" t="str">
            <v>Yes</v>
          </cell>
        </row>
        <row r="1333">
          <cell r="B1333" t="str">
            <v>Zamboanga_del_Sur</v>
          </cell>
          <cell r="J1333" t="str">
            <v>Dinas</v>
          </cell>
          <cell r="K1333" t="str">
            <v>Municipality</v>
          </cell>
          <cell r="M1333" t="str">
            <v>4th</v>
          </cell>
          <cell r="T1333" t="str">
            <v>Yes</v>
          </cell>
        </row>
        <row r="1334">
          <cell r="B1334" t="str">
            <v>Zamboanga_del_Sur</v>
          </cell>
          <cell r="J1334" t="str">
            <v>Dumalinao</v>
          </cell>
          <cell r="K1334" t="str">
            <v>Municipality</v>
          </cell>
          <cell r="M1334" t="str">
            <v>4th</v>
          </cell>
          <cell r="T1334" t="str">
            <v>Yes</v>
          </cell>
        </row>
        <row r="1335">
          <cell r="B1335" t="str">
            <v>Zamboanga_del_Sur</v>
          </cell>
          <cell r="J1335" t="str">
            <v>Dumingag</v>
          </cell>
          <cell r="K1335" t="str">
            <v>Municipality</v>
          </cell>
          <cell r="M1335" t="str">
            <v>2nd</v>
          </cell>
          <cell r="T1335" t="str">
            <v>Yes</v>
          </cell>
        </row>
        <row r="1336">
          <cell r="B1336" t="str">
            <v>Zamboanga_del_Sur</v>
          </cell>
          <cell r="J1336" t="str">
            <v>Guipos</v>
          </cell>
          <cell r="K1336" t="str">
            <v>Municipality</v>
          </cell>
          <cell r="M1336" t="str">
            <v>4th</v>
          </cell>
          <cell r="T1336" t="str">
            <v>Yes</v>
          </cell>
        </row>
        <row r="1337">
          <cell r="B1337" t="str">
            <v>Zamboanga_del_Sur</v>
          </cell>
          <cell r="J1337" t="str">
            <v>Josefina</v>
          </cell>
          <cell r="K1337" t="str">
            <v>Municipality</v>
          </cell>
          <cell r="M1337" t="str">
            <v>5th</v>
          </cell>
          <cell r="T1337" t="str">
            <v>Yes</v>
          </cell>
        </row>
        <row r="1338">
          <cell r="B1338" t="str">
            <v>Zamboanga_del_Sur</v>
          </cell>
          <cell r="J1338" t="str">
            <v>Kumalarang</v>
          </cell>
          <cell r="K1338" t="str">
            <v>Municipality</v>
          </cell>
          <cell r="M1338" t="str">
            <v>4th</v>
          </cell>
          <cell r="T1338" t="str">
            <v>Yes</v>
          </cell>
        </row>
        <row r="1339">
          <cell r="B1339" t="str">
            <v>Zamboanga_del_Sur</v>
          </cell>
          <cell r="J1339" t="str">
            <v>Labangan</v>
          </cell>
          <cell r="K1339" t="str">
            <v>Municipality</v>
          </cell>
          <cell r="M1339" t="str">
            <v>3rd</v>
          </cell>
          <cell r="T1339" t="str">
            <v>Yes</v>
          </cell>
        </row>
        <row r="1340">
          <cell r="B1340" t="str">
            <v>Zamboanga_del_Sur</v>
          </cell>
          <cell r="J1340" t="str">
            <v>Lakewood</v>
          </cell>
          <cell r="K1340" t="str">
            <v>Municipality</v>
          </cell>
          <cell r="M1340" t="str">
            <v>4th</v>
          </cell>
          <cell r="T1340" t="str">
            <v>Yes</v>
          </cell>
        </row>
        <row r="1341">
          <cell r="B1341" t="str">
            <v>Zamboanga_del_Sur</v>
          </cell>
          <cell r="J1341" t="str">
            <v>Lapuyan</v>
          </cell>
          <cell r="K1341" t="str">
            <v>Municipality</v>
          </cell>
          <cell r="M1341" t="str">
            <v>3rd</v>
          </cell>
          <cell r="T1341" t="str">
            <v>Yes</v>
          </cell>
        </row>
        <row r="1342">
          <cell r="B1342" t="str">
            <v>Zamboanga_del_Sur</v>
          </cell>
          <cell r="J1342" t="str">
            <v>Mahayag</v>
          </cell>
          <cell r="K1342" t="str">
            <v>Municipality</v>
          </cell>
          <cell r="M1342" t="str">
            <v>3rd</v>
          </cell>
          <cell r="T1342" t="str">
            <v>Yes</v>
          </cell>
        </row>
        <row r="1343">
          <cell r="B1343" t="str">
            <v>Zamboanga_del_Sur</v>
          </cell>
          <cell r="J1343" t="str">
            <v>Margosatubig</v>
          </cell>
          <cell r="K1343" t="str">
            <v>Municipality</v>
          </cell>
          <cell r="M1343" t="str">
            <v>3rd</v>
          </cell>
          <cell r="T1343" t="str">
            <v>Yes</v>
          </cell>
        </row>
        <row r="1344">
          <cell r="B1344" t="str">
            <v>Zamboanga_del_Sur</v>
          </cell>
          <cell r="J1344" t="str">
            <v>Midsalip</v>
          </cell>
          <cell r="K1344" t="str">
            <v>Municipality</v>
          </cell>
          <cell r="M1344" t="str">
            <v>4th</v>
          </cell>
          <cell r="T1344" t="str">
            <v>Yes</v>
          </cell>
        </row>
        <row r="1345">
          <cell r="B1345" t="str">
            <v>Zamboanga_del_Sur</v>
          </cell>
          <cell r="J1345" t="str">
            <v>Molave</v>
          </cell>
          <cell r="K1345" t="str">
            <v>Municipality</v>
          </cell>
          <cell r="M1345" t="str">
            <v>1st</v>
          </cell>
          <cell r="T1345" t="str">
            <v>Yes</v>
          </cell>
        </row>
        <row r="1346">
          <cell r="B1346" t="str">
            <v>Zamboanga_del_Sur</v>
          </cell>
          <cell r="J1346" t="str">
            <v>Pagadian City (Capital)</v>
          </cell>
          <cell r="K1346" t="str">
            <v>City</v>
          </cell>
          <cell r="M1346" t="str">
            <v>2nd</v>
          </cell>
          <cell r="T1346" t="str">
            <v>Yes</v>
          </cell>
        </row>
        <row r="1347">
          <cell r="B1347" t="str">
            <v>Zamboanga_del_Sur</v>
          </cell>
          <cell r="J1347" t="str">
            <v>Pitogo</v>
          </cell>
          <cell r="K1347" t="str">
            <v>Municipality</v>
          </cell>
          <cell r="M1347" t="str">
            <v>4th</v>
          </cell>
          <cell r="T1347" t="str">
            <v>Yes</v>
          </cell>
        </row>
        <row r="1348">
          <cell r="B1348" t="str">
            <v>Zamboanga_del_Sur</v>
          </cell>
          <cell r="J1348" t="str">
            <v>Ramon Magsaysay (Liargo)</v>
          </cell>
          <cell r="K1348" t="str">
            <v>Municipality</v>
          </cell>
          <cell r="M1348" t="str">
            <v>4th</v>
          </cell>
          <cell r="T1348" t="str">
            <v>Yes</v>
          </cell>
        </row>
        <row r="1349">
          <cell r="B1349" t="str">
            <v>Zamboanga_del_Sur</v>
          </cell>
          <cell r="J1349" t="str">
            <v>San Miguel</v>
          </cell>
          <cell r="K1349" t="str">
            <v>Municipality</v>
          </cell>
          <cell r="M1349" t="str">
            <v>4th</v>
          </cell>
          <cell r="T1349" t="str">
            <v>Yes</v>
          </cell>
        </row>
        <row r="1350">
          <cell r="B1350" t="str">
            <v>Zamboanga_del_Sur</v>
          </cell>
          <cell r="J1350" t="str">
            <v>San Pablo</v>
          </cell>
          <cell r="K1350" t="str">
            <v>Municipality</v>
          </cell>
          <cell r="M1350" t="str">
            <v>4th</v>
          </cell>
          <cell r="T1350" t="str">
            <v>Yes</v>
          </cell>
        </row>
        <row r="1351">
          <cell r="B1351" t="str">
            <v>Zamboanga_del_Sur</v>
          </cell>
          <cell r="J1351" t="str">
            <v>Sominot (Don Mariano Marcos)</v>
          </cell>
          <cell r="K1351" t="str">
            <v>Municipality</v>
          </cell>
          <cell r="M1351" t="str">
            <v>5th</v>
          </cell>
          <cell r="T1351" t="str">
            <v>Yes</v>
          </cell>
        </row>
        <row r="1352">
          <cell r="B1352" t="str">
            <v>Zamboanga_del_Sur</v>
          </cell>
          <cell r="J1352" t="str">
            <v>Tabina</v>
          </cell>
          <cell r="K1352" t="str">
            <v>Municipality</v>
          </cell>
          <cell r="M1352" t="str">
            <v>4th</v>
          </cell>
          <cell r="T1352" t="str">
            <v>Yes</v>
          </cell>
        </row>
        <row r="1353">
          <cell r="B1353" t="str">
            <v>Zamboanga_del_Sur</v>
          </cell>
          <cell r="J1353" t="str">
            <v>Tambulig</v>
          </cell>
          <cell r="K1353" t="str">
            <v>Municipality</v>
          </cell>
          <cell r="M1353" t="str">
            <v>4th</v>
          </cell>
          <cell r="T1353" t="str">
            <v>Yes</v>
          </cell>
        </row>
        <row r="1354">
          <cell r="B1354" t="str">
            <v>Zamboanga_del_Sur</v>
          </cell>
          <cell r="J1354" t="str">
            <v>Tigbao</v>
          </cell>
          <cell r="K1354" t="str">
            <v>Municipality</v>
          </cell>
          <cell r="M1354" t="str">
            <v>5th</v>
          </cell>
          <cell r="T1354" t="str">
            <v>Yes</v>
          </cell>
        </row>
        <row r="1355">
          <cell r="B1355" t="str">
            <v>Zamboanga_del_Sur</v>
          </cell>
          <cell r="J1355" t="str">
            <v>Tukuran</v>
          </cell>
          <cell r="K1355" t="str">
            <v>Municipality</v>
          </cell>
          <cell r="M1355" t="str">
            <v>4th</v>
          </cell>
          <cell r="T1355" t="str">
            <v>Yes</v>
          </cell>
        </row>
        <row r="1356">
          <cell r="B1356" t="str">
            <v>Zamboanga_del_Sur</v>
          </cell>
          <cell r="J1356" t="str">
            <v>Vincenzo A.  Sagun</v>
          </cell>
          <cell r="K1356" t="str">
            <v>Municipality</v>
          </cell>
          <cell r="M1356" t="str">
            <v>5th</v>
          </cell>
          <cell r="T1356" t="str">
            <v>Yes</v>
          </cell>
        </row>
        <row r="1357">
          <cell r="B1357" t="str">
            <v>Zamboanga_del_Sur</v>
          </cell>
          <cell r="J1357" t="str">
            <v>Zamboanga City</v>
          </cell>
          <cell r="K1357" t="str">
            <v>City</v>
          </cell>
          <cell r="M1357" t="str">
            <v>1st</v>
          </cell>
          <cell r="T1357" t="str">
            <v>Yes</v>
          </cell>
        </row>
        <row r="1358">
          <cell r="B1358" t="str">
            <v>Zamboanga_Sibugay</v>
          </cell>
          <cell r="J1358" t="str">
            <v>Alicia</v>
          </cell>
          <cell r="K1358" t="str">
            <v>Municipality</v>
          </cell>
          <cell r="M1358" t="str">
            <v>3rd</v>
          </cell>
          <cell r="T1358" t="str">
            <v>No</v>
          </cell>
        </row>
        <row r="1359">
          <cell r="B1359" t="str">
            <v>Zamboanga_Sibugay</v>
          </cell>
          <cell r="J1359" t="str">
            <v>Buug</v>
          </cell>
          <cell r="K1359" t="str">
            <v>Municipality</v>
          </cell>
          <cell r="M1359" t="str">
            <v>3rd</v>
          </cell>
          <cell r="T1359" t="str">
            <v>No</v>
          </cell>
        </row>
        <row r="1360">
          <cell r="B1360" t="str">
            <v>Zamboanga_Sibugay</v>
          </cell>
          <cell r="J1360" t="str">
            <v>Diplahan</v>
          </cell>
          <cell r="K1360" t="str">
            <v>Municipality</v>
          </cell>
          <cell r="M1360" t="str">
            <v>3rd</v>
          </cell>
          <cell r="T1360" t="str">
            <v>No</v>
          </cell>
        </row>
        <row r="1361">
          <cell r="B1361" t="str">
            <v>Zamboanga_Sibugay</v>
          </cell>
          <cell r="J1361" t="str">
            <v>Imelda</v>
          </cell>
          <cell r="K1361" t="str">
            <v>Municipality</v>
          </cell>
          <cell r="M1361" t="str">
            <v>4th</v>
          </cell>
          <cell r="T1361" t="str">
            <v>No</v>
          </cell>
        </row>
        <row r="1362">
          <cell r="B1362" t="str">
            <v>Zamboanga_Sibugay</v>
          </cell>
          <cell r="J1362" t="str">
            <v>Ipil (Capital)</v>
          </cell>
          <cell r="K1362" t="str">
            <v>Municipality</v>
          </cell>
          <cell r="M1362" t="str">
            <v>1st</v>
          </cell>
          <cell r="T1362" t="str">
            <v>No</v>
          </cell>
        </row>
        <row r="1363">
          <cell r="B1363" t="str">
            <v>Zamboanga_Sibugay</v>
          </cell>
          <cell r="J1363" t="str">
            <v>Kabasalan</v>
          </cell>
          <cell r="K1363" t="str">
            <v>Municipality</v>
          </cell>
          <cell r="M1363" t="str">
            <v>2nd</v>
          </cell>
          <cell r="T1363" t="str">
            <v>No</v>
          </cell>
        </row>
        <row r="1364">
          <cell r="B1364" t="str">
            <v>Zamboanga_Sibugay</v>
          </cell>
          <cell r="J1364" t="str">
            <v>Mabuhay</v>
          </cell>
          <cell r="K1364" t="str">
            <v>Municipality</v>
          </cell>
          <cell r="M1364" t="str">
            <v>4th</v>
          </cell>
          <cell r="T1364" t="str">
            <v>No</v>
          </cell>
        </row>
        <row r="1365">
          <cell r="B1365" t="str">
            <v>Zamboanga_Sibugay</v>
          </cell>
          <cell r="J1365" t="str">
            <v>Malangas</v>
          </cell>
          <cell r="K1365" t="str">
            <v>Municipality</v>
          </cell>
          <cell r="M1365" t="str">
            <v>3rd</v>
          </cell>
          <cell r="T1365" t="str">
            <v>No</v>
          </cell>
        </row>
        <row r="1366">
          <cell r="B1366" t="str">
            <v>Zamboanga_Sibugay</v>
          </cell>
          <cell r="J1366" t="str">
            <v>Naga</v>
          </cell>
          <cell r="K1366" t="str">
            <v>Municipality</v>
          </cell>
          <cell r="M1366" t="str">
            <v>3rd</v>
          </cell>
          <cell r="T1366" t="str">
            <v>No</v>
          </cell>
        </row>
        <row r="1367">
          <cell r="B1367" t="str">
            <v>Zamboanga_Sibugay</v>
          </cell>
          <cell r="J1367" t="str">
            <v>Olutanga</v>
          </cell>
          <cell r="K1367" t="str">
            <v>Municipality</v>
          </cell>
          <cell r="M1367" t="str">
            <v>4th</v>
          </cell>
          <cell r="T1367" t="str">
            <v>No</v>
          </cell>
        </row>
        <row r="1368">
          <cell r="B1368" t="str">
            <v>Zamboanga_Sibugay</v>
          </cell>
          <cell r="J1368" t="str">
            <v>Payao</v>
          </cell>
          <cell r="K1368" t="str">
            <v>Municipality</v>
          </cell>
          <cell r="M1368" t="str">
            <v>3rd</v>
          </cell>
          <cell r="T1368" t="str">
            <v>No</v>
          </cell>
        </row>
        <row r="1369">
          <cell r="B1369" t="str">
            <v>Zamboanga_Sibugay</v>
          </cell>
          <cell r="J1369" t="str">
            <v>Roseller Lim</v>
          </cell>
          <cell r="K1369" t="str">
            <v>Municipality</v>
          </cell>
          <cell r="M1369" t="str">
            <v>3rd</v>
          </cell>
          <cell r="T1369" t="str">
            <v>No</v>
          </cell>
        </row>
        <row r="1370">
          <cell r="B1370" t="str">
            <v>Zamboanga_Sibugay</v>
          </cell>
          <cell r="J1370" t="str">
            <v>Siay</v>
          </cell>
          <cell r="K1370" t="str">
            <v>Municipality</v>
          </cell>
          <cell r="M1370" t="str">
            <v>2nd</v>
          </cell>
          <cell r="T1370" t="str">
            <v>No</v>
          </cell>
        </row>
        <row r="1371">
          <cell r="B1371" t="str">
            <v>Zamboanga_Sibugay</v>
          </cell>
          <cell r="J1371" t="str">
            <v>Talusan</v>
          </cell>
          <cell r="K1371" t="str">
            <v>Municipality</v>
          </cell>
          <cell r="M1371" t="str">
            <v>5th</v>
          </cell>
          <cell r="T1371" t="str">
            <v>No</v>
          </cell>
        </row>
        <row r="1372">
          <cell r="B1372" t="str">
            <v>Zamboanga_Sibugay</v>
          </cell>
          <cell r="J1372" t="str">
            <v>Titay</v>
          </cell>
          <cell r="K1372" t="str">
            <v>Municipality</v>
          </cell>
          <cell r="M1372" t="str">
            <v>2nd</v>
          </cell>
          <cell r="T1372" t="str">
            <v>No</v>
          </cell>
        </row>
        <row r="1373">
          <cell r="B1373" t="str">
            <v>Zamboanga_Sibugay</v>
          </cell>
          <cell r="J1373" t="str">
            <v>Tungawan</v>
          </cell>
          <cell r="K1373" t="str">
            <v>Municipality</v>
          </cell>
          <cell r="M1373" t="str">
            <v>2nd</v>
          </cell>
          <cell r="T1373" t="str">
            <v>No</v>
          </cell>
        </row>
        <row r="1374">
          <cell r="B1374" t="str">
            <v>Bukidnon</v>
          </cell>
          <cell r="J1374" t="str">
            <v>Baungon</v>
          </cell>
          <cell r="K1374" t="str">
            <v>Municipality</v>
          </cell>
          <cell r="M1374" t="str">
            <v>2nd</v>
          </cell>
          <cell r="T1374" t="str">
            <v>Yes</v>
          </cell>
        </row>
        <row r="1375">
          <cell r="B1375" t="str">
            <v>Bukidnon</v>
          </cell>
          <cell r="J1375" t="str">
            <v>Cabanglasan</v>
          </cell>
          <cell r="K1375" t="str">
            <v>Municipality</v>
          </cell>
          <cell r="M1375" t="str">
            <v>3rd</v>
          </cell>
          <cell r="T1375" t="str">
            <v>Yes</v>
          </cell>
        </row>
        <row r="1376">
          <cell r="B1376" t="str">
            <v>Bukidnon</v>
          </cell>
          <cell r="J1376" t="str">
            <v>City Of Malaybalay (Capital)</v>
          </cell>
          <cell r="K1376" t="str">
            <v>City</v>
          </cell>
          <cell r="M1376" t="str">
            <v>1st</v>
          </cell>
          <cell r="T1376" t="str">
            <v>Yes</v>
          </cell>
        </row>
        <row r="1377">
          <cell r="B1377" t="str">
            <v>Bukidnon</v>
          </cell>
          <cell r="J1377" t="str">
            <v>City Of Valencia</v>
          </cell>
          <cell r="K1377" t="str">
            <v>City</v>
          </cell>
          <cell r="M1377" t="str">
            <v>2nd</v>
          </cell>
          <cell r="T1377" t="str">
            <v>Yes</v>
          </cell>
        </row>
        <row r="1378">
          <cell r="B1378" t="str">
            <v>Bukidnon</v>
          </cell>
          <cell r="J1378" t="str">
            <v>Damulog</v>
          </cell>
          <cell r="K1378" t="str">
            <v>Municipality</v>
          </cell>
          <cell r="M1378" t="str">
            <v>4th</v>
          </cell>
          <cell r="T1378" t="str">
            <v>Yes</v>
          </cell>
        </row>
        <row r="1379">
          <cell r="B1379" t="str">
            <v>Bukidnon</v>
          </cell>
          <cell r="J1379" t="str">
            <v>Dangcagan</v>
          </cell>
          <cell r="K1379" t="str">
            <v>Municipality</v>
          </cell>
          <cell r="M1379" t="str">
            <v>3rd</v>
          </cell>
          <cell r="T1379" t="str">
            <v>Yes</v>
          </cell>
        </row>
        <row r="1380">
          <cell r="B1380" t="str">
            <v>Bukidnon</v>
          </cell>
          <cell r="J1380" t="str">
            <v>Don Carlos</v>
          </cell>
          <cell r="K1380" t="str">
            <v>Municipality</v>
          </cell>
          <cell r="M1380" t="str">
            <v>1st</v>
          </cell>
          <cell r="T1380" t="str">
            <v>Yes</v>
          </cell>
        </row>
        <row r="1381">
          <cell r="B1381" t="str">
            <v>Bukidnon</v>
          </cell>
          <cell r="J1381" t="str">
            <v>Impasug-Ong</v>
          </cell>
          <cell r="K1381" t="str">
            <v>Municipality</v>
          </cell>
          <cell r="M1381" t="str">
            <v>1st</v>
          </cell>
          <cell r="T1381" t="str">
            <v>Yes</v>
          </cell>
        </row>
        <row r="1382">
          <cell r="B1382" t="str">
            <v>Bukidnon</v>
          </cell>
          <cell r="J1382" t="str">
            <v>Kadingilan</v>
          </cell>
          <cell r="K1382" t="str">
            <v>Municipality</v>
          </cell>
          <cell r="M1382" t="str">
            <v>3rd</v>
          </cell>
          <cell r="T1382" t="str">
            <v>Yes</v>
          </cell>
        </row>
        <row r="1383">
          <cell r="B1383" t="str">
            <v>Bukidnon</v>
          </cell>
          <cell r="J1383" t="str">
            <v>Kalilangan</v>
          </cell>
          <cell r="K1383" t="str">
            <v>Municipality</v>
          </cell>
          <cell r="M1383" t="str">
            <v>2nd</v>
          </cell>
          <cell r="T1383" t="str">
            <v>Yes</v>
          </cell>
        </row>
        <row r="1384">
          <cell r="B1384" t="str">
            <v>Bukidnon</v>
          </cell>
          <cell r="J1384" t="str">
            <v>Kibawe</v>
          </cell>
          <cell r="K1384" t="str">
            <v>Municipality</v>
          </cell>
          <cell r="M1384" t="str">
            <v>2nd</v>
          </cell>
          <cell r="T1384" t="str">
            <v>Yes</v>
          </cell>
        </row>
        <row r="1385">
          <cell r="B1385" t="str">
            <v>Bukidnon</v>
          </cell>
          <cell r="J1385" t="str">
            <v>Kitaotao</v>
          </cell>
          <cell r="K1385" t="str">
            <v>Municipality</v>
          </cell>
          <cell r="M1385" t="str">
            <v>1st</v>
          </cell>
          <cell r="T1385" t="str">
            <v>Yes</v>
          </cell>
        </row>
        <row r="1386">
          <cell r="B1386" t="str">
            <v>Bukidnon</v>
          </cell>
          <cell r="J1386" t="str">
            <v>Lantapan</v>
          </cell>
          <cell r="K1386" t="str">
            <v>Municipality</v>
          </cell>
          <cell r="M1386" t="str">
            <v>1st</v>
          </cell>
          <cell r="T1386" t="str">
            <v>Yes</v>
          </cell>
        </row>
        <row r="1387">
          <cell r="B1387" t="str">
            <v>Bukidnon</v>
          </cell>
          <cell r="J1387" t="str">
            <v>Libona</v>
          </cell>
          <cell r="K1387" t="str">
            <v>Municipality</v>
          </cell>
          <cell r="M1387" t="str">
            <v>1st</v>
          </cell>
          <cell r="T1387" t="str">
            <v>Yes</v>
          </cell>
        </row>
        <row r="1388">
          <cell r="B1388" t="str">
            <v>Bukidnon</v>
          </cell>
          <cell r="J1388" t="str">
            <v>Malitbog</v>
          </cell>
          <cell r="K1388" t="str">
            <v>Municipality</v>
          </cell>
          <cell r="M1388" t="str">
            <v>2nd</v>
          </cell>
          <cell r="T1388" t="str">
            <v>Yes</v>
          </cell>
        </row>
        <row r="1389">
          <cell r="B1389" t="str">
            <v>Bukidnon</v>
          </cell>
          <cell r="J1389" t="str">
            <v>Manolo Fortich</v>
          </cell>
          <cell r="K1389" t="str">
            <v>Municipality</v>
          </cell>
          <cell r="M1389" t="str">
            <v>1st</v>
          </cell>
          <cell r="T1389" t="str">
            <v>Yes</v>
          </cell>
        </row>
        <row r="1390">
          <cell r="B1390" t="str">
            <v>Bukidnon</v>
          </cell>
          <cell r="J1390" t="str">
            <v>Maramag</v>
          </cell>
          <cell r="K1390" t="str">
            <v>Municipality</v>
          </cell>
          <cell r="M1390" t="str">
            <v>1st</v>
          </cell>
          <cell r="T1390" t="str">
            <v>Yes</v>
          </cell>
        </row>
        <row r="1391">
          <cell r="B1391" t="str">
            <v>Bukidnon</v>
          </cell>
          <cell r="J1391" t="str">
            <v>Pangantucan</v>
          </cell>
          <cell r="K1391" t="str">
            <v>Municipality</v>
          </cell>
          <cell r="M1391" t="str">
            <v>1st</v>
          </cell>
          <cell r="T1391" t="str">
            <v>Yes</v>
          </cell>
        </row>
        <row r="1392">
          <cell r="B1392" t="str">
            <v>Bukidnon</v>
          </cell>
          <cell r="J1392" t="str">
            <v>Quezon</v>
          </cell>
          <cell r="K1392" t="str">
            <v>Municipality</v>
          </cell>
          <cell r="M1392" t="str">
            <v>1st</v>
          </cell>
          <cell r="T1392" t="str">
            <v>Yes</v>
          </cell>
        </row>
        <row r="1393">
          <cell r="B1393" t="str">
            <v>Bukidnon</v>
          </cell>
          <cell r="J1393" t="str">
            <v>San Fernando</v>
          </cell>
          <cell r="K1393" t="str">
            <v>Municipality</v>
          </cell>
          <cell r="M1393" t="str">
            <v>1st</v>
          </cell>
          <cell r="T1393" t="str">
            <v>Yes</v>
          </cell>
        </row>
        <row r="1394">
          <cell r="B1394" t="str">
            <v>Bukidnon</v>
          </cell>
          <cell r="J1394" t="str">
            <v>Sumilao</v>
          </cell>
          <cell r="K1394" t="str">
            <v>Municipality</v>
          </cell>
          <cell r="M1394" t="str">
            <v>4th</v>
          </cell>
          <cell r="T1394" t="str">
            <v>Yes</v>
          </cell>
        </row>
        <row r="1395">
          <cell r="B1395" t="str">
            <v>Bukidnon</v>
          </cell>
          <cell r="J1395" t="str">
            <v>Talakag</v>
          </cell>
          <cell r="K1395" t="str">
            <v>Municipality</v>
          </cell>
          <cell r="M1395" t="str">
            <v>1st</v>
          </cell>
          <cell r="T1395" t="str">
            <v>Yes</v>
          </cell>
        </row>
        <row r="1396">
          <cell r="B1396" t="str">
            <v>Camiguin</v>
          </cell>
          <cell r="J1396" t="str">
            <v>Catarman</v>
          </cell>
          <cell r="K1396" t="str">
            <v>Municipality</v>
          </cell>
          <cell r="M1396" t="str">
            <v>5th</v>
          </cell>
          <cell r="T1396" t="str">
            <v>No</v>
          </cell>
        </row>
        <row r="1397">
          <cell r="B1397" t="str">
            <v>Camiguin</v>
          </cell>
          <cell r="J1397" t="str">
            <v>Guinsiliban</v>
          </cell>
          <cell r="K1397" t="str">
            <v>Municipality</v>
          </cell>
          <cell r="M1397" t="str">
            <v>6th</v>
          </cell>
          <cell r="T1397" t="str">
            <v>No</v>
          </cell>
        </row>
        <row r="1398">
          <cell r="B1398" t="str">
            <v>Camiguin</v>
          </cell>
          <cell r="J1398" t="str">
            <v>Mahinog</v>
          </cell>
          <cell r="K1398" t="str">
            <v>Municipality</v>
          </cell>
          <cell r="M1398" t="str">
            <v>5th</v>
          </cell>
          <cell r="T1398" t="str">
            <v>No</v>
          </cell>
        </row>
        <row r="1399">
          <cell r="B1399" t="str">
            <v>Camiguin</v>
          </cell>
          <cell r="J1399" t="str">
            <v>Mambajao (Capital)</v>
          </cell>
          <cell r="K1399" t="str">
            <v>Municipality</v>
          </cell>
          <cell r="M1399" t="str">
            <v>3rd</v>
          </cell>
          <cell r="T1399" t="str">
            <v>No</v>
          </cell>
        </row>
        <row r="1400">
          <cell r="B1400" t="str">
            <v>Camiguin</v>
          </cell>
          <cell r="J1400" t="str">
            <v>Sagay</v>
          </cell>
          <cell r="K1400" t="str">
            <v>Municipality</v>
          </cell>
          <cell r="M1400" t="str">
            <v>5th</v>
          </cell>
          <cell r="T1400" t="str">
            <v>No</v>
          </cell>
        </row>
        <row r="1401">
          <cell r="B1401" t="str">
            <v>Lanao_del_Norte</v>
          </cell>
          <cell r="J1401" t="str">
            <v>Bacolod</v>
          </cell>
          <cell r="K1401" t="str">
            <v>Municipality</v>
          </cell>
          <cell r="M1401" t="str">
            <v>4th</v>
          </cell>
          <cell r="T1401" t="str">
            <v>No</v>
          </cell>
        </row>
        <row r="1402">
          <cell r="B1402" t="str">
            <v>Lanao_del_Norte</v>
          </cell>
          <cell r="J1402" t="str">
            <v>Baloi</v>
          </cell>
          <cell r="K1402" t="str">
            <v>Municipality</v>
          </cell>
          <cell r="M1402" t="str">
            <v>3rd</v>
          </cell>
          <cell r="T1402" t="str">
            <v>No</v>
          </cell>
        </row>
        <row r="1403">
          <cell r="B1403" t="str">
            <v>Lanao_del_Norte</v>
          </cell>
          <cell r="J1403" t="str">
            <v>Baroy</v>
          </cell>
          <cell r="K1403" t="str">
            <v>Municipality</v>
          </cell>
          <cell r="M1403" t="str">
            <v>4th</v>
          </cell>
          <cell r="T1403" t="str">
            <v>No</v>
          </cell>
        </row>
        <row r="1404">
          <cell r="B1404" t="str">
            <v>Lanao_del_Norte</v>
          </cell>
          <cell r="J1404" t="str">
            <v>Iligan City</v>
          </cell>
          <cell r="K1404" t="str">
            <v>City</v>
          </cell>
          <cell r="M1404" t="str">
            <v>1st</v>
          </cell>
          <cell r="T1404" t="str">
            <v>No</v>
          </cell>
        </row>
        <row r="1405">
          <cell r="B1405" t="str">
            <v>Lanao_del_Norte</v>
          </cell>
          <cell r="J1405" t="str">
            <v>Kapatagan</v>
          </cell>
          <cell r="K1405" t="str">
            <v>Municipality</v>
          </cell>
          <cell r="M1405" t="str">
            <v>2nd</v>
          </cell>
          <cell r="T1405" t="str">
            <v>No</v>
          </cell>
        </row>
        <row r="1406">
          <cell r="B1406" t="str">
            <v>Lanao_del_Norte</v>
          </cell>
          <cell r="J1406" t="str">
            <v>Kauswagan</v>
          </cell>
          <cell r="K1406" t="str">
            <v>Municipality</v>
          </cell>
          <cell r="M1406" t="str">
            <v>5th</v>
          </cell>
          <cell r="T1406" t="str">
            <v>No</v>
          </cell>
        </row>
        <row r="1407">
          <cell r="B1407" t="str">
            <v>Lanao_del_Norte</v>
          </cell>
          <cell r="J1407" t="str">
            <v>Kolambugan</v>
          </cell>
          <cell r="K1407" t="str">
            <v>Municipality</v>
          </cell>
          <cell r="M1407" t="str">
            <v>4th</v>
          </cell>
          <cell r="T1407" t="str">
            <v>No</v>
          </cell>
        </row>
        <row r="1408">
          <cell r="B1408" t="str">
            <v>Lanao_del_Norte</v>
          </cell>
          <cell r="J1408" t="str">
            <v>Lala</v>
          </cell>
          <cell r="K1408" t="str">
            <v>Municipality</v>
          </cell>
          <cell r="M1408" t="str">
            <v>1st</v>
          </cell>
          <cell r="T1408" t="str">
            <v>No</v>
          </cell>
        </row>
        <row r="1409">
          <cell r="B1409" t="str">
            <v>Lanao_del_Norte</v>
          </cell>
          <cell r="J1409" t="str">
            <v>Linamon</v>
          </cell>
          <cell r="K1409" t="str">
            <v>Municipality</v>
          </cell>
          <cell r="M1409" t="str">
            <v>5th</v>
          </cell>
          <cell r="T1409" t="str">
            <v>No</v>
          </cell>
        </row>
        <row r="1410">
          <cell r="B1410" t="str">
            <v>Lanao_del_Norte</v>
          </cell>
          <cell r="J1410" t="str">
            <v>Magsaysay</v>
          </cell>
          <cell r="K1410" t="str">
            <v>Municipality</v>
          </cell>
          <cell r="M1410" t="str">
            <v>5th</v>
          </cell>
          <cell r="T1410" t="str">
            <v>No</v>
          </cell>
        </row>
        <row r="1411">
          <cell r="B1411" t="str">
            <v>Lanao_del_Norte</v>
          </cell>
          <cell r="J1411" t="str">
            <v>Maigo</v>
          </cell>
          <cell r="K1411" t="str">
            <v>Municipality</v>
          </cell>
          <cell r="M1411" t="str">
            <v>4th</v>
          </cell>
          <cell r="T1411" t="str">
            <v>No</v>
          </cell>
        </row>
        <row r="1412">
          <cell r="B1412" t="str">
            <v>Lanao_del_Norte</v>
          </cell>
          <cell r="J1412" t="str">
            <v>Matungao</v>
          </cell>
          <cell r="K1412" t="str">
            <v>Municipality</v>
          </cell>
          <cell r="M1412" t="str">
            <v>5th</v>
          </cell>
          <cell r="T1412" t="str">
            <v>No</v>
          </cell>
        </row>
        <row r="1413">
          <cell r="B1413" t="str">
            <v>Lanao_del_Norte</v>
          </cell>
          <cell r="J1413" t="str">
            <v>Munai</v>
          </cell>
          <cell r="K1413" t="str">
            <v>Municipality</v>
          </cell>
          <cell r="M1413" t="str">
            <v>4th</v>
          </cell>
          <cell r="T1413" t="str">
            <v>No</v>
          </cell>
        </row>
        <row r="1414">
          <cell r="B1414" t="str">
            <v>Lanao_del_Norte</v>
          </cell>
          <cell r="J1414" t="str">
            <v>Nunungan</v>
          </cell>
          <cell r="K1414" t="str">
            <v>Municipality</v>
          </cell>
          <cell r="M1414" t="str">
            <v>3rd</v>
          </cell>
          <cell r="T1414" t="str">
            <v>No</v>
          </cell>
        </row>
        <row r="1415">
          <cell r="B1415" t="str">
            <v>Lanao_del_Norte</v>
          </cell>
          <cell r="J1415" t="str">
            <v>Pantao Ragat</v>
          </cell>
          <cell r="K1415" t="str">
            <v>Municipality</v>
          </cell>
          <cell r="M1415" t="str">
            <v>4th</v>
          </cell>
          <cell r="T1415" t="str">
            <v>No</v>
          </cell>
        </row>
        <row r="1416">
          <cell r="B1416" t="str">
            <v>Lanao_del_Norte</v>
          </cell>
          <cell r="J1416" t="str">
            <v>Pantar</v>
          </cell>
          <cell r="K1416" t="str">
            <v>Municipality</v>
          </cell>
          <cell r="M1416" t="str">
            <v>5th</v>
          </cell>
          <cell r="T1416" t="str">
            <v>No</v>
          </cell>
        </row>
        <row r="1417">
          <cell r="B1417" t="str">
            <v>Lanao_del_Norte</v>
          </cell>
          <cell r="J1417" t="str">
            <v>Poona Piagapo</v>
          </cell>
          <cell r="K1417" t="str">
            <v>Municipality</v>
          </cell>
          <cell r="M1417" t="str">
            <v>4th</v>
          </cell>
          <cell r="T1417" t="str">
            <v>No</v>
          </cell>
        </row>
        <row r="1418">
          <cell r="B1418" t="str">
            <v>Lanao_del_Norte</v>
          </cell>
          <cell r="J1418" t="str">
            <v>Salvador</v>
          </cell>
          <cell r="K1418" t="str">
            <v>Municipality</v>
          </cell>
          <cell r="M1418" t="str">
            <v>5th</v>
          </cell>
          <cell r="T1418" t="str">
            <v>No</v>
          </cell>
        </row>
        <row r="1419">
          <cell r="B1419" t="str">
            <v>Lanao_del_Norte</v>
          </cell>
          <cell r="J1419" t="str">
            <v>Sapad</v>
          </cell>
          <cell r="K1419" t="str">
            <v>Municipality</v>
          </cell>
          <cell r="M1419" t="str">
            <v>5th</v>
          </cell>
          <cell r="T1419" t="str">
            <v>No</v>
          </cell>
        </row>
        <row r="1420">
          <cell r="B1420" t="str">
            <v>Lanao_del_Norte</v>
          </cell>
          <cell r="J1420" t="str">
            <v>Sultan Naga Dimaporo (Karomatan)</v>
          </cell>
          <cell r="K1420" t="str">
            <v>Municipality</v>
          </cell>
          <cell r="M1420" t="str">
            <v>5th</v>
          </cell>
          <cell r="T1420" t="str">
            <v>No</v>
          </cell>
        </row>
        <row r="1421">
          <cell r="B1421" t="str">
            <v>Lanao_del_Norte</v>
          </cell>
          <cell r="J1421" t="str">
            <v>Tagoloan</v>
          </cell>
          <cell r="K1421" t="str">
            <v>Municipality</v>
          </cell>
          <cell r="M1421" t="str">
            <v>5th</v>
          </cell>
          <cell r="T1421" t="str">
            <v>No</v>
          </cell>
        </row>
        <row r="1422">
          <cell r="B1422" t="str">
            <v>Lanao_del_Norte</v>
          </cell>
          <cell r="J1422" t="str">
            <v>Tangcal</v>
          </cell>
          <cell r="K1422" t="str">
            <v>Municipality</v>
          </cell>
          <cell r="M1422" t="str">
            <v>5th</v>
          </cell>
          <cell r="T1422" t="str">
            <v>No</v>
          </cell>
        </row>
        <row r="1423">
          <cell r="B1423" t="str">
            <v>Lanao_del_Norte</v>
          </cell>
          <cell r="J1423" t="str">
            <v>Tubod (Capital)</v>
          </cell>
          <cell r="K1423" t="str">
            <v>Municipality</v>
          </cell>
          <cell r="M1423" t="str">
            <v>2nd</v>
          </cell>
          <cell r="T1423" t="str">
            <v>No</v>
          </cell>
        </row>
        <row r="1424">
          <cell r="B1424" t="str">
            <v>Misamis_Occidental</v>
          </cell>
          <cell r="J1424" t="str">
            <v>Aloran</v>
          </cell>
          <cell r="K1424" t="str">
            <v>Municipality</v>
          </cell>
          <cell r="M1424" t="str">
            <v>4th</v>
          </cell>
          <cell r="T1424" t="str">
            <v>No</v>
          </cell>
        </row>
        <row r="1425">
          <cell r="B1425" t="str">
            <v>Misamis_Occidental</v>
          </cell>
          <cell r="J1425" t="str">
            <v>Baliangao</v>
          </cell>
          <cell r="K1425" t="str">
            <v>Municipality</v>
          </cell>
          <cell r="M1425" t="str">
            <v>5th</v>
          </cell>
          <cell r="T1425" t="str">
            <v>No</v>
          </cell>
        </row>
        <row r="1426">
          <cell r="B1426" t="str">
            <v>Misamis_Occidental</v>
          </cell>
          <cell r="J1426" t="str">
            <v>Bonifacio</v>
          </cell>
          <cell r="K1426" t="str">
            <v>Municipality</v>
          </cell>
          <cell r="M1426" t="str">
            <v>4th</v>
          </cell>
          <cell r="T1426" t="str">
            <v>No</v>
          </cell>
        </row>
        <row r="1427">
          <cell r="B1427" t="str">
            <v>Misamis_Occidental</v>
          </cell>
          <cell r="J1427" t="str">
            <v>Calamba</v>
          </cell>
          <cell r="K1427" t="str">
            <v>Municipality</v>
          </cell>
          <cell r="M1427" t="str">
            <v>4th</v>
          </cell>
          <cell r="T1427" t="str">
            <v>No</v>
          </cell>
        </row>
        <row r="1428">
          <cell r="B1428" t="str">
            <v>Misamis_Occidental</v>
          </cell>
          <cell r="J1428" t="str">
            <v>Clarin</v>
          </cell>
          <cell r="K1428" t="str">
            <v>Municipality</v>
          </cell>
          <cell r="M1428" t="str">
            <v>4th</v>
          </cell>
          <cell r="T1428" t="str">
            <v>No</v>
          </cell>
        </row>
        <row r="1429">
          <cell r="B1429" t="str">
            <v>Misamis_Occidental</v>
          </cell>
          <cell r="J1429" t="str">
            <v>Concepcion</v>
          </cell>
          <cell r="K1429" t="str">
            <v>Municipality</v>
          </cell>
          <cell r="M1429" t="str">
            <v>6th</v>
          </cell>
          <cell r="T1429" t="str">
            <v>No</v>
          </cell>
        </row>
        <row r="1430">
          <cell r="B1430" t="str">
            <v>Misamis_Occidental</v>
          </cell>
          <cell r="J1430" t="str">
            <v>Don Victoriano Chiongbian (Don Mariano Marcos)</v>
          </cell>
          <cell r="K1430" t="str">
            <v>Municipality</v>
          </cell>
          <cell r="M1430" t="str">
            <v>4th</v>
          </cell>
          <cell r="T1430" t="str">
            <v>No</v>
          </cell>
        </row>
        <row r="1431">
          <cell r="B1431" t="str">
            <v>Misamis_Occidental</v>
          </cell>
          <cell r="J1431" t="str">
            <v>Jimenez</v>
          </cell>
          <cell r="K1431" t="str">
            <v>Municipality</v>
          </cell>
          <cell r="M1431" t="str">
            <v>3rd</v>
          </cell>
          <cell r="T1431" t="str">
            <v>No</v>
          </cell>
        </row>
        <row r="1432">
          <cell r="B1432" t="str">
            <v>Misamis_Occidental</v>
          </cell>
          <cell r="J1432" t="str">
            <v>Lopez Jaena</v>
          </cell>
          <cell r="K1432" t="str">
            <v>Municipality</v>
          </cell>
          <cell r="M1432" t="str">
            <v>4th</v>
          </cell>
          <cell r="T1432" t="str">
            <v>No</v>
          </cell>
        </row>
        <row r="1433">
          <cell r="B1433" t="str">
            <v>Misamis_Occidental</v>
          </cell>
          <cell r="J1433" t="str">
            <v>Oroquieta City (Capital)</v>
          </cell>
          <cell r="K1433" t="str">
            <v>City</v>
          </cell>
          <cell r="M1433" t="str">
            <v>4th</v>
          </cell>
          <cell r="T1433" t="str">
            <v>No</v>
          </cell>
        </row>
        <row r="1434">
          <cell r="B1434" t="str">
            <v>Misamis_Occidental</v>
          </cell>
          <cell r="J1434" t="str">
            <v>Ozamis City</v>
          </cell>
          <cell r="K1434" t="str">
            <v>City</v>
          </cell>
          <cell r="M1434" t="str">
            <v>3rd</v>
          </cell>
          <cell r="T1434" t="str">
            <v>No</v>
          </cell>
        </row>
        <row r="1435">
          <cell r="B1435" t="str">
            <v>Misamis_Occidental</v>
          </cell>
          <cell r="J1435" t="str">
            <v>Panaon</v>
          </cell>
          <cell r="K1435" t="str">
            <v>Municipality</v>
          </cell>
          <cell r="M1435" t="str">
            <v>5th</v>
          </cell>
          <cell r="T1435" t="str">
            <v>No</v>
          </cell>
        </row>
        <row r="1436">
          <cell r="B1436" t="str">
            <v>Misamis_Occidental</v>
          </cell>
          <cell r="J1436" t="str">
            <v>Plaridel</v>
          </cell>
          <cell r="K1436" t="str">
            <v>Municipality</v>
          </cell>
          <cell r="M1436" t="str">
            <v>3rd</v>
          </cell>
          <cell r="T1436" t="str">
            <v>No</v>
          </cell>
        </row>
        <row r="1437">
          <cell r="B1437" t="str">
            <v>Misamis_Occidental</v>
          </cell>
          <cell r="J1437" t="str">
            <v>Sapang Dalaga</v>
          </cell>
          <cell r="K1437" t="str">
            <v>Municipality</v>
          </cell>
          <cell r="M1437" t="str">
            <v>5th</v>
          </cell>
          <cell r="T1437" t="str">
            <v>No</v>
          </cell>
        </row>
        <row r="1438">
          <cell r="B1438" t="str">
            <v>Misamis_Occidental</v>
          </cell>
          <cell r="J1438" t="str">
            <v>Sinacaban</v>
          </cell>
          <cell r="K1438" t="str">
            <v>Municipality</v>
          </cell>
          <cell r="M1438" t="str">
            <v>5th</v>
          </cell>
          <cell r="T1438" t="str">
            <v>No</v>
          </cell>
        </row>
        <row r="1439">
          <cell r="B1439" t="str">
            <v>Misamis_Occidental</v>
          </cell>
          <cell r="J1439" t="str">
            <v>Tangub City</v>
          </cell>
          <cell r="K1439" t="str">
            <v>City</v>
          </cell>
          <cell r="M1439" t="str">
            <v>4th</v>
          </cell>
          <cell r="T1439" t="str">
            <v>No</v>
          </cell>
        </row>
        <row r="1440">
          <cell r="B1440" t="str">
            <v>Misamis_Occidental</v>
          </cell>
          <cell r="J1440" t="str">
            <v>Tudela</v>
          </cell>
          <cell r="K1440" t="str">
            <v>Municipality</v>
          </cell>
          <cell r="M1440" t="str">
            <v>4th</v>
          </cell>
          <cell r="T1440" t="str">
            <v>No</v>
          </cell>
        </row>
        <row r="1441">
          <cell r="B1441" t="str">
            <v>Misamis_Oriental</v>
          </cell>
          <cell r="J1441" t="str">
            <v>Alubijid</v>
          </cell>
          <cell r="K1441" t="str">
            <v>Municipality</v>
          </cell>
          <cell r="M1441" t="str">
            <v>4th</v>
          </cell>
          <cell r="T1441" t="str">
            <v>No</v>
          </cell>
        </row>
        <row r="1442">
          <cell r="B1442" t="str">
            <v>Misamis_Oriental</v>
          </cell>
          <cell r="J1442" t="str">
            <v>Balingasag</v>
          </cell>
          <cell r="K1442" t="str">
            <v>Municipality</v>
          </cell>
          <cell r="M1442" t="str">
            <v>2nd</v>
          </cell>
          <cell r="T1442" t="str">
            <v>No</v>
          </cell>
        </row>
        <row r="1443">
          <cell r="B1443" t="str">
            <v>Misamis_Oriental</v>
          </cell>
          <cell r="J1443" t="str">
            <v>Balingoan</v>
          </cell>
          <cell r="K1443" t="str">
            <v>Municipality</v>
          </cell>
          <cell r="M1443" t="str">
            <v>5th</v>
          </cell>
          <cell r="T1443" t="str">
            <v>No</v>
          </cell>
        </row>
        <row r="1444">
          <cell r="B1444" t="str">
            <v>Misamis_Oriental</v>
          </cell>
          <cell r="J1444" t="str">
            <v>Binuangan</v>
          </cell>
          <cell r="K1444" t="str">
            <v>Municipality</v>
          </cell>
          <cell r="M1444" t="str">
            <v>6th</v>
          </cell>
          <cell r="T1444" t="str">
            <v>No</v>
          </cell>
        </row>
        <row r="1445">
          <cell r="B1445" t="str">
            <v>Misamis_Oriental</v>
          </cell>
          <cell r="J1445" t="str">
            <v>Cagayan De Oro City (Capital)</v>
          </cell>
          <cell r="K1445" t="str">
            <v>City</v>
          </cell>
          <cell r="M1445" t="str">
            <v>1st</v>
          </cell>
          <cell r="T1445" t="str">
            <v>No</v>
          </cell>
        </row>
        <row r="1446">
          <cell r="B1446" t="str">
            <v>Misamis_Oriental</v>
          </cell>
          <cell r="J1446" t="str">
            <v>City Of El Salvador</v>
          </cell>
          <cell r="K1446" t="str">
            <v>City</v>
          </cell>
          <cell r="M1446" t="str">
            <v>6th</v>
          </cell>
          <cell r="T1446" t="str">
            <v>No</v>
          </cell>
        </row>
        <row r="1447">
          <cell r="B1447" t="str">
            <v>Misamis_Oriental</v>
          </cell>
          <cell r="J1447" t="str">
            <v>Claveria</v>
          </cell>
          <cell r="K1447" t="str">
            <v>Municipality</v>
          </cell>
          <cell r="M1447" t="str">
            <v>1st</v>
          </cell>
          <cell r="T1447" t="str">
            <v>No</v>
          </cell>
        </row>
        <row r="1448">
          <cell r="B1448" t="str">
            <v>Misamis_Oriental</v>
          </cell>
          <cell r="J1448" t="str">
            <v>Gingoog City</v>
          </cell>
          <cell r="K1448" t="str">
            <v>City</v>
          </cell>
          <cell r="M1448" t="str">
            <v>2nd</v>
          </cell>
          <cell r="T1448" t="str">
            <v>No</v>
          </cell>
        </row>
        <row r="1449">
          <cell r="B1449" t="str">
            <v>Misamis_Oriental</v>
          </cell>
          <cell r="J1449" t="str">
            <v>Gitagum</v>
          </cell>
          <cell r="K1449" t="str">
            <v>Municipality</v>
          </cell>
          <cell r="M1449" t="str">
            <v>5th</v>
          </cell>
          <cell r="T1449" t="str">
            <v>No</v>
          </cell>
        </row>
        <row r="1450">
          <cell r="B1450" t="str">
            <v>Misamis_Oriental</v>
          </cell>
          <cell r="J1450" t="str">
            <v>Initao</v>
          </cell>
          <cell r="K1450" t="str">
            <v>Municipality</v>
          </cell>
          <cell r="M1450" t="str">
            <v>3rd</v>
          </cell>
          <cell r="T1450" t="str">
            <v>No</v>
          </cell>
        </row>
        <row r="1451">
          <cell r="B1451" t="str">
            <v>Misamis_Oriental</v>
          </cell>
          <cell r="J1451" t="str">
            <v>Jasaan</v>
          </cell>
          <cell r="K1451" t="str">
            <v>Municipality</v>
          </cell>
          <cell r="M1451" t="str">
            <v>2nd</v>
          </cell>
          <cell r="T1451" t="str">
            <v>No</v>
          </cell>
        </row>
        <row r="1452">
          <cell r="B1452" t="str">
            <v>Misamis_Oriental</v>
          </cell>
          <cell r="J1452" t="str">
            <v>Kinoguitan</v>
          </cell>
          <cell r="K1452" t="str">
            <v>Municipality</v>
          </cell>
          <cell r="M1452" t="str">
            <v>5th</v>
          </cell>
          <cell r="T1452" t="str">
            <v>No</v>
          </cell>
        </row>
        <row r="1453">
          <cell r="B1453" t="str">
            <v>Misamis_Oriental</v>
          </cell>
          <cell r="J1453" t="str">
            <v>Lagonglong</v>
          </cell>
          <cell r="K1453" t="str">
            <v>Municipality</v>
          </cell>
          <cell r="M1453" t="str">
            <v>5th</v>
          </cell>
          <cell r="T1453" t="str">
            <v>No</v>
          </cell>
        </row>
        <row r="1454">
          <cell r="B1454" t="str">
            <v>Misamis_Oriental</v>
          </cell>
          <cell r="J1454" t="str">
            <v>Laguindingan</v>
          </cell>
          <cell r="K1454" t="str">
            <v>Municipality</v>
          </cell>
          <cell r="M1454" t="str">
            <v>4th</v>
          </cell>
          <cell r="T1454" t="str">
            <v>No</v>
          </cell>
        </row>
        <row r="1455">
          <cell r="B1455" t="str">
            <v>Misamis_Oriental</v>
          </cell>
          <cell r="J1455" t="str">
            <v>Libertad</v>
          </cell>
          <cell r="K1455" t="str">
            <v>Municipality</v>
          </cell>
          <cell r="M1455" t="str">
            <v>5th</v>
          </cell>
          <cell r="T1455" t="str">
            <v>No</v>
          </cell>
        </row>
        <row r="1456">
          <cell r="B1456" t="str">
            <v>Misamis_Oriental</v>
          </cell>
          <cell r="J1456" t="str">
            <v>Lugait</v>
          </cell>
          <cell r="K1456" t="str">
            <v>Municipality</v>
          </cell>
          <cell r="M1456" t="str">
            <v>2nd</v>
          </cell>
          <cell r="T1456" t="str">
            <v>No</v>
          </cell>
        </row>
        <row r="1457">
          <cell r="B1457" t="str">
            <v>Misamis_Oriental</v>
          </cell>
          <cell r="J1457" t="str">
            <v>Magsaysay (Linugos)</v>
          </cell>
          <cell r="K1457" t="str">
            <v>Municipality</v>
          </cell>
          <cell r="M1457" t="str">
            <v>4th</v>
          </cell>
          <cell r="T1457" t="str">
            <v>No</v>
          </cell>
        </row>
        <row r="1458">
          <cell r="B1458" t="str">
            <v>Misamis_Oriental</v>
          </cell>
          <cell r="J1458" t="str">
            <v>Manticao</v>
          </cell>
          <cell r="K1458" t="str">
            <v>Municipality</v>
          </cell>
          <cell r="M1458" t="str">
            <v>4th</v>
          </cell>
          <cell r="T1458" t="str">
            <v>No</v>
          </cell>
        </row>
        <row r="1459">
          <cell r="B1459" t="str">
            <v>Misamis_Oriental</v>
          </cell>
          <cell r="J1459" t="str">
            <v>Medina</v>
          </cell>
          <cell r="K1459" t="str">
            <v>Municipality</v>
          </cell>
          <cell r="M1459" t="str">
            <v>4th</v>
          </cell>
          <cell r="T1459" t="str">
            <v>No</v>
          </cell>
        </row>
        <row r="1460">
          <cell r="B1460" t="str">
            <v>Misamis_Oriental</v>
          </cell>
          <cell r="J1460" t="str">
            <v>Naawan</v>
          </cell>
          <cell r="K1460" t="str">
            <v>Municipality</v>
          </cell>
          <cell r="M1460" t="str">
            <v>4th</v>
          </cell>
          <cell r="T1460" t="str">
            <v>No</v>
          </cell>
        </row>
        <row r="1461">
          <cell r="B1461" t="str">
            <v>Misamis_Oriental</v>
          </cell>
          <cell r="J1461" t="str">
            <v>Opol</v>
          </cell>
          <cell r="K1461" t="str">
            <v>Municipality</v>
          </cell>
          <cell r="M1461" t="str">
            <v>2nd</v>
          </cell>
          <cell r="T1461" t="str">
            <v>No</v>
          </cell>
        </row>
        <row r="1462">
          <cell r="B1462" t="str">
            <v>Misamis_Oriental</v>
          </cell>
          <cell r="J1462" t="str">
            <v>Salay</v>
          </cell>
          <cell r="K1462" t="str">
            <v>Municipality</v>
          </cell>
          <cell r="M1462" t="str">
            <v>4th</v>
          </cell>
          <cell r="T1462" t="str">
            <v>No</v>
          </cell>
        </row>
        <row r="1463">
          <cell r="B1463" t="str">
            <v>Misamis_Oriental</v>
          </cell>
          <cell r="J1463" t="str">
            <v>Sugbongcogon</v>
          </cell>
          <cell r="K1463" t="str">
            <v>Municipality</v>
          </cell>
          <cell r="M1463" t="str">
            <v>5th</v>
          </cell>
          <cell r="T1463" t="str">
            <v>No</v>
          </cell>
        </row>
        <row r="1464">
          <cell r="B1464" t="str">
            <v>Misamis_Oriental</v>
          </cell>
          <cell r="J1464" t="str">
            <v>Tagoloan</v>
          </cell>
          <cell r="K1464" t="str">
            <v>Municipality</v>
          </cell>
          <cell r="M1464" t="str">
            <v>1st</v>
          </cell>
          <cell r="T1464" t="str">
            <v>No</v>
          </cell>
        </row>
        <row r="1465">
          <cell r="B1465" t="str">
            <v>Misamis_Oriental</v>
          </cell>
          <cell r="J1465" t="str">
            <v>Talisayan</v>
          </cell>
          <cell r="K1465" t="str">
            <v>Municipality</v>
          </cell>
          <cell r="M1465" t="str">
            <v>4th</v>
          </cell>
          <cell r="T1465" t="str">
            <v>No</v>
          </cell>
        </row>
        <row r="1466">
          <cell r="B1466" t="str">
            <v>Misamis_Oriental</v>
          </cell>
          <cell r="J1466" t="str">
            <v>Villanueva</v>
          </cell>
          <cell r="K1466" t="str">
            <v>Municipality</v>
          </cell>
          <cell r="M1466" t="str">
            <v>2nd</v>
          </cell>
          <cell r="T1466" t="str">
            <v>No</v>
          </cell>
        </row>
        <row r="1467">
          <cell r="B1467" t="str">
            <v>Compostela_Valley</v>
          </cell>
          <cell r="J1467" t="str">
            <v>Compostela</v>
          </cell>
          <cell r="K1467" t="str">
            <v>Municipality</v>
          </cell>
          <cell r="M1467" t="str">
            <v>1st</v>
          </cell>
          <cell r="T1467" t="str">
            <v>No</v>
          </cell>
        </row>
        <row r="1468">
          <cell r="B1468" t="str">
            <v>Compostela_Valley</v>
          </cell>
          <cell r="J1468" t="str">
            <v>Laak (San Vicente)</v>
          </cell>
          <cell r="K1468" t="str">
            <v>Municipality</v>
          </cell>
          <cell r="M1468" t="str">
            <v>1st</v>
          </cell>
          <cell r="T1468" t="str">
            <v>No</v>
          </cell>
        </row>
        <row r="1469">
          <cell r="B1469" t="str">
            <v>Compostela_Valley</v>
          </cell>
          <cell r="J1469" t="str">
            <v>Mabini (Doña Alicia)</v>
          </cell>
          <cell r="K1469" t="str">
            <v>Municipality</v>
          </cell>
          <cell r="M1469" t="str">
            <v>2nd</v>
          </cell>
          <cell r="T1469" t="str">
            <v>No</v>
          </cell>
        </row>
        <row r="1470">
          <cell r="B1470" t="str">
            <v>Compostela_Valley</v>
          </cell>
          <cell r="J1470" t="str">
            <v>Maco</v>
          </cell>
          <cell r="K1470" t="str">
            <v>Municipality</v>
          </cell>
          <cell r="M1470" t="str">
            <v>1st</v>
          </cell>
          <cell r="T1470" t="str">
            <v>No</v>
          </cell>
        </row>
        <row r="1471">
          <cell r="B1471" t="str">
            <v>Compostela_Valley</v>
          </cell>
          <cell r="J1471" t="str">
            <v>Maragusan (San Mariano)</v>
          </cell>
          <cell r="K1471" t="str">
            <v>Municipality</v>
          </cell>
          <cell r="M1471" t="str">
            <v>1st</v>
          </cell>
          <cell r="T1471" t="str">
            <v>No</v>
          </cell>
        </row>
        <row r="1472">
          <cell r="B1472" t="str">
            <v>Compostela_Valley</v>
          </cell>
          <cell r="J1472" t="str">
            <v>Mawab</v>
          </cell>
          <cell r="K1472" t="str">
            <v>Municipality</v>
          </cell>
          <cell r="M1472" t="str">
            <v>3rd</v>
          </cell>
          <cell r="T1472" t="str">
            <v>No</v>
          </cell>
        </row>
        <row r="1473">
          <cell r="B1473" t="str">
            <v>Compostela_Valley</v>
          </cell>
          <cell r="J1473" t="str">
            <v>Monkayo</v>
          </cell>
          <cell r="K1473" t="str">
            <v>Municipality</v>
          </cell>
          <cell r="M1473" t="str">
            <v>1st</v>
          </cell>
          <cell r="T1473" t="str">
            <v>No</v>
          </cell>
        </row>
        <row r="1474">
          <cell r="B1474" t="str">
            <v>Compostela_Valley</v>
          </cell>
          <cell r="J1474" t="str">
            <v>Montevista</v>
          </cell>
          <cell r="K1474" t="str">
            <v>Municipality</v>
          </cell>
          <cell r="M1474" t="str">
            <v>3rd</v>
          </cell>
          <cell r="T1474" t="str">
            <v>No</v>
          </cell>
        </row>
        <row r="1475">
          <cell r="B1475" t="str">
            <v>Compostela_Valley</v>
          </cell>
          <cell r="J1475" t="str">
            <v>Nabunturan (Capital)</v>
          </cell>
          <cell r="K1475" t="str">
            <v>Municipality</v>
          </cell>
          <cell r="M1475" t="str">
            <v>1st</v>
          </cell>
          <cell r="T1475" t="str">
            <v>No</v>
          </cell>
        </row>
        <row r="1476">
          <cell r="B1476" t="str">
            <v>Compostela_Valley</v>
          </cell>
          <cell r="J1476" t="str">
            <v>New Bataan</v>
          </cell>
          <cell r="K1476" t="str">
            <v>Municipality</v>
          </cell>
          <cell r="M1476" t="str">
            <v>1st</v>
          </cell>
          <cell r="T1476" t="str">
            <v>No</v>
          </cell>
        </row>
        <row r="1477">
          <cell r="B1477" t="str">
            <v>Compostela_Valley</v>
          </cell>
          <cell r="J1477" t="str">
            <v>Pantukan</v>
          </cell>
          <cell r="K1477" t="str">
            <v>Municipality</v>
          </cell>
          <cell r="M1477" t="str">
            <v>1st</v>
          </cell>
          <cell r="T1477" t="str">
            <v>No</v>
          </cell>
        </row>
        <row r="1478">
          <cell r="B1478" t="str">
            <v>Davao_del_Norte</v>
          </cell>
          <cell r="J1478" t="str">
            <v>Asuncion (Saug)</v>
          </cell>
          <cell r="K1478" t="str">
            <v>Municipality</v>
          </cell>
          <cell r="M1478" t="str">
            <v>1st</v>
          </cell>
          <cell r="T1478" t="str">
            <v>No</v>
          </cell>
        </row>
        <row r="1479">
          <cell r="B1479" t="str">
            <v>Davao_del_Norte</v>
          </cell>
          <cell r="J1479" t="str">
            <v>Braulio E.  Dujali</v>
          </cell>
          <cell r="K1479" t="str">
            <v>Municipality</v>
          </cell>
          <cell r="M1479" t="str">
            <v>4th</v>
          </cell>
          <cell r="T1479" t="str">
            <v>No</v>
          </cell>
        </row>
        <row r="1480">
          <cell r="B1480" t="str">
            <v>Davao_del_Norte</v>
          </cell>
          <cell r="J1480" t="str">
            <v>Carmen</v>
          </cell>
          <cell r="K1480" t="str">
            <v>Municipality</v>
          </cell>
          <cell r="M1480" t="str">
            <v>1st</v>
          </cell>
          <cell r="T1480" t="str">
            <v>No</v>
          </cell>
        </row>
        <row r="1481">
          <cell r="B1481" t="str">
            <v>Davao_del_Norte</v>
          </cell>
          <cell r="J1481" t="str">
            <v>City Of Panabo</v>
          </cell>
          <cell r="K1481" t="str">
            <v>City</v>
          </cell>
          <cell r="M1481" t="str">
            <v>3rd</v>
          </cell>
          <cell r="T1481" t="str">
            <v>No</v>
          </cell>
        </row>
        <row r="1482">
          <cell r="B1482" t="str">
            <v>Davao_del_Norte</v>
          </cell>
          <cell r="J1482" t="str">
            <v>City Of Tagum (Capital)</v>
          </cell>
          <cell r="K1482" t="str">
            <v>City</v>
          </cell>
          <cell r="M1482" t="str">
            <v>1st</v>
          </cell>
          <cell r="T1482" t="str">
            <v>No</v>
          </cell>
        </row>
        <row r="1483">
          <cell r="B1483" t="str">
            <v>Davao_del_Norte</v>
          </cell>
          <cell r="J1483" t="str">
            <v>Island Garden City Of Samal</v>
          </cell>
          <cell r="K1483" t="str">
            <v>City</v>
          </cell>
          <cell r="M1483" t="str">
            <v>4th</v>
          </cell>
          <cell r="T1483" t="str">
            <v>No</v>
          </cell>
        </row>
        <row r="1484">
          <cell r="B1484" t="str">
            <v>Davao_del_Norte</v>
          </cell>
          <cell r="J1484" t="str">
            <v>Kapalong</v>
          </cell>
          <cell r="K1484" t="str">
            <v>Municipality</v>
          </cell>
          <cell r="M1484" t="str">
            <v>1st</v>
          </cell>
          <cell r="T1484" t="str">
            <v>No</v>
          </cell>
        </row>
        <row r="1485">
          <cell r="B1485" t="str">
            <v>Davao_del_Norte</v>
          </cell>
          <cell r="J1485" t="str">
            <v>New Corella</v>
          </cell>
          <cell r="K1485" t="str">
            <v>Municipality</v>
          </cell>
          <cell r="M1485" t="str">
            <v>2nd</v>
          </cell>
          <cell r="T1485" t="str">
            <v>No</v>
          </cell>
        </row>
        <row r="1486">
          <cell r="B1486" t="str">
            <v>Davao_del_Norte</v>
          </cell>
          <cell r="J1486" t="str">
            <v>San Isidro</v>
          </cell>
          <cell r="K1486" t="str">
            <v>Municipality</v>
          </cell>
          <cell r="M1486" t="str">
            <v>5th</v>
          </cell>
          <cell r="T1486" t="str">
            <v>No</v>
          </cell>
        </row>
        <row r="1487">
          <cell r="B1487" t="str">
            <v>Davao_del_Norte</v>
          </cell>
          <cell r="J1487" t="str">
            <v>Santo Tomas</v>
          </cell>
          <cell r="K1487" t="str">
            <v>Municipality</v>
          </cell>
          <cell r="M1487" t="str">
            <v>1st</v>
          </cell>
          <cell r="T1487" t="str">
            <v>No</v>
          </cell>
        </row>
        <row r="1488">
          <cell r="B1488" t="str">
            <v>Davao_del_Norte</v>
          </cell>
          <cell r="J1488" t="str">
            <v>Talaingod</v>
          </cell>
          <cell r="K1488" t="str">
            <v>Municipality</v>
          </cell>
          <cell r="M1488" t="str">
            <v>2nd</v>
          </cell>
          <cell r="T1488" t="str">
            <v>No</v>
          </cell>
        </row>
        <row r="1489">
          <cell r="B1489" t="str">
            <v>Davao_del_Sur</v>
          </cell>
          <cell r="J1489" t="str">
            <v>Bansalan</v>
          </cell>
          <cell r="K1489" t="str">
            <v>Municipality</v>
          </cell>
          <cell r="M1489" t="str">
            <v>1st</v>
          </cell>
          <cell r="T1489" t="str">
            <v>No</v>
          </cell>
        </row>
        <row r="1490">
          <cell r="B1490" t="str">
            <v>Davao_del_Sur</v>
          </cell>
          <cell r="J1490" t="str">
            <v>City Of Digos (Capital)</v>
          </cell>
          <cell r="K1490" t="str">
            <v>City</v>
          </cell>
          <cell r="M1490" t="str">
            <v>2nd</v>
          </cell>
          <cell r="T1490" t="str">
            <v>No</v>
          </cell>
        </row>
        <row r="1491">
          <cell r="B1491" t="str">
            <v>Davao_del_Sur</v>
          </cell>
          <cell r="J1491" t="str">
            <v>Davao City</v>
          </cell>
          <cell r="K1491" t="str">
            <v>City</v>
          </cell>
          <cell r="M1491" t="str">
            <v>1st</v>
          </cell>
          <cell r="T1491" t="str">
            <v>No</v>
          </cell>
        </row>
        <row r="1492">
          <cell r="B1492" t="str">
            <v>Davao_del_Sur</v>
          </cell>
          <cell r="J1492" t="str">
            <v>Hagonoy</v>
          </cell>
          <cell r="K1492" t="str">
            <v>Municipality</v>
          </cell>
          <cell r="M1492" t="str">
            <v>3rd</v>
          </cell>
          <cell r="T1492" t="str">
            <v>No</v>
          </cell>
        </row>
        <row r="1493">
          <cell r="B1493" t="str">
            <v>Davao_del_Sur</v>
          </cell>
          <cell r="J1493" t="str">
            <v>Kiblawan</v>
          </cell>
          <cell r="K1493" t="str">
            <v>Municipality</v>
          </cell>
          <cell r="M1493" t="str">
            <v>2nd</v>
          </cell>
          <cell r="T1493" t="str">
            <v>No</v>
          </cell>
        </row>
        <row r="1494">
          <cell r="B1494" t="str">
            <v>Davao_del_Sur</v>
          </cell>
          <cell r="J1494" t="str">
            <v>Magsaysay</v>
          </cell>
          <cell r="K1494" t="str">
            <v>Municipality</v>
          </cell>
          <cell r="M1494" t="str">
            <v>3rd</v>
          </cell>
          <cell r="T1494" t="str">
            <v>No</v>
          </cell>
        </row>
        <row r="1495">
          <cell r="B1495" t="str">
            <v>Davao_del_Sur</v>
          </cell>
          <cell r="J1495" t="str">
            <v>Malalag</v>
          </cell>
          <cell r="K1495" t="str">
            <v>Municipality</v>
          </cell>
          <cell r="M1495" t="str">
            <v>2nd</v>
          </cell>
          <cell r="T1495" t="str">
            <v>No</v>
          </cell>
        </row>
        <row r="1496">
          <cell r="B1496" t="str">
            <v>Davao_del_Sur</v>
          </cell>
          <cell r="J1496" t="str">
            <v>Matanao</v>
          </cell>
          <cell r="K1496" t="str">
            <v>Municipality</v>
          </cell>
          <cell r="M1496" t="str">
            <v>2nd</v>
          </cell>
          <cell r="T1496" t="str">
            <v>No</v>
          </cell>
        </row>
        <row r="1497">
          <cell r="B1497" t="str">
            <v>Davao_del_Sur</v>
          </cell>
          <cell r="J1497" t="str">
            <v>Padada</v>
          </cell>
          <cell r="K1497" t="str">
            <v>Municipality</v>
          </cell>
          <cell r="M1497" t="str">
            <v>3rd</v>
          </cell>
          <cell r="T1497" t="str">
            <v>No</v>
          </cell>
        </row>
        <row r="1498">
          <cell r="B1498" t="str">
            <v>Davao_del_Sur</v>
          </cell>
          <cell r="J1498" t="str">
            <v>Santa Cruz</v>
          </cell>
          <cell r="K1498" t="str">
            <v>Municipality</v>
          </cell>
          <cell r="M1498" t="str">
            <v>1st</v>
          </cell>
          <cell r="T1498" t="str">
            <v>No</v>
          </cell>
        </row>
        <row r="1499">
          <cell r="B1499" t="str">
            <v>Davao_del_Sur</v>
          </cell>
          <cell r="J1499" t="str">
            <v>Sulop</v>
          </cell>
          <cell r="K1499" t="str">
            <v>Municipality</v>
          </cell>
          <cell r="M1499" t="str">
            <v>3rd</v>
          </cell>
          <cell r="T1499" t="str">
            <v>No</v>
          </cell>
        </row>
        <row r="1500">
          <cell r="B1500" t="str">
            <v>Davao_Occidental</v>
          </cell>
          <cell r="J1500" t="str">
            <v>Don Marcelino</v>
          </cell>
          <cell r="K1500" t="str">
            <v>Municipality</v>
          </cell>
          <cell r="M1500" t="str">
            <v>3rd</v>
          </cell>
          <cell r="T1500" t="str">
            <v>No</v>
          </cell>
        </row>
        <row r="1501">
          <cell r="B1501" t="str">
            <v>Davao_Occidental</v>
          </cell>
          <cell r="J1501" t="str">
            <v>Jose Abad Santos (Trinidad)</v>
          </cell>
          <cell r="K1501" t="str">
            <v>Municipality</v>
          </cell>
          <cell r="M1501" t="str">
            <v>1st</v>
          </cell>
          <cell r="T1501" t="str">
            <v>No</v>
          </cell>
        </row>
        <row r="1502">
          <cell r="B1502" t="str">
            <v>Davao_Occidental</v>
          </cell>
          <cell r="J1502" t="str">
            <v>Malita</v>
          </cell>
          <cell r="K1502" t="str">
            <v>Municipality</v>
          </cell>
          <cell r="M1502" t="str">
            <v>1st</v>
          </cell>
          <cell r="T1502" t="str">
            <v>No</v>
          </cell>
        </row>
        <row r="1503">
          <cell r="B1503" t="str">
            <v>Davao_Occidental</v>
          </cell>
          <cell r="J1503" t="str">
            <v>Santa Maria</v>
          </cell>
          <cell r="K1503" t="str">
            <v>Municipality</v>
          </cell>
          <cell r="M1503" t="str">
            <v>2nd</v>
          </cell>
          <cell r="T1503" t="str">
            <v>No</v>
          </cell>
        </row>
        <row r="1504">
          <cell r="B1504" t="str">
            <v>Davao_Occidental</v>
          </cell>
          <cell r="J1504" t="str">
            <v>Sarangani</v>
          </cell>
          <cell r="K1504" t="str">
            <v>Municipality</v>
          </cell>
          <cell r="M1504" t="str">
            <v>4th</v>
          </cell>
          <cell r="T1504" t="str">
            <v>No</v>
          </cell>
        </row>
        <row r="1505">
          <cell r="B1505" t="str">
            <v>Davao_Oriental</v>
          </cell>
          <cell r="J1505" t="str">
            <v>Baganga</v>
          </cell>
          <cell r="K1505" t="str">
            <v>Municipality</v>
          </cell>
          <cell r="M1505" t="str">
            <v>1st</v>
          </cell>
          <cell r="T1505" t="str">
            <v>Yes</v>
          </cell>
        </row>
        <row r="1506">
          <cell r="B1506" t="str">
            <v>Davao_Oriental</v>
          </cell>
          <cell r="J1506" t="str">
            <v>Banaybanay</v>
          </cell>
          <cell r="K1506" t="str">
            <v>Municipality</v>
          </cell>
          <cell r="M1506" t="str">
            <v>2nd</v>
          </cell>
          <cell r="T1506" t="str">
            <v>Yes</v>
          </cell>
        </row>
        <row r="1507">
          <cell r="B1507" t="str">
            <v>Davao_Oriental</v>
          </cell>
          <cell r="J1507" t="str">
            <v>Boston</v>
          </cell>
          <cell r="K1507" t="str">
            <v>Municipality</v>
          </cell>
          <cell r="M1507" t="str">
            <v>3rd</v>
          </cell>
          <cell r="T1507" t="str">
            <v>Yes</v>
          </cell>
        </row>
        <row r="1508">
          <cell r="B1508" t="str">
            <v>Davao_Oriental</v>
          </cell>
          <cell r="J1508" t="str">
            <v>Caraga</v>
          </cell>
          <cell r="K1508" t="str">
            <v>Municipality</v>
          </cell>
          <cell r="M1508" t="str">
            <v>1st</v>
          </cell>
          <cell r="T1508" t="str">
            <v>Yes</v>
          </cell>
        </row>
        <row r="1509">
          <cell r="B1509" t="str">
            <v>Davao_Oriental</v>
          </cell>
          <cell r="J1509" t="str">
            <v>Cateel</v>
          </cell>
          <cell r="K1509" t="str">
            <v>Municipality</v>
          </cell>
          <cell r="M1509" t="str">
            <v>2nd</v>
          </cell>
          <cell r="T1509" t="str">
            <v>Yes</v>
          </cell>
        </row>
        <row r="1510">
          <cell r="B1510" t="str">
            <v>Davao_Oriental</v>
          </cell>
          <cell r="J1510" t="str">
            <v>City Of Mati (Capital)</v>
          </cell>
          <cell r="K1510" t="str">
            <v>City</v>
          </cell>
          <cell r="M1510" t="str">
            <v>5th</v>
          </cell>
          <cell r="T1510" t="str">
            <v>Yes</v>
          </cell>
        </row>
        <row r="1511">
          <cell r="B1511" t="str">
            <v>Davao_Oriental</v>
          </cell>
          <cell r="J1511" t="str">
            <v>Governor Generoso</v>
          </cell>
          <cell r="K1511" t="str">
            <v>Municipality</v>
          </cell>
          <cell r="M1511" t="str">
            <v>2nd</v>
          </cell>
          <cell r="T1511" t="str">
            <v>Yes</v>
          </cell>
        </row>
        <row r="1512">
          <cell r="B1512" t="str">
            <v>Davao_Oriental</v>
          </cell>
          <cell r="J1512" t="str">
            <v>Lupon</v>
          </cell>
          <cell r="K1512" t="str">
            <v>Municipality</v>
          </cell>
          <cell r="M1512" t="str">
            <v>1st</v>
          </cell>
          <cell r="T1512" t="str">
            <v>Yes</v>
          </cell>
        </row>
        <row r="1513">
          <cell r="B1513" t="str">
            <v>Davao_Oriental</v>
          </cell>
          <cell r="J1513" t="str">
            <v>Manay</v>
          </cell>
          <cell r="K1513" t="str">
            <v>Municipality</v>
          </cell>
          <cell r="M1513" t="str">
            <v>2nd</v>
          </cell>
          <cell r="T1513" t="str">
            <v>Yes</v>
          </cell>
        </row>
        <row r="1514">
          <cell r="B1514" t="str">
            <v>Davao_Oriental</v>
          </cell>
          <cell r="J1514" t="str">
            <v>San Isidro</v>
          </cell>
          <cell r="K1514" t="str">
            <v>Municipality</v>
          </cell>
          <cell r="M1514" t="str">
            <v>4th</v>
          </cell>
          <cell r="T1514" t="str">
            <v>Yes</v>
          </cell>
        </row>
        <row r="1515">
          <cell r="B1515" t="str">
            <v>Davao_Oriental</v>
          </cell>
          <cell r="J1515" t="str">
            <v>Tarragona</v>
          </cell>
          <cell r="K1515" t="str">
            <v>Municipality</v>
          </cell>
          <cell r="M1515" t="str">
            <v>3rd</v>
          </cell>
          <cell r="T1515" t="str">
            <v>Yes</v>
          </cell>
        </row>
        <row r="1516">
          <cell r="B1516" t="str">
            <v>Maguindanao</v>
          </cell>
          <cell r="J1516" t="str">
            <v>Cotabato City</v>
          </cell>
          <cell r="K1516" t="str">
            <v>City</v>
          </cell>
          <cell r="M1516" t="str">
            <v>3rd</v>
          </cell>
          <cell r="T1516" t="str">
            <v>Yes</v>
          </cell>
        </row>
        <row r="1517">
          <cell r="B1517" t="str">
            <v>North_Cotabato</v>
          </cell>
          <cell r="J1517" t="str">
            <v>Alamada</v>
          </cell>
          <cell r="K1517" t="str">
            <v>Municipality</v>
          </cell>
          <cell r="M1517" t="str">
            <v>1st</v>
          </cell>
          <cell r="T1517" t="str">
            <v>Yes</v>
          </cell>
        </row>
        <row r="1518">
          <cell r="B1518" t="str">
            <v>North_Cotabato</v>
          </cell>
          <cell r="J1518" t="str">
            <v>Aleosan</v>
          </cell>
          <cell r="K1518" t="str">
            <v>Municipality</v>
          </cell>
          <cell r="M1518" t="str">
            <v>3rd</v>
          </cell>
          <cell r="T1518" t="str">
            <v>Yes</v>
          </cell>
        </row>
        <row r="1519">
          <cell r="B1519" t="str">
            <v>North_Cotabato</v>
          </cell>
          <cell r="J1519" t="str">
            <v>Antipas</v>
          </cell>
          <cell r="K1519" t="str">
            <v>Municipality</v>
          </cell>
          <cell r="M1519" t="str">
            <v>2nd</v>
          </cell>
          <cell r="T1519" t="str">
            <v>Yes</v>
          </cell>
        </row>
        <row r="1520">
          <cell r="B1520" t="str">
            <v>North_Cotabato</v>
          </cell>
          <cell r="J1520" t="str">
            <v>Arakan</v>
          </cell>
          <cell r="K1520" t="str">
            <v>Municipality</v>
          </cell>
          <cell r="M1520" t="str">
            <v>2nd</v>
          </cell>
          <cell r="T1520" t="str">
            <v>Yes</v>
          </cell>
        </row>
        <row r="1521">
          <cell r="B1521" t="str">
            <v>North_Cotabato</v>
          </cell>
          <cell r="J1521" t="str">
            <v>Banisilan</v>
          </cell>
          <cell r="K1521" t="str">
            <v>Municipality</v>
          </cell>
          <cell r="M1521" t="str">
            <v>2nd</v>
          </cell>
          <cell r="T1521" t="str">
            <v>Yes</v>
          </cell>
        </row>
        <row r="1522">
          <cell r="B1522" t="str">
            <v>North_Cotabato</v>
          </cell>
          <cell r="J1522" t="str">
            <v>Carmen</v>
          </cell>
          <cell r="K1522" t="str">
            <v>Municipality</v>
          </cell>
          <cell r="M1522" t="str">
            <v>1st</v>
          </cell>
          <cell r="T1522" t="str">
            <v>Yes</v>
          </cell>
        </row>
        <row r="1523">
          <cell r="B1523" t="str">
            <v>North_Cotabato</v>
          </cell>
          <cell r="J1523" t="str">
            <v>City Of Kidapawan (Capital)</v>
          </cell>
          <cell r="K1523" t="str">
            <v>City</v>
          </cell>
          <cell r="M1523" t="str">
            <v>3rd</v>
          </cell>
          <cell r="T1523" t="str">
            <v>Yes</v>
          </cell>
        </row>
        <row r="1524">
          <cell r="B1524" t="str">
            <v>North_Cotabato</v>
          </cell>
          <cell r="J1524" t="str">
            <v>Kabacan</v>
          </cell>
          <cell r="K1524" t="str">
            <v>Municipality</v>
          </cell>
          <cell r="M1524" t="str">
            <v>1st</v>
          </cell>
          <cell r="T1524" t="str">
            <v>Yes</v>
          </cell>
        </row>
        <row r="1525">
          <cell r="B1525" t="str">
            <v>North_Cotabato</v>
          </cell>
          <cell r="J1525" t="str">
            <v>Libungan</v>
          </cell>
          <cell r="K1525" t="str">
            <v>Municipality</v>
          </cell>
          <cell r="M1525" t="str">
            <v>2nd</v>
          </cell>
          <cell r="T1525" t="str">
            <v>Yes</v>
          </cell>
        </row>
        <row r="1526">
          <cell r="B1526" t="str">
            <v>North_Cotabato</v>
          </cell>
          <cell r="J1526" t="str">
            <v>Magpet</v>
          </cell>
          <cell r="K1526" t="str">
            <v>Municipality</v>
          </cell>
          <cell r="M1526" t="str">
            <v>1st</v>
          </cell>
          <cell r="T1526" t="str">
            <v>Yes</v>
          </cell>
        </row>
        <row r="1527">
          <cell r="B1527" t="str">
            <v>North_Cotabato</v>
          </cell>
          <cell r="J1527" t="str">
            <v>Makilala</v>
          </cell>
          <cell r="K1527" t="str">
            <v>Municipality</v>
          </cell>
          <cell r="M1527" t="str">
            <v>1st</v>
          </cell>
          <cell r="T1527" t="str">
            <v>Yes</v>
          </cell>
        </row>
        <row r="1528">
          <cell r="B1528" t="str">
            <v>North_Cotabato</v>
          </cell>
          <cell r="J1528" t="str">
            <v>Matalam</v>
          </cell>
          <cell r="K1528" t="str">
            <v>Municipality</v>
          </cell>
          <cell r="M1528" t="str">
            <v>1st</v>
          </cell>
          <cell r="T1528" t="str">
            <v>Yes</v>
          </cell>
        </row>
        <row r="1529">
          <cell r="B1529" t="str">
            <v>North_Cotabato</v>
          </cell>
          <cell r="J1529" t="str">
            <v>Midsayap</v>
          </cell>
          <cell r="K1529" t="str">
            <v>Municipality</v>
          </cell>
          <cell r="M1529" t="str">
            <v>1st</v>
          </cell>
          <cell r="T1529" t="str">
            <v>Yes</v>
          </cell>
        </row>
        <row r="1530">
          <cell r="B1530" t="str">
            <v>North_Cotabato</v>
          </cell>
          <cell r="J1530" t="str">
            <v>M'Lang</v>
          </cell>
          <cell r="K1530" t="str">
            <v>Municipality</v>
          </cell>
          <cell r="M1530" t="str">
            <v>1st</v>
          </cell>
          <cell r="T1530" t="str">
            <v>Yes</v>
          </cell>
        </row>
        <row r="1531">
          <cell r="B1531" t="str">
            <v>North_Cotabato</v>
          </cell>
          <cell r="J1531" t="str">
            <v>Pigkawayan</v>
          </cell>
          <cell r="K1531" t="str">
            <v>Municipality</v>
          </cell>
          <cell r="M1531" t="str">
            <v>1st</v>
          </cell>
          <cell r="T1531" t="str">
            <v>Yes</v>
          </cell>
        </row>
        <row r="1532">
          <cell r="B1532" t="str">
            <v>North_Cotabato</v>
          </cell>
          <cell r="J1532" t="str">
            <v>Pikit</v>
          </cell>
          <cell r="K1532" t="str">
            <v>Municipality</v>
          </cell>
          <cell r="M1532" t="str">
            <v>1st</v>
          </cell>
          <cell r="T1532" t="str">
            <v>Yes</v>
          </cell>
        </row>
        <row r="1533">
          <cell r="B1533" t="str">
            <v>North_Cotabato</v>
          </cell>
          <cell r="J1533" t="str">
            <v>President Roxas</v>
          </cell>
          <cell r="K1533" t="str">
            <v>Municipality</v>
          </cell>
          <cell r="M1533" t="str">
            <v>1st</v>
          </cell>
          <cell r="T1533" t="str">
            <v>Yes</v>
          </cell>
        </row>
        <row r="1534">
          <cell r="B1534" t="str">
            <v>North_Cotabato</v>
          </cell>
          <cell r="J1534" t="str">
            <v>Tulunan</v>
          </cell>
          <cell r="K1534" t="str">
            <v>Municipality</v>
          </cell>
          <cell r="M1534" t="str">
            <v>2nd</v>
          </cell>
          <cell r="T1534" t="str">
            <v>Yes</v>
          </cell>
        </row>
        <row r="1535">
          <cell r="B1535" t="str">
            <v>Sarangani</v>
          </cell>
          <cell r="J1535" t="str">
            <v>Alabel (Capital)</v>
          </cell>
          <cell r="K1535" t="str">
            <v>Municipality</v>
          </cell>
          <cell r="M1535" t="str">
            <v>1st</v>
          </cell>
          <cell r="T1535" t="str">
            <v>No</v>
          </cell>
        </row>
        <row r="1536">
          <cell r="B1536" t="str">
            <v>Sarangani</v>
          </cell>
          <cell r="J1536" t="str">
            <v>Glan</v>
          </cell>
          <cell r="K1536" t="str">
            <v>Municipality</v>
          </cell>
          <cell r="M1536" t="str">
            <v>1st</v>
          </cell>
          <cell r="T1536" t="str">
            <v>No</v>
          </cell>
        </row>
        <row r="1537">
          <cell r="B1537" t="str">
            <v>Sarangani</v>
          </cell>
          <cell r="J1537" t="str">
            <v>Kiamba</v>
          </cell>
          <cell r="K1537" t="str">
            <v>Municipality</v>
          </cell>
          <cell r="M1537" t="str">
            <v>1st</v>
          </cell>
          <cell r="T1537" t="str">
            <v>No</v>
          </cell>
        </row>
        <row r="1538">
          <cell r="B1538" t="str">
            <v>Sarangani</v>
          </cell>
          <cell r="J1538" t="str">
            <v>Maasim</v>
          </cell>
          <cell r="K1538" t="str">
            <v>Municipality</v>
          </cell>
          <cell r="M1538" t="str">
            <v>1st</v>
          </cell>
          <cell r="T1538" t="str">
            <v>No</v>
          </cell>
        </row>
        <row r="1539">
          <cell r="B1539" t="str">
            <v>Sarangani</v>
          </cell>
          <cell r="J1539" t="str">
            <v>Maitum</v>
          </cell>
          <cell r="K1539" t="str">
            <v>Municipality</v>
          </cell>
          <cell r="M1539" t="str">
            <v>2nd</v>
          </cell>
          <cell r="T1539" t="str">
            <v>No</v>
          </cell>
        </row>
        <row r="1540">
          <cell r="B1540" t="str">
            <v>Sarangani</v>
          </cell>
          <cell r="J1540" t="str">
            <v>Malapatan</v>
          </cell>
          <cell r="K1540" t="str">
            <v>Municipality</v>
          </cell>
          <cell r="M1540" t="str">
            <v>1st</v>
          </cell>
          <cell r="T1540" t="str">
            <v>No</v>
          </cell>
        </row>
        <row r="1541">
          <cell r="B1541" t="str">
            <v>Sarangani</v>
          </cell>
          <cell r="J1541" t="str">
            <v>Malungon</v>
          </cell>
          <cell r="K1541" t="str">
            <v>Municipality</v>
          </cell>
          <cell r="M1541" t="str">
            <v>1st</v>
          </cell>
          <cell r="T1541" t="str">
            <v>No</v>
          </cell>
        </row>
        <row r="1542">
          <cell r="B1542" t="str">
            <v>South_Cotabato</v>
          </cell>
          <cell r="J1542" t="str">
            <v>Banga</v>
          </cell>
          <cell r="K1542" t="str">
            <v>Municipality</v>
          </cell>
          <cell r="M1542" t="str">
            <v>1st</v>
          </cell>
          <cell r="T1542" t="str">
            <v>No</v>
          </cell>
        </row>
        <row r="1543">
          <cell r="B1543" t="str">
            <v>South_Cotabato</v>
          </cell>
          <cell r="J1543" t="str">
            <v>City Of Koronadal (Capital)</v>
          </cell>
          <cell r="K1543" t="str">
            <v>City</v>
          </cell>
          <cell r="M1543" t="str">
            <v>3rd</v>
          </cell>
          <cell r="T1543" t="str">
            <v>No</v>
          </cell>
        </row>
        <row r="1544">
          <cell r="B1544" t="str">
            <v>South_Cotabato</v>
          </cell>
          <cell r="J1544" t="str">
            <v>General Santos City (Dadiangas)</v>
          </cell>
          <cell r="K1544" t="str">
            <v>City</v>
          </cell>
          <cell r="M1544" t="str">
            <v>1st</v>
          </cell>
          <cell r="T1544" t="str">
            <v>No</v>
          </cell>
        </row>
        <row r="1545">
          <cell r="B1545" t="str">
            <v>South_Cotabato</v>
          </cell>
          <cell r="J1545" t="str">
            <v>Lake Sebu</v>
          </cell>
          <cell r="K1545" t="str">
            <v>Municipality</v>
          </cell>
          <cell r="M1545" t="str">
            <v>1st</v>
          </cell>
          <cell r="T1545" t="str">
            <v>No</v>
          </cell>
        </row>
        <row r="1546">
          <cell r="B1546" t="str">
            <v>South_Cotabato</v>
          </cell>
          <cell r="J1546" t="str">
            <v>Norala</v>
          </cell>
          <cell r="K1546" t="str">
            <v>Municipality</v>
          </cell>
          <cell r="M1546" t="str">
            <v>3rd</v>
          </cell>
          <cell r="T1546" t="str">
            <v>No</v>
          </cell>
        </row>
        <row r="1547">
          <cell r="B1547" t="str">
            <v>South_Cotabato</v>
          </cell>
          <cell r="J1547" t="str">
            <v>Polomolok</v>
          </cell>
          <cell r="K1547" t="str">
            <v>Municipality</v>
          </cell>
          <cell r="M1547" t="str">
            <v>1st</v>
          </cell>
          <cell r="T1547" t="str">
            <v>No</v>
          </cell>
        </row>
        <row r="1548">
          <cell r="B1548" t="str">
            <v>South_Cotabato</v>
          </cell>
          <cell r="J1548" t="str">
            <v>Santo Niño</v>
          </cell>
          <cell r="K1548" t="str">
            <v>Municipality</v>
          </cell>
          <cell r="M1548" t="str">
            <v>3rd</v>
          </cell>
          <cell r="T1548" t="str">
            <v>No</v>
          </cell>
        </row>
        <row r="1549">
          <cell r="B1549" t="str">
            <v>South_Cotabato</v>
          </cell>
          <cell r="J1549" t="str">
            <v>Surallah</v>
          </cell>
          <cell r="K1549" t="str">
            <v>Municipality</v>
          </cell>
          <cell r="M1549" t="str">
            <v>1st</v>
          </cell>
          <cell r="T1549" t="str">
            <v>No</v>
          </cell>
        </row>
        <row r="1550">
          <cell r="B1550" t="str">
            <v>South_Cotabato</v>
          </cell>
          <cell r="J1550" t="str">
            <v>Tampakan</v>
          </cell>
          <cell r="K1550" t="str">
            <v>Municipality</v>
          </cell>
          <cell r="M1550" t="str">
            <v>2nd</v>
          </cell>
          <cell r="T1550" t="str">
            <v>No</v>
          </cell>
        </row>
        <row r="1551">
          <cell r="B1551" t="str">
            <v>South_Cotabato</v>
          </cell>
          <cell r="J1551" t="str">
            <v>Tantangan</v>
          </cell>
          <cell r="K1551" t="str">
            <v>Municipality</v>
          </cell>
          <cell r="M1551" t="str">
            <v>3rd</v>
          </cell>
          <cell r="T1551" t="str">
            <v>No</v>
          </cell>
        </row>
        <row r="1552">
          <cell r="B1552" t="str">
            <v>South_Cotabato</v>
          </cell>
          <cell r="J1552" t="str">
            <v>T'Boli</v>
          </cell>
          <cell r="K1552" t="str">
            <v>Municipality</v>
          </cell>
          <cell r="M1552" t="str">
            <v>1st</v>
          </cell>
          <cell r="T1552" t="str">
            <v>No</v>
          </cell>
        </row>
        <row r="1553">
          <cell r="B1553" t="str">
            <v>South_Cotabato</v>
          </cell>
          <cell r="J1553" t="str">
            <v>Tupi</v>
          </cell>
          <cell r="K1553" t="str">
            <v>Municipality</v>
          </cell>
          <cell r="M1553" t="str">
            <v>1st</v>
          </cell>
          <cell r="T1553" t="str">
            <v>No</v>
          </cell>
        </row>
        <row r="1554">
          <cell r="B1554" t="str">
            <v>Sultan_Kudarat</v>
          </cell>
          <cell r="J1554" t="str">
            <v>Bagumbayan</v>
          </cell>
          <cell r="K1554" t="str">
            <v>Municipality</v>
          </cell>
          <cell r="M1554" t="str">
            <v>1st</v>
          </cell>
          <cell r="T1554" t="str">
            <v>No</v>
          </cell>
        </row>
        <row r="1555">
          <cell r="B1555" t="str">
            <v>Sultan_Kudarat</v>
          </cell>
          <cell r="J1555" t="str">
            <v>City Of Tacurong</v>
          </cell>
          <cell r="K1555" t="str">
            <v>City</v>
          </cell>
          <cell r="M1555" t="str">
            <v>4th</v>
          </cell>
          <cell r="T1555" t="str">
            <v>No</v>
          </cell>
        </row>
        <row r="1556">
          <cell r="B1556" t="str">
            <v>Sultan_Kudarat</v>
          </cell>
          <cell r="J1556" t="str">
            <v>Columbio</v>
          </cell>
          <cell r="K1556" t="str">
            <v>Municipality</v>
          </cell>
          <cell r="M1556" t="str">
            <v>1st</v>
          </cell>
          <cell r="T1556" t="str">
            <v>No</v>
          </cell>
        </row>
        <row r="1557">
          <cell r="B1557" t="str">
            <v>Sultan_Kudarat</v>
          </cell>
          <cell r="J1557" t="str">
            <v>Esperanza</v>
          </cell>
          <cell r="K1557" t="str">
            <v>Municipality</v>
          </cell>
          <cell r="M1557" t="str">
            <v>1st</v>
          </cell>
          <cell r="T1557" t="str">
            <v>No</v>
          </cell>
        </row>
        <row r="1558">
          <cell r="B1558" t="str">
            <v>Sultan_Kudarat</v>
          </cell>
          <cell r="J1558" t="str">
            <v>Isulan (Capital)</v>
          </cell>
          <cell r="K1558" t="str">
            <v>Municipality</v>
          </cell>
          <cell r="M1558" t="str">
            <v>1st</v>
          </cell>
          <cell r="T1558" t="str">
            <v>No</v>
          </cell>
        </row>
        <row r="1559">
          <cell r="B1559" t="str">
            <v>Sultan_Kudarat</v>
          </cell>
          <cell r="J1559" t="str">
            <v>Kalamansig</v>
          </cell>
          <cell r="K1559" t="str">
            <v>Municipality</v>
          </cell>
          <cell r="M1559" t="str">
            <v>1st</v>
          </cell>
          <cell r="T1559" t="str">
            <v>No</v>
          </cell>
        </row>
        <row r="1560">
          <cell r="B1560" t="str">
            <v>Sultan_Kudarat</v>
          </cell>
          <cell r="J1560" t="str">
            <v>Lambayong (Mariano Marcos)</v>
          </cell>
          <cell r="K1560" t="str">
            <v>Municipality</v>
          </cell>
          <cell r="M1560" t="str">
            <v>2nd</v>
          </cell>
          <cell r="T1560" t="str">
            <v>No</v>
          </cell>
        </row>
        <row r="1561">
          <cell r="B1561" t="str">
            <v>Sultan_Kudarat</v>
          </cell>
          <cell r="J1561" t="str">
            <v>Lebak</v>
          </cell>
          <cell r="K1561" t="str">
            <v>Municipality</v>
          </cell>
          <cell r="M1561" t="str">
            <v>1st</v>
          </cell>
          <cell r="T1561" t="str">
            <v>No</v>
          </cell>
        </row>
        <row r="1562">
          <cell r="B1562" t="str">
            <v>Sultan_Kudarat</v>
          </cell>
          <cell r="J1562" t="str">
            <v>Lutayan</v>
          </cell>
          <cell r="K1562" t="str">
            <v>Municipality</v>
          </cell>
          <cell r="M1562" t="str">
            <v>2nd</v>
          </cell>
          <cell r="T1562" t="str">
            <v>No</v>
          </cell>
        </row>
        <row r="1563">
          <cell r="B1563" t="str">
            <v>Sultan_Kudarat</v>
          </cell>
          <cell r="J1563" t="str">
            <v>Palimbang</v>
          </cell>
          <cell r="K1563" t="str">
            <v>Municipality</v>
          </cell>
          <cell r="M1563" t="str">
            <v>2nd</v>
          </cell>
          <cell r="T1563" t="str">
            <v>No</v>
          </cell>
        </row>
        <row r="1564">
          <cell r="B1564" t="str">
            <v>Sultan_Kudarat</v>
          </cell>
          <cell r="J1564" t="str">
            <v>President Quirino</v>
          </cell>
          <cell r="K1564" t="str">
            <v>Municipality</v>
          </cell>
          <cell r="M1564" t="str">
            <v>3rd</v>
          </cell>
          <cell r="T1564" t="str">
            <v>No</v>
          </cell>
        </row>
        <row r="1565">
          <cell r="B1565" t="str">
            <v>Sultan_Kudarat</v>
          </cell>
          <cell r="J1565" t="str">
            <v>Sen.  Ninoy Aquino</v>
          </cell>
          <cell r="K1565" t="str">
            <v>Municipality</v>
          </cell>
          <cell r="M1565" t="str">
            <v>3rd</v>
          </cell>
          <cell r="T1565" t="str">
            <v>No</v>
          </cell>
        </row>
        <row r="1566">
          <cell r="B1566" t="str">
            <v>Agusan_del_Norte</v>
          </cell>
          <cell r="J1566" t="str">
            <v>Buenavista</v>
          </cell>
          <cell r="K1566" t="str">
            <v>Municipality</v>
          </cell>
          <cell r="M1566" t="str">
            <v>1st</v>
          </cell>
          <cell r="T1566" t="str">
            <v>No</v>
          </cell>
        </row>
        <row r="1567">
          <cell r="B1567" t="str">
            <v>Agusan_del_Norte</v>
          </cell>
          <cell r="J1567" t="str">
            <v>Butuan City (Capital)</v>
          </cell>
          <cell r="K1567" t="str">
            <v>City</v>
          </cell>
          <cell r="M1567" t="str">
            <v>1st</v>
          </cell>
          <cell r="T1567" t="str">
            <v>No</v>
          </cell>
        </row>
        <row r="1568">
          <cell r="B1568" t="str">
            <v>Agusan_del_Norte</v>
          </cell>
          <cell r="J1568" t="str">
            <v>Carmen</v>
          </cell>
          <cell r="K1568" t="str">
            <v>Municipality</v>
          </cell>
          <cell r="M1568" t="str">
            <v>4th</v>
          </cell>
          <cell r="T1568" t="str">
            <v>No</v>
          </cell>
        </row>
        <row r="1569">
          <cell r="B1569" t="str">
            <v>Agusan_del_Norte</v>
          </cell>
          <cell r="J1569" t="str">
            <v>City Of Cabadbaran</v>
          </cell>
          <cell r="K1569" t="str">
            <v>City</v>
          </cell>
          <cell r="M1569" t="str">
            <v>6th</v>
          </cell>
          <cell r="T1569" t="str">
            <v>No</v>
          </cell>
        </row>
        <row r="1570">
          <cell r="B1570" t="str">
            <v>Agusan_del_Norte</v>
          </cell>
          <cell r="J1570" t="str">
            <v>Jabonga</v>
          </cell>
          <cell r="K1570" t="str">
            <v>Municipality</v>
          </cell>
          <cell r="M1570" t="str">
            <v>3rd</v>
          </cell>
          <cell r="T1570" t="str">
            <v>No</v>
          </cell>
        </row>
        <row r="1571">
          <cell r="B1571" t="str">
            <v>Agusan_del_Norte</v>
          </cell>
          <cell r="J1571" t="str">
            <v>Kitcharao</v>
          </cell>
          <cell r="K1571" t="str">
            <v>Municipality</v>
          </cell>
          <cell r="M1571" t="str">
            <v>4th</v>
          </cell>
          <cell r="T1571" t="str">
            <v>No</v>
          </cell>
        </row>
        <row r="1572">
          <cell r="B1572" t="str">
            <v>Agusan_del_Norte</v>
          </cell>
          <cell r="J1572" t="str">
            <v>Las Nieves</v>
          </cell>
          <cell r="K1572" t="str">
            <v>Municipality</v>
          </cell>
          <cell r="M1572" t="str">
            <v>2nd</v>
          </cell>
          <cell r="T1572" t="str">
            <v>No</v>
          </cell>
        </row>
        <row r="1573">
          <cell r="B1573" t="str">
            <v>Agusan_del_Norte</v>
          </cell>
          <cell r="J1573" t="str">
            <v>Magallanes</v>
          </cell>
          <cell r="K1573" t="str">
            <v>Municipality</v>
          </cell>
          <cell r="M1573" t="str">
            <v>4th</v>
          </cell>
          <cell r="T1573" t="str">
            <v>No</v>
          </cell>
        </row>
        <row r="1574">
          <cell r="B1574" t="str">
            <v>Agusan_del_Norte</v>
          </cell>
          <cell r="J1574" t="str">
            <v>Nasipit</v>
          </cell>
          <cell r="K1574" t="str">
            <v>Municipality</v>
          </cell>
          <cell r="M1574" t="str">
            <v>3rd</v>
          </cell>
          <cell r="T1574" t="str">
            <v>No</v>
          </cell>
        </row>
        <row r="1575">
          <cell r="B1575" t="str">
            <v>Agusan_del_Norte</v>
          </cell>
          <cell r="J1575" t="str">
            <v>Remedios T.  Romualdez</v>
          </cell>
          <cell r="K1575" t="str">
            <v>Municipality</v>
          </cell>
          <cell r="M1575" t="str">
            <v>5th</v>
          </cell>
          <cell r="T1575" t="str">
            <v>No</v>
          </cell>
        </row>
        <row r="1576">
          <cell r="B1576" t="str">
            <v>Agusan_del_Norte</v>
          </cell>
          <cell r="J1576" t="str">
            <v>Santiago</v>
          </cell>
          <cell r="K1576" t="str">
            <v>Municipality</v>
          </cell>
          <cell r="M1576" t="str">
            <v>4th</v>
          </cell>
          <cell r="T1576" t="str">
            <v>No</v>
          </cell>
        </row>
        <row r="1577">
          <cell r="B1577" t="str">
            <v>Agusan_del_Norte</v>
          </cell>
          <cell r="J1577" t="str">
            <v>Tubay</v>
          </cell>
          <cell r="K1577" t="str">
            <v>Municipality</v>
          </cell>
          <cell r="M1577" t="str">
            <v>4th</v>
          </cell>
          <cell r="T1577" t="str">
            <v>No</v>
          </cell>
        </row>
        <row r="1578">
          <cell r="B1578" t="str">
            <v>Agusan_del_Sur</v>
          </cell>
          <cell r="J1578" t="str">
            <v>Bunawan</v>
          </cell>
          <cell r="K1578" t="str">
            <v>Municipality</v>
          </cell>
          <cell r="M1578" t="str">
            <v>1st</v>
          </cell>
          <cell r="T1578" t="str">
            <v>No</v>
          </cell>
        </row>
        <row r="1579">
          <cell r="B1579" t="str">
            <v>Agusan_del_Sur</v>
          </cell>
          <cell r="J1579" t="str">
            <v>City Of Bayugan</v>
          </cell>
          <cell r="K1579" t="str">
            <v>City</v>
          </cell>
          <cell r="M1579" t="str">
            <v>5th</v>
          </cell>
          <cell r="T1579" t="str">
            <v>No</v>
          </cell>
        </row>
        <row r="1580">
          <cell r="B1580" t="str">
            <v>Agusan_del_Sur</v>
          </cell>
          <cell r="J1580" t="str">
            <v>Esperanza</v>
          </cell>
          <cell r="K1580" t="str">
            <v>Municipality</v>
          </cell>
          <cell r="M1580" t="str">
            <v>1st</v>
          </cell>
          <cell r="T1580" t="str">
            <v>No</v>
          </cell>
        </row>
        <row r="1581">
          <cell r="B1581" t="str">
            <v>Agusan_del_Sur</v>
          </cell>
          <cell r="J1581" t="str">
            <v>La Paz</v>
          </cell>
          <cell r="K1581" t="str">
            <v>Municipality</v>
          </cell>
          <cell r="M1581" t="str">
            <v>1st</v>
          </cell>
          <cell r="T1581" t="str">
            <v>No</v>
          </cell>
        </row>
        <row r="1582">
          <cell r="B1582" t="str">
            <v>Agusan_del_Sur</v>
          </cell>
          <cell r="J1582" t="str">
            <v>Loreto</v>
          </cell>
          <cell r="K1582" t="str">
            <v>Municipality</v>
          </cell>
          <cell r="M1582" t="str">
            <v>1st</v>
          </cell>
          <cell r="T1582" t="str">
            <v>No</v>
          </cell>
        </row>
        <row r="1583">
          <cell r="B1583" t="str">
            <v>Agusan_del_Sur</v>
          </cell>
          <cell r="J1583" t="str">
            <v>Prosperidad (Capital)</v>
          </cell>
          <cell r="K1583" t="str">
            <v>Municipality</v>
          </cell>
          <cell r="M1583" t="str">
            <v>1st</v>
          </cell>
          <cell r="T1583" t="str">
            <v>No</v>
          </cell>
        </row>
        <row r="1584">
          <cell r="B1584" t="str">
            <v>Agusan_del_Sur</v>
          </cell>
          <cell r="J1584" t="str">
            <v>Rosario</v>
          </cell>
          <cell r="K1584" t="str">
            <v>Municipality</v>
          </cell>
          <cell r="M1584" t="str">
            <v>2nd</v>
          </cell>
          <cell r="T1584" t="str">
            <v>No</v>
          </cell>
        </row>
        <row r="1585">
          <cell r="B1585" t="str">
            <v>Agusan_del_Sur</v>
          </cell>
          <cell r="J1585" t="str">
            <v>San Francisco</v>
          </cell>
          <cell r="K1585" t="str">
            <v>Municipality</v>
          </cell>
          <cell r="M1585" t="str">
            <v>1st</v>
          </cell>
          <cell r="T1585" t="str">
            <v>No</v>
          </cell>
        </row>
        <row r="1586">
          <cell r="B1586" t="str">
            <v>Agusan_del_Sur</v>
          </cell>
          <cell r="J1586" t="str">
            <v>San Luis</v>
          </cell>
          <cell r="K1586" t="str">
            <v>Municipality</v>
          </cell>
          <cell r="M1586" t="str">
            <v>1st</v>
          </cell>
          <cell r="T1586" t="str">
            <v>No</v>
          </cell>
        </row>
        <row r="1587">
          <cell r="B1587" t="str">
            <v>Agusan_del_Sur</v>
          </cell>
          <cell r="J1587" t="str">
            <v>Santa Josefa</v>
          </cell>
          <cell r="K1587" t="str">
            <v>Municipality</v>
          </cell>
          <cell r="M1587" t="str">
            <v>3rd</v>
          </cell>
          <cell r="T1587" t="str">
            <v>No</v>
          </cell>
        </row>
        <row r="1588">
          <cell r="B1588" t="str">
            <v>Agusan_del_Sur</v>
          </cell>
          <cell r="J1588" t="str">
            <v>Sibagat</v>
          </cell>
          <cell r="K1588" t="str">
            <v>Municipality</v>
          </cell>
          <cell r="M1588" t="str">
            <v>1st</v>
          </cell>
          <cell r="T1588" t="str">
            <v>No</v>
          </cell>
        </row>
        <row r="1589">
          <cell r="B1589" t="str">
            <v>Agusan_del_Sur</v>
          </cell>
          <cell r="J1589" t="str">
            <v>Talacogon</v>
          </cell>
          <cell r="K1589" t="str">
            <v>Municipality</v>
          </cell>
          <cell r="M1589" t="str">
            <v>2nd</v>
          </cell>
          <cell r="T1589" t="str">
            <v>No</v>
          </cell>
        </row>
        <row r="1590">
          <cell r="B1590" t="str">
            <v>Agusan_del_Sur</v>
          </cell>
          <cell r="J1590" t="str">
            <v>Trento</v>
          </cell>
          <cell r="K1590" t="str">
            <v>Municipality</v>
          </cell>
          <cell r="M1590" t="str">
            <v>1st</v>
          </cell>
          <cell r="T1590" t="str">
            <v>No</v>
          </cell>
        </row>
        <row r="1591">
          <cell r="B1591" t="str">
            <v>Agusan_del_Sur</v>
          </cell>
          <cell r="J1591" t="str">
            <v>Veruela</v>
          </cell>
          <cell r="K1591" t="str">
            <v>Municipality</v>
          </cell>
          <cell r="M1591" t="str">
            <v>2nd</v>
          </cell>
          <cell r="T1591" t="str">
            <v>No</v>
          </cell>
        </row>
        <row r="1592">
          <cell r="B1592" t="str">
            <v>Dinagat_Islands</v>
          </cell>
          <cell r="J1592" t="str">
            <v>Basilisa (Rizal)</v>
          </cell>
          <cell r="K1592" t="str">
            <v>Municipality</v>
          </cell>
          <cell r="M1592" t="str">
            <v>4th</v>
          </cell>
          <cell r="T1592" t="str">
            <v>No</v>
          </cell>
        </row>
        <row r="1593">
          <cell r="B1593" t="str">
            <v>Dinagat_Islands</v>
          </cell>
          <cell r="J1593" t="str">
            <v>Cagdianao</v>
          </cell>
          <cell r="K1593" t="str">
            <v>Municipality</v>
          </cell>
          <cell r="M1593" t="str">
            <v>3rd</v>
          </cell>
          <cell r="T1593" t="str">
            <v>No</v>
          </cell>
        </row>
        <row r="1594">
          <cell r="B1594" t="str">
            <v>Dinagat_Islands</v>
          </cell>
          <cell r="J1594" t="str">
            <v>Dinagat</v>
          </cell>
          <cell r="K1594" t="str">
            <v>Municipality</v>
          </cell>
          <cell r="M1594" t="str">
            <v>5th</v>
          </cell>
          <cell r="T1594" t="str">
            <v>No</v>
          </cell>
        </row>
        <row r="1595">
          <cell r="B1595" t="str">
            <v>Dinagat_Islands</v>
          </cell>
          <cell r="J1595" t="str">
            <v>Libjo (Albor)</v>
          </cell>
          <cell r="K1595" t="str">
            <v>Municipality</v>
          </cell>
          <cell r="M1595" t="str">
            <v>5th</v>
          </cell>
          <cell r="T1595" t="str">
            <v>No</v>
          </cell>
        </row>
        <row r="1596">
          <cell r="B1596" t="str">
            <v>Dinagat_Islands</v>
          </cell>
          <cell r="J1596" t="str">
            <v>Loreto</v>
          </cell>
          <cell r="K1596" t="str">
            <v>Municipality</v>
          </cell>
          <cell r="M1596" t="str">
            <v>4th</v>
          </cell>
          <cell r="T1596" t="str">
            <v>No</v>
          </cell>
        </row>
        <row r="1597">
          <cell r="B1597" t="str">
            <v>Dinagat_Islands</v>
          </cell>
          <cell r="J1597" t="str">
            <v>San Jose (Capital)</v>
          </cell>
          <cell r="K1597" t="str">
            <v>Municipality</v>
          </cell>
          <cell r="M1597" t="str">
            <v>4th</v>
          </cell>
          <cell r="T1597" t="str">
            <v>No</v>
          </cell>
        </row>
        <row r="1598">
          <cell r="B1598" t="str">
            <v>Dinagat_Islands</v>
          </cell>
          <cell r="J1598" t="str">
            <v>Tubajon</v>
          </cell>
          <cell r="K1598" t="str">
            <v>Municipality</v>
          </cell>
          <cell r="M1598" t="str">
            <v>5th</v>
          </cell>
          <cell r="T1598" t="str">
            <v>No</v>
          </cell>
        </row>
        <row r="1599">
          <cell r="B1599" t="str">
            <v>Surigao_del_Norte</v>
          </cell>
          <cell r="J1599" t="str">
            <v>Alegria</v>
          </cell>
          <cell r="K1599" t="str">
            <v>Municipality</v>
          </cell>
          <cell r="M1599" t="str">
            <v>5th</v>
          </cell>
          <cell r="T1599" t="str">
            <v>Yes</v>
          </cell>
        </row>
        <row r="1600">
          <cell r="B1600" t="str">
            <v>Surigao_del_Norte</v>
          </cell>
          <cell r="J1600" t="str">
            <v>Bacuag</v>
          </cell>
          <cell r="K1600" t="str">
            <v>Municipality</v>
          </cell>
          <cell r="M1600" t="str">
            <v>5th</v>
          </cell>
          <cell r="T1600" t="str">
            <v>Yes</v>
          </cell>
        </row>
        <row r="1601">
          <cell r="B1601" t="str">
            <v>Surigao_del_Norte</v>
          </cell>
          <cell r="J1601" t="str">
            <v>Burgos</v>
          </cell>
          <cell r="K1601" t="str">
            <v>Municipality</v>
          </cell>
          <cell r="M1601" t="str">
            <v>6th</v>
          </cell>
          <cell r="T1601" t="str">
            <v>Yes</v>
          </cell>
        </row>
        <row r="1602">
          <cell r="B1602" t="str">
            <v>Surigao_del_Norte</v>
          </cell>
          <cell r="J1602" t="str">
            <v>Claver</v>
          </cell>
          <cell r="K1602" t="str">
            <v>Municipality</v>
          </cell>
          <cell r="M1602" t="str">
            <v>2nd</v>
          </cell>
          <cell r="T1602" t="str">
            <v>Yes</v>
          </cell>
        </row>
        <row r="1603">
          <cell r="B1603" t="str">
            <v>Surigao_del_Norte</v>
          </cell>
          <cell r="J1603" t="str">
            <v>Dapa</v>
          </cell>
          <cell r="K1603" t="str">
            <v>Municipality</v>
          </cell>
          <cell r="M1603" t="str">
            <v>4th</v>
          </cell>
          <cell r="T1603" t="str">
            <v>Yes</v>
          </cell>
        </row>
        <row r="1604">
          <cell r="B1604" t="str">
            <v>Surigao_del_Norte</v>
          </cell>
          <cell r="J1604" t="str">
            <v>Del Carmen</v>
          </cell>
          <cell r="K1604" t="str">
            <v>Municipality</v>
          </cell>
          <cell r="M1604" t="str">
            <v>5th</v>
          </cell>
          <cell r="T1604" t="str">
            <v>Yes</v>
          </cell>
        </row>
        <row r="1605">
          <cell r="B1605" t="str">
            <v>Surigao_del_Norte</v>
          </cell>
          <cell r="J1605" t="str">
            <v>General Luna</v>
          </cell>
          <cell r="K1605" t="str">
            <v>Municipality</v>
          </cell>
          <cell r="M1605" t="str">
            <v>5th</v>
          </cell>
          <cell r="T1605" t="str">
            <v>Yes</v>
          </cell>
        </row>
        <row r="1606">
          <cell r="B1606" t="str">
            <v>Surigao_del_Norte</v>
          </cell>
          <cell r="J1606" t="str">
            <v>Gigaquit</v>
          </cell>
          <cell r="K1606" t="str">
            <v>Municipality</v>
          </cell>
          <cell r="M1606" t="str">
            <v>4th</v>
          </cell>
          <cell r="T1606" t="str">
            <v>Yes</v>
          </cell>
        </row>
        <row r="1607">
          <cell r="B1607" t="str">
            <v>Surigao_del_Norte</v>
          </cell>
          <cell r="J1607" t="str">
            <v>Mainit</v>
          </cell>
          <cell r="K1607" t="str">
            <v>Municipality</v>
          </cell>
          <cell r="M1607" t="str">
            <v>4th</v>
          </cell>
          <cell r="T1607" t="str">
            <v>Yes</v>
          </cell>
        </row>
        <row r="1608">
          <cell r="B1608" t="str">
            <v>Surigao_del_Norte</v>
          </cell>
          <cell r="J1608" t="str">
            <v>Malimono</v>
          </cell>
          <cell r="K1608" t="str">
            <v>Municipality</v>
          </cell>
          <cell r="M1608" t="str">
            <v>5th</v>
          </cell>
          <cell r="T1608" t="str">
            <v>Yes</v>
          </cell>
        </row>
        <row r="1609">
          <cell r="B1609" t="str">
            <v>Surigao_del_Norte</v>
          </cell>
          <cell r="J1609" t="str">
            <v>Pilar</v>
          </cell>
          <cell r="K1609" t="str">
            <v>Municipality</v>
          </cell>
          <cell r="M1609" t="str">
            <v>5th</v>
          </cell>
          <cell r="T1609" t="str">
            <v>Yes</v>
          </cell>
        </row>
        <row r="1610">
          <cell r="B1610" t="str">
            <v>Surigao_del_Norte</v>
          </cell>
          <cell r="J1610" t="str">
            <v>Placer</v>
          </cell>
          <cell r="K1610" t="str">
            <v>Municipality</v>
          </cell>
          <cell r="M1610" t="str">
            <v>4th</v>
          </cell>
          <cell r="T1610" t="str">
            <v>Yes</v>
          </cell>
        </row>
        <row r="1611">
          <cell r="B1611" t="str">
            <v>Surigao_del_Norte</v>
          </cell>
          <cell r="J1611" t="str">
            <v>San Benito</v>
          </cell>
          <cell r="K1611" t="str">
            <v>Municipality</v>
          </cell>
          <cell r="M1611" t="str">
            <v>6th</v>
          </cell>
          <cell r="T1611" t="str">
            <v>Yes</v>
          </cell>
        </row>
        <row r="1612">
          <cell r="B1612" t="str">
            <v>Surigao_del_Norte</v>
          </cell>
          <cell r="J1612" t="str">
            <v>San Francisco (Anao-Aon)</v>
          </cell>
          <cell r="K1612" t="str">
            <v>Municipality</v>
          </cell>
          <cell r="M1612" t="str">
            <v>5th</v>
          </cell>
          <cell r="T1612" t="str">
            <v>Yes</v>
          </cell>
        </row>
        <row r="1613">
          <cell r="B1613" t="str">
            <v>Surigao_del_Norte</v>
          </cell>
          <cell r="J1613" t="str">
            <v>San Isidro</v>
          </cell>
          <cell r="K1613" t="str">
            <v>Municipality</v>
          </cell>
          <cell r="M1613" t="str">
            <v>5th</v>
          </cell>
          <cell r="T1613" t="str">
            <v>Yes</v>
          </cell>
        </row>
        <row r="1614">
          <cell r="B1614" t="str">
            <v>Surigao_del_Norte</v>
          </cell>
          <cell r="J1614" t="str">
            <v>Santa Monica (Sapao)</v>
          </cell>
          <cell r="K1614" t="str">
            <v>Municipality</v>
          </cell>
          <cell r="M1614" t="str">
            <v>5th</v>
          </cell>
          <cell r="T1614" t="str">
            <v>Yes</v>
          </cell>
        </row>
        <row r="1615">
          <cell r="B1615" t="str">
            <v>Surigao_del_Norte</v>
          </cell>
          <cell r="J1615" t="str">
            <v>Sison</v>
          </cell>
          <cell r="K1615" t="str">
            <v>Municipality</v>
          </cell>
          <cell r="M1615" t="str">
            <v>5th</v>
          </cell>
          <cell r="T1615" t="str">
            <v>Yes</v>
          </cell>
        </row>
        <row r="1616">
          <cell r="B1616" t="str">
            <v>Surigao_del_Norte</v>
          </cell>
          <cell r="J1616" t="str">
            <v>Socorro</v>
          </cell>
          <cell r="K1616" t="str">
            <v>Municipality</v>
          </cell>
          <cell r="M1616" t="str">
            <v>4th</v>
          </cell>
          <cell r="T1616" t="str">
            <v>Yes</v>
          </cell>
        </row>
        <row r="1617">
          <cell r="B1617" t="str">
            <v>Surigao_del_Norte</v>
          </cell>
          <cell r="J1617" t="str">
            <v>Surigao City (Capital)</v>
          </cell>
          <cell r="K1617" t="str">
            <v>City</v>
          </cell>
          <cell r="M1617" t="str">
            <v>3rd</v>
          </cell>
          <cell r="T1617" t="str">
            <v>Yes</v>
          </cell>
        </row>
        <row r="1618">
          <cell r="B1618" t="str">
            <v>Surigao_del_Norte</v>
          </cell>
          <cell r="J1618" t="str">
            <v>Tagana-An</v>
          </cell>
          <cell r="K1618" t="str">
            <v>Municipality</v>
          </cell>
          <cell r="M1618" t="str">
            <v>5th</v>
          </cell>
          <cell r="T1618" t="str">
            <v>Yes</v>
          </cell>
        </row>
        <row r="1619">
          <cell r="B1619" t="str">
            <v>Surigao_del_Norte</v>
          </cell>
          <cell r="J1619" t="str">
            <v>Tubod</v>
          </cell>
          <cell r="K1619" t="str">
            <v>Municipality</v>
          </cell>
          <cell r="M1619" t="str">
            <v>5th</v>
          </cell>
          <cell r="T1619" t="str">
            <v>Yes</v>
          </cell>
        </row>
        <row r="1620">
          <cell r="B1620" t="str">
            <v>Surigao_del_Sur</v>
          </cell>
          <cell r="J1620" t="str">
            <v>Barobo</v>
          </cell>
          <cell r="K1620" t="str">
            <v>Municipality</v>
          </cell>
          <cell r="M1620" t="str">
            <v>3rd</v>
          </cell>
          <cell r="T1620" t="str">
            <v>Yes</v>
          </cell>
        </row>
        <row r="1621">
          <cell r="B1621" t="str">
            <v>Surigao_del_Sur</v>
          </cell>
          <cell r="J1621" t="str">
            <v>Bayabas</v>
          </cell>
          <cell r="K1621" t="str">
            <v>Municipality</v>
          </cell>
          <cell r="M1621" t="str">
            <v>5th</v>
          </cell>
          <cell r="T1621" t="str">
            <v>Yes</v>
          </cell>
        </row>
        <row r="1622">
          <cell r="B1622" t="str">
            <v>Surigao_del_Sur</v>
          </cell>
          <cell r="J1622" t="str">
            <v>Cagwait</v>
          </cell>
          <cell r="K1622" t="str">
            <v>Municipality</v>
          </cell>
          <cell r="M1622" t="str">
            <v>4th</v>
          </cell>
          <cell r="T1622" t="str">
            <v>Yes</v>
          </cell>
        </row>
        <row r="1623">
          <cell r="B1623" t="str">
            <v>Surigao_del_Sur</v>
          </cell>
          <cell r="J1623" t="str">
            <v>Cantilan</v>
          </cell>
          <cell r="K1623" t="str">
            <v>Municipality</v>
          </cell>
          <cell r="M1623" t="str">
            <v>2nd</v>
          </cell>
          <cell r="T1623" t="str">
            <v>Yes</v>
          </cell>
        </row>
        <row r="1624">
          <cell r="B1624" t="str">
            <v>Surigao_del_Sur</v>
          </cell>
          <cell r="J1624" t="str">
            <v>Carmen</v>
          </cell>
          <cell r="K1624" t="str">
            <v>Municipality</v>
          </cell>
          <cell r="M1624" t="str">
            <v>5th</v>
          </cell>
          <cell r="T1624" t="str">
            <v>Yes</v>
          </cell>
        </row>
        <row r="1625">
          <cell r="B1625" t="str">
            <v>Surigao_del_Sur</v>
          </cell>
          <cell r="J1625" t="str">
            <v>Carrascal</v>
          </cell>
          <cell r="K1625" t="str">
            <v>Municipality</v>
          </cell>
          <cell r="M1625" t="str">
            <v>4th</v>
          </cell>
          <cell r="T1625" t="str">
            <v>Yes</v>
          </cell>
        </row>
        <row r="1626">
          <cell r="B1626" t="str">
            <v>Surigao_del_Sur</v>
          </cell>
          <cell r="J1626" t="str">
            <v>City Of Bislig</v>
          </cell>
          <cell r="K1626" t="str">
            <v>City</v>
          </cell>
          <cell r="M1626" t="str">
            <v>3rd</v>
          </cell>
          <cell r="T1626" t="str">
            <v>Yes</v>
          </cell>
        </row>
        <row r="1627">
          <cell r="B1627" t="str">
            <v>Surigao_del_Sur</v>
          </cell>
          <cell r="J1627" t="str">
            <v>City Of Tandag (Capital)</v>
          </cell>
          <cell r="K1627" t="str">
            <v>City</v>
          </cell>
          <cell r="M1627" t="str">
            <v>5th</v>
          </cell>
          <cell r="T1627" t="str">
            <v>Yes</v>
          </cell>
        </row>
        <row r="1628">
          <cell r="B1628" t="str">
            <v>Surigao_del_Sur</v>
          </cell>
          <cell r="J1628" t="str">
            <v>Cortes</v>
          </cell>
          <cell r="K1628" t="str">
            <v>Municipality</v>
          </cell>
          <cell r="M1628" t="str">
            <v>4th</v>
          </cell>
          <cell r="T1628" t="str">
            <v>Yes</v>
          </cell>
        </row>
        <row r="1629">
          <cell r="B1629" t="str">
            <v>Surigao_del_Sur</v>
          </cell>
          <cell r="J1629" t="str">
            <v>Hinatuan</v>
          </cell>
          <cell r="K1629" t="str">
            <v>Municipality</v>
          </cell>
          <cell r="M1629" t="str">
            <v>2nd</v>
          </cell>
          <cell r="T1629" t="str">
            <v>Yes</v>
          </cell>
        </row>
        <row r="1630">
          <cell r="B1630" t="str">
            <v>Surigao_del_Sur</v>
          </cell>
          <cell r="J1630" t="str">
            <v>Lanuza</v>
          </cell>
          <cell r="K1630" t="str">
            <v>Municipality</v>
          </cell>
          <cell r="M1630" t="str">
            <v>4th</v>
          </cell>
          <cell r="T1630" t="str">
            <v>Yes</v>
          </cell>
        </row>
        <row r="1631">
          <cell r="B1631" t="str">
            <v>Surigao_del_Sur</v>
          </cell>
          <cell r="J1631" t="str">
            <v>Lianga</v>
          </cell>
          <cell r="K1631" t="str">
            <v>Municipality</v>
          </cell>
          <cell r="M1631" t="str">
            <v>4th</v>
          </cell>
          <cell r="T1631" t="str">
            <v>Yes</v>
          </cell>
        </row>
        <row r="1632">
          <cell r="B1632" t="str">
            <v>Surigao_del_Sur</v>
          </cell>
          <cell r="J1632" t="str">
            <v>Lingig</v>
          </cell>
          <cell r="K1632" t="str">
            <v>Municipality</v>
          </cell>
          <cell r="M1632" t="str">
            <v>2nd</v>
          </cell>
          <cell r="T1632" t="str">
            <v>Yes</v>
          </cell>
        </row>
        <row r="1633">
          <cell r="B1633" t="str">
            <v>Surigao_del_Sur</v>
          </cell>
          <cell r="J1633" t="str">
            <v>Madrid</v>
          </cell>
          <cell r="K1633" t="str">
            <v>Municipality</v>
          </cell>
          <cell r="M1633" t="str">
            <v>4th</v>
          </cell>
          <cell r="T1633" t="str">
            <v>Yes</v>
          </cell>
        </row>
        <row r="1634">
          <cell r="B1634" t="str">
            <v>Surigao_del_Sur</v>
          </cell>
          <cell r="J1634" t="str">
            <v>Marihatag</v>
          </cell>
          <cell r="K1634" t="str">
            <v>Municipality</v>
          </cell>
          <cell r="M1634" t="str">
            <v>3rd</v>
          </cell>
          <cell r="T1634" t="str">
            <v>Yes</v>
          </cell>
        </row>
        <row r="1635">
          <cell r="B1635" t="str">
            <v>Surigao_del_Sur</v>
          </cell>
          <cell r="J1635" t="str">
            <v>San Agustin</v>
          </cell>
          <cell r="K1635" t="str">
            <v>Municipality</v>
          </cell>
          <cell r="M1635" t="str">
            <v>4th</v>
          </cell>
          <cell r="T1635" t="str">
            <v>Yes</v>
          </cell>
        </row>
        <row r="1636">
          <cell r="B1636" t="str">
            <v>Surigao_del_Sur</v>
          </cell>
          <cell r="J1636" t="str">
            <v>San Miguel</v>
          </cell>
          <cell r="K1636" t="str">
            <v>Municipality</v>
          </cell>
          <cell r="M1636" t="str">
            <v>1st</v>
          </cell>
          <cell r="T1636" t="str">
            <v>Yes</v>
          </cell>
        </row>
        <row r="1637">
          <cell r="B1637" t="str">
            <v>Surigao_del_Sur</v>
          </cell>
          <cell r="J1637" t="str">
            <v>Tagbina</v>
          </cell>
          <cell r="K1637" t="str">
            <v>Municipality</v>
          </cell>
          <cell r="M1637" t="str">
            <v>2nd</v>
          </cell>
          <cell r="T1637" t="str">
            <v>Yes</v>
          </cell>
        </row>
        <row r="1638">
          <cell r="B1638" t="str">
            <v>Surigao_del_Sur</v>
          </cell>
          <cell r="J1638" t="str">
            <v>Tago</v>
          </cell>
          <cell r="K1638" t="str">
            <v>Municipality</v>
          </cell>
          <cell r="M1638" t="str">
            <v>2nd</v>
          </cell>
          <cell r="T1638" t="str">
            <v>Yes</v>
          </cell>
        </row>
      </sheetData>
      <sheetData sheetId="5">
        <row r="2">
          <cell r="B2" t="str">
            <v>*Select_a_Region*</v>
          </cell>
        </row>
      </sheetData>
      <sheetData sheetId="6">
        <row r="3">
          <cell r="A3" t="str">
            <v>SP 1 - Food Security</v>
          </cell>
          <cell r="B3" t="str">
            <v>1 - Agriculture and Livestock</v>
          </cell>
          <cell r="C3" t="str">
            <v>1 - Policy Development and Governance</v>
          </cell>
          <cell r="D3" t="str">
            <v>Adaptation</v>
          </cell>
          <cell r="E3" t="str">
            <v>Incorporate climate change and climate variability considerations in policies and institutions</v>
          </cell>
          <cell r="F3" t="str">
            <v>A111-01</v>
          </cell>
        </row>
        <row r="4">
          <cell r="A4" t="str">
            <v>SP 1 - Food Security</v>
          </cell>
          <cell r="B4" t="str">
            <v>1 - Agriculture and Livestock</v>
          </cell>
          <cell r="C4" t="str">
            <v>1 - Policy Development and Governance</v>
          </cell>
          <cell r="D4" t="str">
            <v>Adaptation</v>
          </cell>
          <cell r="E4" t="str">
            <v>Regulate commodity shifting and agricultural land conversion*</v>
          </cell>
          <cell r="F4" t="str">
            <v>A111-02</v>
          </cell>
        </row>
        <row r="5">
          <cell r="A5" t="str">
            <v>SP 1 - Food Security</v>
          </cell>
          <cell r="B5" t="str">
            <v>1 - Agriculture and Livestock</v>
          </cell>
          <cell r="C5" t="str">
            <v>1 - Policy Development and Governance</v>
          </cell>
          <cell r="D5" t="str">
            <v>Adaptation</v>
          </cell>
          <cell r="E5" t="str">
            <v>Design and implement climate change risk transfer and social protection mechanisms in agriculture and fisheries*</v>
          </cell>
          <cell r="F5" t="str">
            <v>A111-03</v>
          </cell>
        </row>
        <row r="6">
          <cell r="A6" t="str">
            <v>SP 1 - Food Security</v>
          </cell>
          <cell r="B6" t="str">
            <v>1 - Agriculture and Livestock</v>
          </cell>
          <cell r="C6" t="str">
            <v>1 - Policy Development and Governance</v>
          </cell>
          <cell r="D6" t="str">
            <v>Adaptation</v>
          </cell>
          <cell r="E6" t="str">
            <v>Incorporate risks from climate change and climate variability in irrigation/water management planning</v>
          </cell>
          <cell r="F6" t="str">
            <v>A111-04</v>
          </cell>
        </row>
        <row r="7">
          <cell r="A7" t="str">
            <v>SP 1 - Food Security</v>
          </cell>
          <cell r="B7" t="str">
            <v>1 - Agriculture and Livestock</v>
          </cell>
          <cell r="C7" t="str">
            <v>1 - Policy Development and Governance</v>
          </cell>
          <cell r="D7" t="str">
            <v>Mitigation</v>
          </cell>
          <cell r="E7" t="str">
            <v>Enact/Implement ordinances and policies to reduce the emissions of greenhouse gases (GHGs), or absorption of GHGs in the agricultural sector</v>
          </cell>
          <cell r="F7" t="str">
            <v>M111-01</v>
          </cell>
        </row>
        <row r="8">
          <cell r="A8" t="str">
            <v>SP 1 - Food Security</v>
          </cell>
          <cell r="B8" t="str">
            <v>1 - Agriculture and Livestock</v>
          </cell>
          <cell r="C8" t="str">
            <v>1 - Policy Development and Governance</v>
          </cell>
          <cell r="D8" t="str">
            <v>Mitigation</v>
          </cell>
          <cell r="E8" t="str">
            <v>Monitor carbon sequestration</v>
          </cell>
          <cell r="F8" t="str">
            <v>M111-03</v>
          </cell>
        </row>
        <row r="9">
          <cell r="A9" t="str">
            <v>SP 1 - Food Security</v>
          </cell>
          <cell r="B9" t="str">
            <v>1 - Agriculture and Livestock</v>
          </cell>
          <cell r="C9" t="str">
            <v>2 - Research, Development, and Extension</v>
          </cell>
          <cell r="D9" t="str">
            <v>Adaptation</v>
          </cell>
          <cell r="E9" t="str">
            <v>Conduct agricultural vulnerability and risk assessments, impact assessments and simulation models on major crops and livestock *</v>
          </cell>
          <cell r="F9" t="str">
            <v>A112-01</v>
          </cell>
        </row>
        <row r="10">
          <cell r="A10" t="str">
            <v>SP 1 - Food Security</v>
          </cell>
          <cell r="B10" t="str">
            <v>1 - Agriculture and Livestock</v>
          </cell>
          <cell r="C10" t="str">
            <v>2 - Research, Development, and Extension</v>
          </cell>
          <cell r="D10" t="str">
            <v>Adaptation</v>
          </cell>
          <cell r="E10" t="str">
            <v>Develop, test and popularize climate-resilient crop and livestock production systems and technologies*</v>
          </cell>
          <cell r="F10" t="str">
            <v>A112-02</v>
          </cell>
        </row>
        <row r="11">
          <cell r="A11" t="str">
            <v>SP 1 - Food Security</v>
          </cell>
          <cell r="B11" t="str">
            <v>1 - Agriculture and Livestock</v>
          </cell>
          <cell r="C11" t="str">
            <v>2 - Research, Development, and Extension</v>
          </cell>
          <cell r="D11" t="str">
            <v>Adaptation</v>
          </cell>
          <cell r="E11" t="str">
            <v>Research on new threats to agriculture, fishing, and forestry from CC and CV</v>
          </cell>
          <cell r="F11" t="str">
            <v>A112-03</v>
          </cell>
        </row>
        <row r="12">
          <cell r="A12" t="str">
            <v>SP 1 - Food Security</v>
          </cell>
          <cell r="B12" t="str">
            <v>1 - Agriculture and Livestock</v>
          </cell>
          <cell r="C12" t="str">
            <v>2 - Research, Development, and Extension</v>
          </cell>
          <cell r="D12" t="str">
            <v>Adaptation</v>
          </cell>
          <cell r="E12" t="str">
            <v>Produce and distribute climate resilient rice varieties</v>
          </cell>
          <cell r="F12" t="str">
            <v>A112-04</v>
          </cell>
        </row>
        <row r="13">
          <cell r="A13" t="str">
            <v>SP 1 - Food Security</v>
          </cell>
          <cell r="B13" t="str">
            <v>1 - Agriculture and Livestock</v>
          </cell>
          <cell r="C13" t="str">
            <v>2 - Research, Development, and Extension</v>
          </cell>
          <cell r="D13" t="str">
            <v>Mitigation</v>
          </cell>
          <cell r="E13" t="str">
            <v>Develop, test and introduce practices or techniques that reduce GHG emissions and practices or techniques to sequester carbon dioxide (CO2) in crop production systems, animal husbandry systems, forest management systems and aquaculture management systems</v>
          </cell>
          <cell r="F13" t="str">
            <v>M112-01</v>
          </cell>
        </row>
        <row r="14">
          <cell r="A14" t="str">
            <v>SP 1 - Food Security</v>
          </cell>
          <cell r="B14" t="str">
            <v>1 - Agriculture and Livestock</v>
          </cell>
          <cell r="C14" t="str">
            <v>2 - Research, Development, and Extension</v>
          </cell>
          <cell r="D14" t="str">
            <v>Mitigation</v>
          </cell>
          <cell r="E14" t="str">
            <v>Sector studies, surveys, assessments on energy and water use efficiency in agriculture</v>
          </cell>
          <cell r="F14" t="str">
            <v>M112-02</v>
          </cell>
        </row>
        <row r="15">
          <cell r="A15" t="str">
            <v>SP 1 - Food Security</v>
          </cell>
          <cell r="B15" t="str">
            <v>1 - Agriculture and Livestock</v>
          </cell>
          <cell r="C15" t="str">
            <v>3 - Knowledge Sharing and Capacity Building</v>
          </cell>
          <cell r="D15" t="str">
            <v>Adaptation</v>
          </cell>
          <cell r="E15" t="str">
            <v>Awareness raising of risks from climate change, or/and benefits of adaptation*</v>
          </cell>
          <cell r="F15" t="str">
            <v>A113-01</v>
          </cell>
        </row>
        <row r="16">
          <cell r="A16" t="str">
            <v>SP 1 - Food Security</v>
          </cell>
          <cell r="B16" t="str">
            <v>1 - Agriculture and Livestock</v>
          </cell>
          <cell r="C16" t="str">
            <v>3 - Knowledge Sharing and Capacity Building</v>
          </cell>
          <cell r="D16" t="str">
            <v>Adaptation</v>
          </cell>
          <cell r="E16" t="str">
            <v>Establish climate information systems and database/resource network for agriculture and fisheries sectors*</v>
          </cell>
          <cell r="F16" t="str">
            <v>A113-02</v>
          </cell>
        </row>
        <row r="17">
          <cell r="A17" t="str">
            <v>SP 1 - Food Security</v>
          </cell>
          <cell r="B17" t="str">
            <v>1 - Agriculture and Livestock</v>
          </cell>
          <cell r="C17" t="str">
            <v>3 - Knowledge Sharing and Capacity Building</v>
          </cell>
          <cell r="D17" t="str">
            <v>Adaptation</v>
          </cell>
          <cell r="E17" t="str">
            <v>Establish and/or popularize farmers’ field school/climate field school to demonstrate best adaptation practices*</v>
          </cell>
          <cell r="F17" t="str">
            <v>A113-03</v>
          </cell>
        </row>
        <row r="18">
          <cell r="A18" t="str">
            <v>SP 1 - Food Security</v>
          </cell>
          <cell r="B18" t="str">
            <v>1 - Agriculture and Livestock</v>
          </cell>
          <cell r="C18" t="str">
            <v>3 - Knowledge Sharing and Capacity Building</v>
          </cell>
          <cell r="D18" t="str">
            <v>Adaptation</v>
          </cell>
          <cell r="E18" t="str">
            <v>Develop formal and non-formal training programs on climate change adaptation (CCA) and disaster risk reduction (DRR)*</v>
          </cell>
          <cell r="F18" t="str">
            <v>A113-04</v>
          </cell>
        </row>
        <row r="19">
          <cell r="A19" t="str">
            <v>SP 1 - Food Security</v>
          </cell>
          <cell r="B19" t="str">
            <v>1 - Agriculture and Livestock</v>
          </cell>
          <cell r="C19" t="str">
            <v>3 - Knowledge Sharing and Capacity Building</v>
          </cell>
          <cell r="D19" t="str">
            <v>Adaptation</v>
          </cell>
          <cell r="E19" t="str">
            <v xml:space="preserve">Conduct of non-farm entrepreneurial courses </v>
          </cell>
          <cell r="F19" t="str">
            <v>A113-06</v>
          </cell>
        </row>
        <row r="20">
          <cell r="A20" t="str">
            <v>SP 1 - Food Security</v>
          </cell>
          <cell r="B20" t="str">
            <v>1 - Agriculture and Livestock</v>
          </cell>
          <cell r="C20" t="str">
            <v>3 - Knowledge Sharing and Capacity Building</v>
          </cell>
          <cell r="D20" t="str">
            <v>Adaptation</v>
          </cell>
          <cell r="E20" t="str">
            <v xml:space="preserve">Conduct Slope Agriculture Land Technology (SALT) training and other soil conservation measures in sloping lands for farmers </v>
          </cell>
          <cell r="F20" t="str">
            <v>A113-07</v>
          </cell>
        </row>
        <row r="21">
          <cell r="A21" t="str">
            <v>SP 1 - Food Security</v>
          </cell>
          <cell r="B21" t="str">
            <v>1 - Agriculture and Livestock</v>
          </cell>
          <cell r="C21" t="str">
            <v>3 - Knowledge Sharing and Capacity Building</v>
          </cell>
          <cell r="D21" t="str">
            <v>Adaptation</v>
          </cell>
          <cell r="E21" t="str">
            <v>Improve the adaptive capacity of farmers and fisherfolk through the provision of relevant technologies and information</v>
          </cell>
          <cell r="F21" t="str">
            <v>A113-08</v>
          </cell>
        </row>
        <row r="22">
          <cell r="A22" t="str">
            <v>SP 1 - Food Security</v>
          </cell>
          <cell r="B22" t="str">
            <v>1 - Agriculture and Livestock</v>
          </cell>
          <cell r="C22" t="str">
            <v>3 - Knowledge Sharing and Capacity Building</v>
          </cell>
          <cell r="D22" t="str">
            <v>Mitigation</v>
          </cell>
          <cell r="E22" t="str">
            <v xml:space="preserve">Establish or strengthen institutions, information systems and capacity building on energy and water use efficiency in agriculture sector </v>
          </cell>
          <cell r="F22" t="str">
            <v>M113-01</v>
          </cell>
        </row>
        <row r="23">
          <cell r="A23" t="str">
            <v>SP 1 - Food Security</v>
          </cell>
          <cell r="B23" t="str">
            <v>1 - Agriculture and Livestock</v>
          </cell>
          <cell r="C23" t="str">
            <v>4 - Service Delivery</v>
          </cell>
          <cell r="D23" t="str">
            <v>Adaptation</v>
          </cell>
          <cell r="E23" t="str">
            <v>Establish early warning systems for agriculture*</v>
          </cell>
          <cell r="F23" t="str">
            <v>A114-01</v>
          </cell>
        </row>
        <row r="24">
          <cell r="A24" t="str">
            <v>SP 1 - Food Security</v>
          </cell>
          <cell r="B24" t="str">
            <v>1 - Agriculture and Livestock</v>
          </cell>
          <cell r="C24" t="str">
            <v>4 - Service Delivery</v>
          </cell>
          <cell r="D24" t="str">
            <v>Adaptation</v>
          </cell>
          <cell r="E24" t="str">
            <v>Introduce or expand soil management practices that control soil erosion, nutrient loss and improve the water regime in the soil profile</v>
          </cell>
          <cell r="F24" t="str">
            <v>A114-02</v>
          </cell>
        </row>
        <row r="25">
          <cell r="A25" t="str">
            <v>SP 1 - Food Security</v>
          </cell>
          <cell r="B25" t="str">
            <v>1 - Agriculture and Livestock</v>
          </cell>
          <cell r="C25" t="str">
            <v>4 - Service Delivery</v>
          </cell>
          <cell r="D25" t="str">
            <v>Adaptation</v>
          </cell>
          <cell r="E25" t="str">
            <v>Introduce or expand use of crops or crop mix more suited to climate change and climate variability</v>
          </cell>
          <cell r="F25" t="str">
            <v>A114-03</v>
          </cell>
        </row>
        <row r="26">
          <cell r="A26" t="str">
            <v>SP 1 - Food Security</v>
          </cell>
          <cell r="B26" t="str">
            <v>1 - Agriculture and Livestock</v>
          </cell>
          <cell r="C26" t="str">
            <v>4 - Service Delivery</v>
          </cell>
          <cell r="D26" t="str">
            <v>Adaptation</v>
          </cell>
          <cell r="E26" t="str">
            <v>Reduce vulnerability of crop storage facilities and irrigation systems to climate change and climate variability*</v>
          </cell>
          <cell r="F26" t="str">
            <v>A114-04</v>
          </cell>
        </row>
        <row r="27">
          <cell r="A27" t="str">
            <v>SP 1 - Food Security</v>
          </cell>
          <cell r="B27" t="str">
            <v>1 - Agriculture and Livestock</v>
          </cell>
          <cell r="C27" t="str">
            <v>4 - Service Delivery</v>
          </cell>
          <cell r="D27" t="str">
            <v>Adaptation</v>
          </cell>
          <cell r="E27" t="str">
            <v>Construct/Repair/Rehabilitate national and communal irrigation systems, dams and water storage systems to manage changes in the water cycle due to climate change and climate variability*</v>
          </cell>
          <cell r="F27" t="str">
            <v>A114-05</v>
          </cell>
        </row>
        <row r="28">
          <cell r="A28" t="str">
            <v>SP 1 - Food Security</v>
          </cell>
          <cell r="B28" t="str">
            <v>1 - Agriculture and Livestock</v>
          </cell>
          <cell r="C28" t="str">
            <v>4 - Service Delivery</v>
          </cell>
          <cell r="D28" t="str">
            <v>Adaptation</v>
          </cell>
          <cell r="E28" t="str">
            <v>Introduce weather or climate indexed insurance programs (e.g. crop insurance)</v>
          </cell>
          <cell r="F28" t="str">
            <v>A114-06</v>
          </cell>
        </row>
        <row r="29">
          <cell r="A29" t="str">
            <v>SP 1 - Food Security</v>
          </cell>
          <cell r="B29" t="str">
            <v>1 - Agriculture and Livestock</v>
          </cell>
          <cell r="C29" t="str">
            <v>4 - Service Delivery</v>
          </cell>
          <cell r="D29" t="str">
            <v>Adaptation</v>
          </cell>
          <cell r="E29" t="str">
            <v>Change management practices or techniques to reduce vulnerability to climate change and climate variability in animal health service, pasture management, fodder production and storage practices</v>
          </cell>
          <cell r="F29" t="str">
            <v>A114-08</v>
          </cell>
        </row>
        <row r="30">
          <cell r="A30" t="str">
            <v>SP 1 - Food Security</v>
          </cell>
          <cell r="B30" t="str">
            <v>1 - Agriculture and Livestock</v>
          </cell>
          <cell r="C30" t="str">
            <v>4 - Service Delivery</v>
          </cell>
          <cell r="D30" t="str">
            <v>Adaptation</v>
          </cell>
          <cell r="E30" t="str">
            <v>Develop innovative financing mechanisms to provide seed capital for the implementation of CCA among farmers and fisherfolks organization*</v>
          </cell>
          <cell r="F30" t="str">
            <v>A114-09</v>
          </cell>
        </row>
        <row r="31">
          <cell r="A31" t="str">
            <v>SP 1 - Food Security</v>
          </cell>
          <cell r="B31" t="str">
            <v>1 - Agriculture and Livestock</v>
          </cell>
          <cell r="C31" t="str">
            <v>4 - Service Delivery</v>
          </cell>
          <cell r="D31" t="str">
            <v>Adaptation</v>
          </cell>
          <cell r="E31" t="str">
            <v>Construct water impounding dams, rainwater harvesting facilities for irrigation, and water storage systems to manage changes in the water cycle due to CC and CV</v>
          </cell>
          <cell r="F31" t="str">
            <v>A114-10</v>
          </cell>
        </row>
        <row r="32">
          <cell r="A32" t="str">
            <v>SP 1 - Food Security</v>
          </cell>
          <cell r="B32" t="str">
            <v>1 - Agriculture and Livestock</v>
          </cell>
          <cell r="C32" t="str">
            <v>4 - Service Delivery</v>
          </cell>
          <cell r="D32" t="str">
            <v>Adaptation</v>
          </cell>
          <cell r="E32" t="str">
            <v>Construct crop storage facilities that consider climate change and variability</v>
          </cell>
          <cell r="F32" t="str">
            <v>A114-11</v>
          </cell>
        </row>
        <row r="33">
          <cell r="A33" t="str">
            <v>SP 1 - Food Security</v>
          </cell>
          <cell r="B33" t="str">
            <v>1 - Agriculture and Livestock</v>
          </cell>
          <cell r="C33" t="str">
            <v>4 - Service Delivery</v>
          </cell>
          <cell r="D33" t="str">
            <v>Adaptation</v>
          </cell>
          <cell r="E33" t="str">
            <v>Promote agro-forestry such as cacao/ coffee/rubber production and seedling distribution</v>
          </cell>
          <cell r="F33" t="str">
            <v>A114-12</v>
          </cell>
        </row>
        <row r="34">
          <cell r="A34" t="str">
            <v>SP 1 - Food Security</v>
          </cell>
          <cell r="B34" t="str">
            <v>1 - Agriculture and Livestock</v>
          </cell>
          <cell r="C34" t="str">
            <v>4 - Service Delivery</v>
          </cell>
          <cell r="D34" t="str">
            <v>Adaptation</v>
          </cell>
          <cell r="E34" t="str">
            <v>Establish Integrated Pests Management</v>
          </cell>
          <cell r="F34" t="str">
            <v>A114-13</v>
          </cell>
        </row>
        <row r="35">
          <cell r="A35" t="str">
            <v>SP 1 - Food Security</v>
          </cell>
          <cell r="B35" t="str">
            <v>1 - Agriculture and Livestock</v>
          </cell>
          <cell r="C35" t="str">
            <v>4 - Service Delivery</v>
          </cell>
          <cell r="D35" t="str">
            <v>Adaptation</v>
          </cell>
          <cell r="E35" t="str">
            <v>Develop climate resilient livestock production system and technologies</v>
          </cell>
          <cell r="F35" t="str">
            <v>A114-14</v>
          </cell>
        </row>
        <row r="36">
          <cell r="A36" t="str">
            <v>SP 1 - Food Security</v>
          </cell>
          <cell r="B36" t="str">
            <v>1 - Agriculture and Livestock</v>
          </cell>
          <cell r="C36" t="str">
            <v>4 - Service Delivery</v>
          </cell>
          <cell r="D36" t="str">
            <v>Mitigation</v>
          </cell>
          <cell r="E36" t="str">
            <v>Integrated organic and inorganic nutrient management</v>
          </cell>
          <cell r="F36" t="str">
            <v>M114-01</v>
          </cell>
        </row>
        <row r="37">
          <cell r="A37" t="str">
            <v>SP 1 - Food Security</v>
          </cell>
          <cell r="B37" t="str">
            <v>1 - Agriculture and Livestock</v>
          </cell>
          <cell r="C37" t="str">
            <v>4 - Service Delivery</v>
          </cell>
          <cell r="D37" t="str">
            <v>Mitigation</v>
          </cell>
          <cell r="E37" t="str">
            <v xml:space="preserve">Switch to soil management techniques that reduce GHG emissions or increase carbon sequestration </v>
          </cell>
          <cell r="F37" t="str">
            <v>M114-02</v>
          </cell>
        </row>
        <row r="38">
          <cell r="A38" t="str">
            <v>SP 1 - Food Security</v>
          </cell>
          <cell r="B38" t="str">
            <v>1 - Agriculture and Livestock</v>
          </cell>
          <cell r="C38" t="str">
            <v>4 - Service Delivery</v>
          </cell>
          <cell r="D38" t="str">
            <v>Mitigation</v>
          </cell>
          <cell r="E38" t="str">
            <v>Intensify or expand farm and fodder production using techniques that reduce GHG emissions or increase carbon sequestration</v>
          </cell>
          <cell r="F38" t="str">
            <v>M114-03</v>
          </cell>
        </row>
        <row r="39">
          <cell r="A39" t="str">
            <v>SP 1 - Food Security</v>
          </cell>
          <cell r="B39" t="str">
            <v>1 - Agriculture and Livestock</v>
          </cell>
          <cell r="C39" t="str">
            <v>4 - Service Delivery</v>
          </cell>
          <cell r="D39" t="str">
            <v>Mitigation</v>
          </cell>
          <cell r="E39" t="str">
            <v>Manure management and methane capture in animal husbandry</v>
          </cell>
          <cell r="F39" t="str">
            <v>M114-04</v>
          </cell>
        </row>
        <row r="40">
          <cell r="A40" t="str">
            <v>SP 1 - Food Security</v>
          </cell>
          <cell r="B40" t="str">
            <v>1 - Agriculture and Livestock</v>
          </cell>
          <cell r="C40" t="str">
            <v>4 - Service Delivery</v>
          </cell>
          <cell r="D40" t="str">
            <v>Mitigation</v>
          </cell>
          <cell r="E40" t="str">
            <v>Change forage systems to reduce ruminant methane emissions</v>
          </cell>
          <cell r="F40" t="str">
            <v>M114-05</v>
          </cell>
        </row>
        <row r="41">
          <cell r="A41" t="str">
            <v>SP 1 - Food Security</v>
          </cell>
          <cell r="B41" t="str">
            <v>1 - Agriculture and Livestock</v>
          </cell>
          <cell r="C41" t="str">
            <v>4 - Service Delivery</v>
          </cell>
          <cell r="D41" t="str">
            <v>Mitigation</v>
          </cell>
          <cell r="E41" t="str">
            <v>Introduce or expand water pumping for irrigation using renewable energy sources</v>
          </cell>
          <cell r="F41" t="str">
            <v>M114-06</v>
          </cell>
        </row>
        <row r="42">
          <cell r="A42" t="str">
            <v>SP 1 - Food Security</v>
          </cell>
          <cell r="B42" t="str">
            <v>1 - Agriculture and Livestock</v>
          </cell>
          <cell r="C42" t="str">
            <v>4 - Service Delivery</v>
          </cell>
          <cell r="D42" t="str">
            <v>Mitigation</v>
          </cell>
          <cell r="E42" t="str">
            <v>Replace existing water pumps with more energy efficient pumps</v>
          </cell>
          <cell r="F42" t="str">
            <v>M114-07</v>
          </cell>
        </row>
        <row r="43">
          <cell r="A43" t="str">
            <v>SP 1 - Food Security</v>
          </cell>
          <cell r="B43" t="str">
            <v>1 - Agriculture and Livestock</v>
          </cell>
          <cell r="C43" t="str">
            <v>4 - Service Delivery</v>
          </cell>
          <cell r="D43" t="str">
            <v>Mitigation</v>
          </cell>
          <cell r="E43" t="str">
            <v>Implement agricultural and fisheries waste recycling and composting*</v>
          </cell>
          <cell r="F43" t="str">
            <v>M114-08</v>
          </cell>
        </row>
        <row r="44">
          <cell r="A44" t="str">
            <v>SP 1 - Food Security</v>
          </cell>
          <cell r="B44" t="str">
            <v>1 - Agriculture and Livestock</v>
          </cell>
          <cell r="C44" t="str">
            <v>4 - Service Delivery</v>
          </cell>
          <cell r="D44" t="str">
            <v>Mitigation</v>
          </cell>
          <cell r="E44" t="str">
            <v>Switch to less water intensive crops</v>
          </cell>
          <cell r="F44" t="str">
            <v>M114-09</v>
          </cell>
        </row>
        <row r="45">
          <cell r="A45" t="str">
            <v>SP 1 - Food Security</v>
          </cell>
          <cell r="B45" t="str">
            <v>1 - Agriculture and Livestock</v>
          </cell>
          <cell r="C45" t="str">
            <v>4 - Service Delivery</v>
          </cell>
          <cell r="D45" t="str">
            <v>Mitigation</v>
          </cell>
          <cell r="E45" t="str">
            <v>Establish communal school gardens, and other community gardens for local consumption</v>
          </cell>
          <cell r="F45" t="str">
            <v>M114-10</v>
          </cell>
        </row>
        <row r="46">
          <cell r="A46" t="str">
            <v>SP 1 - Food Security</v>
          </cell>
          <cell r="B46" t="str">
            <v>2 - Fisheries</v>
          </cell>
          <cell r="C46" t="str">
            <v>1 - Policy Development and Governance</v>
          </cell>
          <cell r="D46" t="str">
            <v>Adaptation</v>
          </cell>
          <cell r="E46" t="str">
            <v>Formulate/implement ordinances on reversion of abandoned fishponds back to mangroves*</v>
          </cell>
          <cell r="F46" t="str">
            <v>A121-02</v>
          </cell>
        </row>
        <row r="47">
          <cell r="A47" t="str">
            <v>SP 1 - Food Security</v>
          </cell>
          <cell r="B47" t="str">
            <v>2 - Fisheries</v>
          </cell>
          <cell r="C47" t="str">
            <v>1 - Policy Development and Governance</v>
          </cell>
          <cell r="D47" t="str">
            <v>Adaptation</v>
          </cell>
          <cell r="E47" t="str">
            <v>Harmonize climate change adaptation plans in local resource management and local fisheries development*</v>
          </cell>
          <cell r="F47" t="str">
            <v>A121-03</v>
          </cell>
        </row>
        <row r="48">
          <cell r="A48" t="str">
            <v>SP 1 - Food Security</v>
          </cell>
          <cell r="B48" t="str">
            <v>2 - Fisheries</v>
          </cell>
          <cell r="C48" t="str">
            <v>1 - Policy Development and Governance</v>
          </cell>
          <cell r="D48" t="str">
            <v>Mitigation</v>
          </cell>
          <cell r="E48" t="str">
            <v>Formulate/implement ordinances to reduce the emissions of GHGs, or absorption of GHGs in the fishing sectors</v>
          </cell>
          <cell r="F48" t="str">
            <v>M121-01</v>
          </cell>
        </row>
        <row r="49">
          <cell r="A49" t="str">
            <v>SP 1 - Food Security</v>
          </cell>
          <cell r="B49" t="str">
            <v>2 - Fisheries</v>
          </cell>
          <cell r="C49" t="str">
            <v>1 - Policy Development and Governance</v>
          </cell>
          <cell r="D49" t="str">
            <v>Mitigation</v>
          </cell>
          <cell r="E49" t="str">
            <v xml:space="preserve">Develop ordinances to reduce municipal fishing boats/improve fuel efficiency of municipal fishing boats </v>
          </cell>
          <cell r="F49" t="str">
            <v>M121-02</v>
          </cell>
        </row>
        <row r="50">
          <cell r="A50" t="str">
            <v>SP 1 - Food Security</v>
          </cell>
          <cell r="B50" t="str">
            <v>2 - Fisheries</v>
          </cell>
          <cell r="C50" t="str">
            <v>2 - Research, Development, and Extension</v>
          </cell>
          <cell r="D50" t="str">
            <v>Adaptation</v>
          </cell>
          <cell r="E50" t="str">
            <v>Conduct of provincial-level vulnerability and risk assessments for fisheries*</v>
          </cell>
          <cell r="F50" t="str">
            <v>A122-01</v>
          </cell>
        </row>
        <row r="51">
          <cell r="A51" t="str">
            <v>SP 1 - Food Security</v>
          </cell>
          <cell r="B51" t="str">
            <v>2 - Fisheries</v>
          </cell>
          <cell r="C51" t="str">
            <v>2 - Research, Development, and Extension</v>
          </cell>
          <cell r="D51" t="str">
            <v>Adaptation</v>
          </cell>
          <cell r="E51" t="str">
            <v>Conduct researches on best practices in fisheries and coastal climate change adaptation, technologies and tools*</v>
          </cell>
          <cell r="F51" t="str">
            <v>A122-02</v>
          </cell>
        </row>
        <row r="52">
          <cell r="A52" t="str">
            <v>SP 1 - Food Security</v>
          </cell>
          <cell r="B52" t="str">
            <v>2 - Fisheries</v>
          </cell>
          <cell r="C52" t="str">
            <v>2 - Research, Development, and Extension</v>
          </cell>
          <cell r="D52" t="str">
            <v>Adaptation</v>
          </cell>
          <cell r="E52" t="str">
            <v>Develop and/or update climate change R&amp;D agenda for fisheries sectors*</v>
          </cell>
          <cell r="F52" t="str">
            <v>A122-04</v>
          </cell>
        </row>
        <row r="53">
          <cell r="A53" t="str">
            <v>SP 1 - Food Security</v>
          </cell>
          <cell r="B53" t="str">
            <v>2 - Fisheries</v>
          </cell>
          <cell r="C53" t="str">
            <v>2 - Research, Development, and Extension</v>
          </cell>
          <cell r="D53" t="str">
            <v>Adaptation</v>
          </cell>
          <cell r="E53" t="str">
            <v>Promote fish farming and aquaculture practices or techniques to reduce vulnerability to CC&amp;CV (i.e. due to changes in water quality or variation in fishing season).</v>
          </cell>
          <cell r="F53" t="str">
            <v>A122-05</v>
          </cell>
        </row>
        <row r="54">
          <cell r="A54" t="str">
            <v>SP 1 - Food Security</v>
          </cell>
          <cell r="B54" t="str">
            <v>2 - Fisheries</v>
          </cell>
          <cell r="C54" t="str">
            <v>2 - Research, Development, and Extension</v>
          </cell>
          <cell r="D54" t="str">
            <v>Adaptation</v>
          </cell>
          <cell r="E54" t="str">
            <v>Establish climate information systems and database for fisheries sector*</v>
          </cell>
          <cell r="F54" t="str">
            <v>A122-06</v>
          </cell>
        </row>
        <row r="55">
          <cell r="A55" t="str">
            <v>SP 1 - Food Security</v>
          </cell>
          <cell r="B55" t="str">
            <v>2 - Fisheries</v>
          </cell>
          <cell r="C55" t="str">
            <v>3 - Knowledge Sharing and Capacity Building</v>
          </cell>
          <cell r="D55" t="str">
            <v>Adaptation</v>
          </cell>
          <cell r="E55" t="str">
            <v>Establish a resource network / information system and database on climate change and fisheries*</v>
          </cell>
          <cell r="F55" t="str">
            <v>A123-01</v>
          </cell>
        </row>
        <row r="56">
          <cell r="A56" t="str">
            <v>SP 1 - Food Security</v>
          </cell>
          <cell r="B56" t="str">
            <v>2 - Fisheries</v>
          </cell>
          <cell r="C56" t="str">
            <v>3 - Knowledge Sharing and Capacity Building</v>
          </cell>
          <cell r="D56" t="str">
            <v>Mitigation</v>
          </cell>
          <cell r="E56" t="str">
            <v>Establish or strengthen institutions, information systems and capacity building on energy and water use efficiency in fishing sector</v>
          </cell>
          <cell r="F56" t="str">
            <v>M123-01</v>
          </cell>
        </row>
        <row r="57">
          <cell r="A57" t="str">
            <v>SP 1 - Food Security</v>
          </cell>
          <cell r="B57" t="str">
            <v>2 - Fisheries</v>
          </cell>
          <cell r="C57" t="str">
            <v>4 - Service Delivery</v>
          </cell>
          <cell r="D57" t="str">
            <v>Adaptation</v>
          </cell>
          <cell r="E57" t="str">
            <v>Establish early warning systems for fisheries*</v>
          </cell>
          <cell r="F57" t="str">
            <v>A124-02</v>
          </cell>
        </row>
        <row r="58">
          <cell r="A58" t="str">
            <v>SP 2 - Water Sufficiency</v>
          </cell>
          <cell r="B58" t="str">
            <v>1 - Water Supply</v>
          </cell>
          <cell r="C58" t="str">
            <v>1 - Policy Development and Governance</v>
          </cell>
          <cell r="D58" t="str">
            <v>Adaptation</v>
          </cell>
          <cell r="E58" t="str">
            <v>Develop ordinances, policies and guidelines for water conservation, allocation, recycling and reuse*</v>
          </cell>
          <cell r="F58" t="str">
            <v>A211-01</v>
          </cell>
        </row>
        <row r="59">
          <cell r="A59" t="str">
            <v>SP 2 - Water Sufficiency</v>
          </cell>
          <cell r="B59" t="str">
            <v>1 - Water Supply</v>
          </cell>
          <cell r="C59" t="str">
            <v>1 - Policy Development and Governance</v>
          </cell>
          <cell r="D59" t="str">
            <v>Adaptation</v>
          </cell>
          <cell r="E59" t="str">
            <v>Review and streamline existing water resources management and institutional structure and policies*</v>
          </cell>
          <cell r="F59" t="str">
            <v>A211-02</v>
          </cell>
        </row>
        <row r="60">
          <cell r="A60" t="str">
            <v>SP 2 - Water Sufficiency</v>
          </cell>
          <cell r="B60" t="str">
            <v>1 - Water Supply</v>
          </cell>
          <cell r="C60" t="str">
            <v>1 - Policy Development and Governance</v>
          </cell>
          <cell r="D60" t="str">
            <v>Adaptation</v>
          </cell>
          <cell r="E60" t="str">
            <v xml:space="preserve">Develop and implement a comprehensive ground water management program that includes vulnerability assessment* </v>
          </cell>
          <cell r="F60" t="str">
            <v>A211-03</v>
          </cell>
        </row>
        <row r="61">
          <cell r="A61" t="str">
            <v>SP 2 - Water Sufficiency</v>
          </cell>
          <cell r="B61" t="str">
            <v>1 - Water Supply</v>
          </cell>
          <cell r="C61" t="str">
            <v>1 - Policy Development and Governance</v>
          </cell>
          <cell r="D61" t="str">
            <v>Adaptation</v>
          </cell>
          <cell r="E61" t="str">
            <v>Develop public financing mechanism for water supply infrastructures rehabilitation and development*</v>
          </cell>
          <cell r="F61" t="str">
            <v>A211-04</v>
          </cell>
        </row>
        <row r="62">
          <cell r="A62" t="str">
            <v>SP 2 - Water Sufficiency</v>
          </cell>
          <cell r="B62" t="str">
            <v>1 - Water Supply</v>
          </cell>
          <cell r="C62" t="str">
            <v>1 - Policy Development and Governance</v>
          </cell>
          <cell r="D62" t="str">
            <v>Adaptation</v>
          </cell>
          <cell r="E62" t="str">
            <v>Incorporate risks from climate change and climate variability in water, sanitation and flood protection planning</v>
          </cell>
          <cell r="F62" t="str">
            <v>A211-05</v>
          </cell>
        </row>
        <row r="63">
          <cell r="A63" t="str">
            <v>SP 2 - Water Sufficiency</v>
          </cell>
          <cell r="B63" t="str">
            <v>1 - Water Supply</v>
          </cell>
          <cell r="C63" t="str">
            <v>1 - Policy Development and Governance</v>
          </cell>
          <cell r="D63" t="str">
            <v>Adaptation</v>
          </cell>
          <cell r="E63" t="str">
            <v>Review financing, tariffs, and system of incentives to reflect the full cost of providing safe water*</v>
          </cell>
          <cell r="F63" t="str">
            <v>A211-06</v>
          </cell>
        </row>
        <row r="64">
          <cell r="A64" t="str">
            <v>SP 2 - Water Sufficiency</v>
          </cell>
          <cell r="B64" t="str">
            <v>1 - Water Supply</v>
          </cell>
          <cell r="C64" t="str">
            <v>1 - Policy Development and Governance</v>
          </cell>
          <cell r="D64" t="str">
            <v>Mitigation</v>
          </cell>
          <cell r="E64" t="str">
            <v>Sector reform to improve water use efficiency to reduce energy use for pumping water (e.g. water pricing)</v>
          </cell>
          <cell r="F64" t="str">
            <v>M211-01</v>
          </cell>
        </row>
        <row r="65">
          <cell r="A65" t="str">
            <v>SP 2 - Water Sufficiency</v>
          </cell>
          <cell r="B65" t="str">
            <v>1 - Water Supply</v>
          </cell>
          <cell r="C65" t="str">
            <v>2 - Research, Development, and Extension</v>
          </cell>
          <cell r="D65" t="str">
            <v>Adaptation</v>
          </cell>
          <cell r="E65" t="str">
            <v>Study “low cost, no regrets” adaptation measures and technologies under various hydrologic conditions, supply-demand conditions, and policy scenarios for surface and groundwater systems*</v>
          </cell>
          <cell r="F65" t="str">
            <v>A212-01</v>
          </cell>
        </row>
        <row r="66">
          <cell r="A66" t="str">
            <v>SP 2 - Water Sufficiency</v>
          </cell>
          <cell r="B66" t="str">
            <v>1 - Water Supply</v>
          </cell>
          <cell r="C66" t="str">
            <v>2 - Research, Development, and Extension</v>
          </cell>
          <cell r="D66" t="str">
            <v>Adaptation</v>
          </cell>
          <cell r="E66" t="str">
            <v>Define areas not suitable for large water infrastructure development and settlements based on vulnerability assessment*</v>
          </cell>
          <cell r="F66" t="str">
            <v>A212-02</v>
          </cell>
        </row>
        <row r="67">
          <cell r="A67" t="str">
            <v>SP 2 - Water Sufficiency</v>
          </cell>
          <cell r="B67" t="str">
            <v>1 - Water Supply</v>
          </cell>
          <cell r="C67" t="str">
            <v>2 - Research, Development, and Extension</v>
          </cell>
          <cell r="D67" t="str">
            <v>Adaptation</v>
          </cell>
          <cell r="E67" t="str">
            <v>Conduct ground water resource vulnerability and recharge areas assessment in water stressed cities*</v>
          </cell>
          <cell r="F67" t="str">
            <v>A212-03</v>
          </cell>
        </row>
        <row r="68">
          <cell r="A68" t="str">
            <v>SP 2 - Water Sufficiency</v>
          </cell>
          <cell r="B68" t="str">
            <v>1 - Water Supply</v>
          </cell>
          <cell r="C68" t="str">
            <v>2 - Research, Development, and Extension</v>
          </cell>
          <cell r="D68" t="str">
            <v>Adaptation</v>
          </cell>
          <cell r="E68" t="str">
            <v>Identify alternative water sources and demand management especially for urbanized areas that rely on reservoirs and are prone to recurrent and severe drought events*</v>
          </cell>
          <cell r="F68" t="str">
            <v>A212-05</v>
          </cell>
        </row>
        <row r="69">
          <cell r="A69" t="str">
            <v>SP 2 - Water Sufficiency</v>
          </cell>
          <cell r="B69" t="str">
            <v>1 - Water Supply</v>
          </cell>
          <cell r="C69" t="str">
            <v>2 - Research, Development, and Extension</v>
          </cell>
          <cell r="D69" t="str">
            <v>Adaptation</v>
          </cell>
          <cell r="E69" t="str">
            <v>Study and adopt centralized wastewater treatment systems to improve quality in highly urbanized and densely populated areas</v>
          </cell>
          <cell r="F69" t="str">
            <v>A212-06</v>
          </cell>
        </row>
        <row r="70">
          <cell r="A70" t="str">
            <v>SP 2 - Water Sufficiency</v>
          </cell>
          <cell r="B70" t="str">
            <v>1 - Water Supply</v>
          </cell>
          <cell r="C70" t="str">
            <v>2 - Research, Development, and Extension</v>
          </cell>
          <cell r="D70" t="str">
            <v>Adaptation</v>
          </cell>
          <cell r="E70" t="str">
            <v>Conduct water resource supply and demand analysis under various hydrologic conditions and climate scenarios*</v>
          </cell>
          <cell r="F70" t="str">
            <v>A212-07</v>
          </cell>
        </row>
        <row r="71">
          <cell r="A71" t="str">
            <v>SP 2 - Water Sufficiency</v>
          </cell>
          <cell r="B71" t="str">
            <v>1 - Water Supply</v>
          </cell>
          <cell r="C71" t="str">
            <v>2 - Research, Development, and Extension</v>
          </cell>
          <cell r="D71" t="str">
            <v>Adaptation</v>
          </cell>
          <cell r="E71" t="str">
            <v>Incorporate water cycles change from CC &amp; CV into trans-boundary water basin planning</v>
          </cell>
          <cell r="F71" t="str">
            <v>A212-08</v>
          </cell>
        </row>
        <row r="72">
          <cell r="A72" t="str">
            <v>SP 2 - Water Sufficiency</v>
          </cell>
          <cell r="B72" t="str">
            <v>1 - Water Supply</v>
          </cell>
          <cell r="C72" t="str">
            <v>2 - Research, Development, and Extension</v>
          </cell>
          <cell r="D72" t="str">
            <v>Mitigation</v>
          </cell>
          <cell r="E72" t="str">
            <v>Administration, sector studies, surveys, assessments, information systems and capacity building for energy and water use efficiency in water, sanitation and flood protection</v>
          </cell>
          <cell r="F72" t="str">
            <v>M212-01</v>
          </cell>
        </row>
        <row r="73">
          <cell r="A73" t="str">
            <v>SP 2 - Water Sufficiency</v>
          </cell>
          <cell r="B73" t="str">
            <v>1 - Water Supply</v>
          </cell>
          <cell r="C73" t="str">
            <v>3 - Knowledge Sharing and Capacity Building</v>
          </cell>
          <cell r="D73" t="str">
            <v>Adaptation</v>
          </cell>
          <cell r="E73" t="str">
            <v>Training for community-based water associations to manage water supply infrastructures</v>
          </cell>
          <cell r="F73" t="str">
            <v>A213-01</v>
          </cell>
        </row>
        <row r="74">
          <cell r="A74" t="str">
            <v>SP 2 - Water Sufficiency</v>
          </cell>
          <cell r="B74" t="str">
            <v>1 - Water Supply</v>
          </cell>
          <cell r="C74" t="str">
            <v>3 - Knowledge Sharing and Capacity Building</v>
          </cell>
          <cell r="D74" t="str">
            <v>Adaptation</v>
          </cell>
          <cell r="E74" t="str">
            <v>Conduct Integrated Water Resource Management and CC adaptation and disaster risk reduction training for vulnerable communities*</v>
          </cell>
          <cell r="F74" t="str">
            <v>A213-02</v>
          </cell>
        </row>
        <row r="75">
          <cell r="A75" t="str">
            <v>SP 2 - Water Sufficiency</v>
          </cell>
          <cell r="B75" t="str">
            <v>1 - Water Supply</v>
          </cell>
          <cell r="C75" t="str">
            <v>3 - Knowledge Sharing and Capacity Building</v>
          </cell>
          <cell r="D75" t="str">
            <v>Adaptation</v>
          </cell>
          <cell r="E75" t="str">
            <v>Develop gendered and accessible knowledge products and IEC materials that include local and indigenous knowledge on water resources management, CC impacts on water resources and adaptation best practices*</v>
          </cell>
          <cell r="F75" t="str">
            <v>A213-03</v>
          </cell>
        </row>
        <row r="76">
          <cell r="A76" t="str">
            <v>SP 2 - Water Sufficiency</v>
          </cell>
          <cell r="B76" t="str">
            <v>1 - Water Supply</v>
          </cell>
          <cell r="C76" t="str">
            <v>3 - Knowledge Sharing and Capacity Building</v>
          </cell>
          <cell r="D76" t="str">
            <v>Adaptation</v>
          </cell>
          <cell r="E76" t="str">
            <v>Develop and network government database on water resources and users*</v>
          </cell>
          <cell r="F76" t="str">
            <v>A213-04</v>
          </cell>
        </row>
        <row r="77">
          <cell r="A77" t="str">
            <v>SP 2 - Water Sufficiency</v>
          </cell>
          <cell r="B77" t="str">
            <v>1 - Water Supply</v>
          </cell>
          <cell r="C77" t="str">
            <v>3 - Knowledge Sharing and Capacity Building</v>
          </cell>
          <cell r="D77" t="str">
            <v>Mitigation</v>
          </cell>
          <cell r="E77" t="str">
            <v>Train managers or workers to improve water or energy efficiency in business operations</v>
          </cell>
          <cell r="F77" t="str">
            <v>M213-01</v>
          </cell>
        </row>
        <row r="78">
          <cell r="A78" t="str">
            <v>SP 2 - Water Sufficiency</v>
          </cell>
          <cell r="B78" t="str">
            <v>1 - Water Supply</v>
          </cell>
          <cell r="C78" t="str">
            <v>4 - Service Delivery</v>
          </cell>
          <cell r="D78" t="str">
            <v>Adaptation</v>
          </cell>
          <cell r="E78" t="str">
            <v>Incorporate climate change and climate variability in water supply infrastructure/ Rehabilitate water infrastructure with climate lens (use of climate projections and other relevant climate data)*</v>
          </cell>
          <cell r="F78" t="str">
            <v>A214-01</v>
          </cell>
        </row>
        <row r="79">
          <cell r="A79" t="str">
            <v>SP 2 - Water Sufficiency</v>
          </cell>
          <cell r="B79" t="str">
            <v>1 - Water Supply</v>
          </cell>
          <cell r="C79" t="str">
            <v>4 - Service Delivery</v>
          </cell>
          <cell r="D79" t="str">
            <v>Adaptation</v>
          </cell>
          <cell r="E79" t="str">
            <v>Construct new and expand existing water supply infrastructures for waterless communities*</v>
          </cell>
          <cell r="F79" t="str">
            <v>A214-02</v>
          </cell>
        </row>
        <row r="80">
          <cell r="A80" t="str">
            <v>SP 2 - Water Sufficiency</v>
          </cell>
          <cell r="B80" t="str">
            <v>1 - Water Supply</v>
          </cell>
          <cell r="C80" t="str">
            <v>4 - Service Delivery</v>
          </cell>
          <cell r="D80" t="str">
            <v>Adaptation</v>
          </cell>
          <cell r="E80" t="str">
            <v>Treatment of wastewater for conservation/re-use purposes to respond to declines in water availability due to climate change and climate variability</v>
          </cell>
          <cell r="F80" t="str">
            <v>A214-03</v>
          </cell>
        </row>
        <row r="81">
          <cell r="A81" t="str">
            <v>SP 2 - Water Sufficiency</v>
          </cell>
          <cell r="B81" t="str">
            <v>1 - Water Supply</v>
          </cell>
          <cell r="C81" t="str">
            <v>4 - Service Delivery</v>
          </cell>
          <cell r="D81" t="str">
            <v>Adaptation</v>
          </cell>
          <cell r="E81" t="str">
            <v>Incorporate changes in design of sanitation systems, wastewater treatment and disposal system in response to extreme weather and flood events arising from climate change and climate variability</v>
          </cell>
          <cell r="F81" t="str">
            <v>A214-04</v>
          </cell>
        </row>
        <row r="82">
          <cell r="A82" t="str">
            <v>SP 2 - Water Sufficiency</v>
          </cell>
          <cell r="B82" t="str">
            <v>1 - Water Supply</v>
          </cell>
          <cell r="C82" t="str">
            <v>4 - Service Delivery</v>
          </cell>
          <cell r="D82" t="str">
            <v>Adaptation</v>
          </cell>
          <cell r="E82" t="str">
            <v>Implement/install water harvesting technologies* (e.g. small water impounding project)</v>
          </cell>
          <cell r="F82" t="str">
            <v>A214-05</v>
          </cell>
        </row>
        <row r="83">
          <cell r="A83" t="str">
            <v>SP 2 - Water Sufficiency</v>
          </cell>
          <cell r="B83" t="str">
            <v>1 - Water Supply</v>
          </cell>
          <cell r="C83" t="str">
            <v>4 - Service Delivery</v>
          </cell>
          <cell r="D83" t="str">
            <v>Mitigation</v>
          </cell>
          <cell r="E83" t="str">
            <v>Reduce energy intensity of existing water supply systems (e.g. replacing pumps)</v>
          </cell>
          <cell r="F83" t="str">
            <v>M214-01</v>
          </cell>
        </row>
        <row r="84">
          <cell r="A84" t="str">
            <v>SP 2 - Water Sufficiency</v>
          </cell>
          <cell r="B84" t="str">
            <v>1 - Water Supply</v>
          </cell>
          <cell r="C84" t="str">
            <v>4 - Service Delivery</v>
          </cell>
          <cell r="D84" t="str">
            <v>Mitigation</v>
          </cell>
          <cell r="E84" t="str">
            <v xml:space="preserve">Reduce or capture methane emission from ventilated improved pit latrines. </v>
          </cell>
          <cell r="F84" t="str">
            <v>M214-02</v>
          </cell>
        </row>
        <row r="85">
          <cell r="A85" t="str">
            <v>SP 2 - Water Sufficiency</v>
          </cell>
          <cell r="B85" t="str">
            <v>1 - Water Supply</v>
          </cell>
          <cell r="C85" t="str">
            <v>4 - Service Delivery</v>
          </cell>
          <cell r="D85" t="str">
            <v>Mitigation</v>
          </cell>
          <cell r="E85" t="str">
            <v>Reduce per capita water consumption using demand-side interventions (e.g. household water, shower, toilet, and dishwasher)</v>
          </cell>
          <cell r="F85" t="str">
            <v>M214-03</v>
          </cell>
        </row>
        <row r="86">
          <cell r="A86" t="str">
            <v>SP 2 - Water Sufficiency</v>
          </cell>
          <cell r="B86" t="str">
            <v>1 - Water Supply</v>
          </cell>
          <cell r="C86" t="str">
            <v>4 - Service Delivery</v>
          </cell>
          <cell r="D86" t="str">
            <v>Mitigation</v>
          </cell>
          <cell r="E86" t="str">
            <v>Reduce GHG emission (methane and nitrous oxide) from wastewater</v>
          </cell>
          <cell r="F86" t="str">
            <v>M214-04</v>
          </cell>
        </row>
        <row r="87">
          <cell r="A87" t="str">
            <v>SP 2 - Water Sufficiency</v>
          </cell>
          <cell r="B87" t="str">
            <v>1 - Water Supply</v>
          </cell>
          <cell r="C87" t="str">
            <v>4 - Service Delivery</v>
          </cell>
          <cell r="D87" t="str">
            <v>Mitigation</v>
          </cell>
          <cell r="E87" t="str">
            <v>Reduce energy consumption during wastewater treatment (e.g. from activated sludge to up flow anaerobic sludge)</v>
          </cell>
          <cell r="F87" t="str">
            <v>M214-05</v>
          </cell>
        </row>
        <row r="88">
          <cell r="A88" t="str">
            <v>SP 2 - Water Sufficiency</v>
          </cell>
          <cell r="B88" t="str">
            <v>2 - Flood Protection</v>
          </cell>
          <cell r="C88" t="str">
            <v>1 - Policy Development and Governance</v>
          </cell>
          <cell r="D88" t="str">
            <v>Adaptation</v>
          </cell>
          <cell r="E88" t="str">
            <v>Formulate and implement ordinances and policies for rain water collection, such small water impoundments, retarding basins, mini dams to address water shortage and flooding*</v>
          </cell>
          <cell r="F88" t="str">
            <v>A221-01</v>
          </cell>
        </row>
        <row r="89">
          <cell r="A89" t="str">
            <v>SP 2 - Water Sufficiency</v>
          </cell>
          <cell r="B89" t="str">
            <v>2 - Flood Protection</v>
          </cell>
          <cell r="C89" t="str">
            <v>1 - Policy Development and Governance</v>
          </cell>
          <cell r="D89" t="str">
            <v>Adaptation</v>
          </cell>
          <cell r="E89" t="str">
            <v>Design guidelines, emergency protocols, and encourage preparedness and risk/contingency planning in communities that are at risk to present or future flooding</v>
          </cell>
          <cell r="F89" t="str">
            <v>A221-02</v>
          </cell>
        </row>
        <row r="90">
          <cell r="A90" t="str">
            <v>SP 2 - Water Sufficiency</v>
          </cell>
          <cell r="B90" t="str">
            <v>2 - Flood Protection</v>
          </cell>
          <cell r="C90" t="str">
            <v>2 - Research, Development, and Extension</v>
          </cell>
          <cell r="D90" t="str">
            <v>Adaptation</v>
          </cell>
          <cell r="E90" t="str">
            <v>Conduct vulnerability assessments in communities, LGUs, and sectors that are at risk to present or future flooding</v>
          </cell>
          <cell r="F90" t="str">
            <v>A222-01</v>
          </cell>
        </row>
        <row r="91">
          <cell r="A91" t="str">
            <v>SP 2 - Water Sufficiency</v>
          </cell>
          <cell r="B91" t="str">
            <v>2 - Flood Protection</v>
          </cell>
          <cell r="C91" t="str">
            <v>2 - Research, Development, and Extension</v>
          </cell>
          <cell r="D91" t="str">
            <v>Adaptation</v>
          </cell>
          <cell r="E91" t="str">
            <v>Improve hydromet infrastructure and monitoring systems for data collection and management and the development and delivery of information, products and services to increase flood resilience</v>
          </cell>
          <cell r="F91" t="str">
            <v>A222-02</v>
          </cell>
        </row>
        <row r="92">
          <cell r="A92" t="str">
            <v>SP 2 - Water Sufficiency</v>
          </cell>
          <cell r="B92" t="str">
            <v>2 - Flood Protection</v>
          </cell>
          <cell r="C92" t="str">
            <v>2 - Research, Development, and Extension</v>
          </cell>
          <cell r="D92" t="str">
            <v>Adaptation</v>
          </cell>
          <cell r="E92" t="str">
            <v>Develop innovative technologies and methodologies to communicating flood emergency information and longer-term risks of flooding to relevant populations and communities</v>
          </cell>
          <cell r="F92" t="str">
            <v>A222-03</v>
          </cell>
        </row>
        <row r="93">
          <cell r="A93" t="str">
            <v>SP 2 - Water Sufficiency</v>
          </cell>
          <cell r="B93" t="str">
            <v>2 - Flood Protection</v>
          </cell>
          <cell r="C93" t="str">
            <v>3 - Knowledge Sharing and Capacity Building</v>
          </cell>
          <cell r="D93" t="str">
            <v>Adaptation</v>
          </cell>
          <cell r="E93" t="str">
            <v>Build local capacity for the management of climate change and extreme flood risks, and increase capacity in conducting vulnerability assessments</v>
          </cell>
          <cell r="F93" t="str">
            <v>A223-01</v>
          </cell>
        </row>
        <row r="94">
          <cell r="A94" t="str">
            <v>SP 2 - Water Sufficiency</v>
          </cell>
          <cell r="B94" t="str">
            <v>2 - Flood Protection</v>
          </cell>
          <cell r="C94" t="str">
            <v>3 - Knowledge Sharing and Capacity Building</v>
          </cell>
          <cell r="D94" t="str">
            <v>Adaptation</v>
          </cell>
          <cell r="E94" t="str">
            <v>Increase knowledge to consider climate change information and climate risk in water resources management</v>
          </cell>
          <cell r="F94" t="str">
            <v>A223-02</v>
          </cell>
        </row>
        <row r="95">
          <cell r="A95" t="str">
            <v>SP 2 - Water Sufficiency</v>
          </cell>
          <cell r="B95" t="str">
            <v>2 - Flood Protection</v>
          </cell>
          <cell r="C95" t="str">
            <v>4 - Service Delivery</v>
          </cell>
          <cell r="D95" t="str">
            <v>Adaptation</v>
          </cell>
          <cell r="E95" t="str">
            <v>Incorporate climate change and climate variability in design standards for flood control and drainage systems</v>
          </cell>
          <cell r="F95" t="str">
            <v>A224-01</v>
          </cell>
        </row>
        <row r="96">
          <cell r="A96" t="str">
            <v>SP 2 - Water Sufficiency</v>
          </cell>
          <cell r="B96" t="str">
            <v>2 - Flood Protection</v>
          </cell>
          <cell r="C96" t="str">
            <v>4 - Service Delivery</v>
          </cell>
          <cell r="D96" t="str">
            <v>Adaptation</v>
          </cell>
          <cell r="E96" t="str">
            <v>Improve resilience of infrastructure (bridges, water supply, community infrastructure, water storage, coastal defense, etc) to account for climate change and climate variability related extreme weather and climate variability that could increase flood risks in infrastructure</v>
          </cell>
          <cell r="F96" t="str">
            <v>A224-02</v>
          </cell>
        </row>
        <row r="97">
          <cell r="A97" t="str">
            <v>SP 2 - Water Sufficiency</v>
          </cell>
          <cell r="B97" t="str">
            <v>2 - Flood Protection</v>
          </cell>
          <cell r="C97" t="str">
            <v>4 - Service Delivery</v>
          </cell>
          <cell r="D97" t="str">
            <v>Adaptation</v>
          </cell>
          <cell r="E97" t="str">
            <v>Protect or re-establish mangrove forests, wetlands, and other ecosystems as protection against floods risks</v>
          </cell>
          <cell r="F97" t="str">
            <v>A224-03</v>
          </cell>
        </row>
        <row r="98">
          <cell r="A98" t="str">
            <v>SP 2 - Water Sufficiency</v>
          </cell>
          <cell r="B98" t="str">
            <v>2 - Flood Protection</v>
          </cell>
          <cell r="C98" t="str">
            <v>4 - Service Delivery</v>
          </cell>
          <cell r="D98" t="str">
            <v>Adaptation</v>
          </cell>
          <cell r="E98" t="str">
            <v>Improve early warning information and alert systems to increase readiness to extreme flood risks</v>
          </cell>
          <cell r="F98" t="str">
            <v>A224-05</v>
          </cell>
        </row>
        <row r="99">
          <cell r="A99" t="str">
            <v>SP 2 - Water Sufficiency</v>
          </cell>
          <cell r="B99" t="str">
            <v>3 - Water and Sanitation</v>
          </cell>
          <cell r="C99" t="str">
            <v>1 - Policy Development and Governance</v>
          </cell>
          <cell r="D99" t="str">
            <v>Adaptation</v>
          </cell>
          <cell r="E99" t="str">
            <v>Design guidance for incorporating climate change risk into water sanitation and treatment planning, operation, and management (including accounting for increased construction and maintenance costs that account for climate risk)</v>
          </cell>
          <cell r="F99" t="str">
            <v>A231-02</v>
          </cell>
        </row>
        <row r="100">
          <cell r="A100" t="str">
            <v>SP 2 - Water Sufficiency</v>
          </cell>
          <cell r="B100" t="str">
            <v>3 - Water and Sanitation</v>
          </cell>
          <cell r="C100" t="str">
            <v>1 - Policy Development and Governance</v>
          </cell>
          <cell r="D100" t="str">
            <v>Adaptation</v>
          </cell>
          <cell r="E100" t="str">
            <v>Incorporate risk of sea level rise, storm surge, and saltwater intrusion on the design and upgrades of coastal water sanitation infrastructure</v>
          </cell>
          <cell r="F100" t="str">
            <v>A231-03</v>
          </cell>
        </row>
        <row r="101">
          <cell r="A101" t="str">
            <v>SP 2 - Water Sufficiency</v>
          </cell>
          <cell r="B101" t="str">
            <v>3 - Water and Sanitation</v>
          </cell>
          <cell r="C101" t="str">
            <v>2 - Research, Development, and Extension</v>
          </cell>
          <cell r="D101" t="str">
            <v>Adaptation</v>
          </cell>
          <cell r="E101" t="str">
            <v>Study and adopt centralized wastewater treatment systems to improve quality in highly urbanized and densely populated areas with respect to increased flooding, storm surge, and extreme precipitation events</v>
          </cell>
          <cell r="F101" t="str">
            <v>A232-01</v>
          </cell>
        </row>
        <row r="102">
          <cell r="A102" t="str">
            <v>SP 2 - Water Sufficiency</v>
          </cell>
          <cell r="B102" t="str">
            <v>3 - Water and Sanitation</v>
          </cell>
          <cell r="C102" t="str">
            <v>2 - Research, Development, and Extension</v>
          </cell>
          <cell r="D102" t="str">
            <v>Adaptation</v>
          </cell>
          <cell r="E102" t="str">
            <v>Conduct vulnerability assessments for the sanitation and treatment of water supply</v>
          </cell>
          <cell r="F102" t="str">
            <v>A232-02</v>
          </cell>
        </row>
        <row r="103">
          <cell r="A103" t="str">
            <v>SP 2 - Water Sufficiency</v>
          </cell>
          <cell r="B103" t="str">
            <v>3 - Water and Sanitation</v>
          </cell>
          <cell r="C103" t="str">
            <v>3 - Knowledge Sharing and Capacity Building</v>
          </cell>
          <cell r="D103" t="str">
            <v>Adaptation</v>
          </cell>
          <cell r="E103" t="str">
            <v>Increase local knowledge for how to consider climate change information and climate risk in water quality and wastewater treatment</v>
          </cell>
          <cell r="F103" t="str">
            <v>A233-01</v>
          </cell>
        </row>
        <row r="104">
          <cell r="A104" t="str">
            <v>SP 2 - Water Sufficiency</v>
          </cell>
          <cell r="B104" t="str">
            <v>3 - Water and Sanitation</v>
          </cell>
          <cell r="C104" t="str">
            <v>4 - Service Delivery</v>
          </cell>
          <cell r="D104" t="str">
            <v>Adaptation</v>
          </cell>
          <cell r="E104" t="str">
            <v>Expand the establishment of alternative micro-water purification systems especially to areas that cannot be reached by safe water supply*</v>
          </cell>
          <cell r="F104" t="str">
            <v>A234-01</v>
          </cell>
        </row>
        <row r="105">
          <cell r="A105" t="str">
            <v>SP 2 - Water Sufficiency</v>
          </cell>
          <cell r="B105" t="str">
            <v>3 - Water and Sanitation</v>
          </cell>
          <cell r="C105" t="str">
            <v>4 - Service Delivery</v>
          </cell>
          <cell r="D105" t="str">
            <v>Adaptation</v>
          </cell>
          <cell r="E105" t="str">
            <v xml:space="preserve">Monitor impact of climate change and climate variability as part of water resource management </v>
          </cell>
          <cell r="F105" t="str">
            <v>A234-02</v>
          </cell>
        </row>
        <row r="106">
          <cell r="A106" t="str">
            <v>SP 2 - Water Sufficiency</v>
          </cell>
          <cell r="B106" t="str">
            <v>3 - Water and Sanitation</v>
          </cell>
          <cell r="C106" t="str">
            <v>4 - Service Delivery</v>
          </cell>
          <cell r="D106" t="str">
            <v>Adaptation</v>
          </cell>
          <cell r="E106" t="str">
            <v>Incorporate changes in design of sanitation systems, wastewater treatment and disposal system in response to extreme weather and flood events arising from climate change and climate variability</v>
          </cell>
          <cell r="F106" t="str">
            <v>A234-03</v>
          </cell>
        </row>
        <row r="107">
          <cell r="A107" t="str">
            <v>SP 3 - Ecological and Environmental Stability</v>
          </cell>
          <cell r="B107" t="str">
            <v>1 - Forest and Biodiversity</v>
          </cell>
          <cell r="C107" t="str">
            <v>1 - Policy Development and Governance</v>
          </cell>
          <cell r="D107" t="str">
            <v>Adaptation</v>
          </cell>
          <cell r="E107" t="str">
            <v>Design and implement payments for environmental services and other innovative conservation financing mechanisms to support ecosystem-based adaptation and mitigation*</v>
          </cell>
          <cell r="F107" t="str">
            <v>A311-01</v>
          </cell>
        </row>
        <row r="108">
          <cell r="A108" t="str">
            <v>SP 3 - Ecological and Environmental Stability</v>
          </cell>
          <cell r="B108" t="str">
            <v>1 - Forest and Biodiversity</v>
          </cell>
          <cell r="C108" t="str">
            <v>1 - Policy Development and Governance</v>
          </cell>
          <cell r="D108" t="str">
            <v>Adaptation</v>
          </cell>
          <cell r="E108" t="str">
            <v>Integrated ecosystem management approaches for watersheds and wetlands to reduce vulnerability to climate change and climate variability</v>
          </cell>
          <cell r="F108" t="str">
            <v>A311-03</v>
          </cell>
        </row>
        <row r="109">
          <cell r="A109" t="str">
            <v>SP 3 - Ecological and Environmental Stability</v>
          </cell>
          <cell r="B109" t="str">
            <v>1 - Forest and Biodiversity</v>
          </cell>
          <cell r="C109" t="str">
            <v>1 - Policy Development and Governance</v>
          </cell>
          <cell r="D109" t="str">
            <v>Adaptation</v>
          </cell>
          <cell r="E109" t="str">
            <v>Develop guidelines for implementing Integrated Water Resources Management (IWRM) and climate change adaptation at the local, watershed and river basin level*</v>
          </cell>
          <cell r="F109" t="str">
            <v>A311-05</v>
          </cell>
        </row>
        <row r="110">
          <cell r="A110" t="str">
            <v>SP 3 - Ecological and Environmental Stability</v>
          </cell>
          <cell r="B110" t="str">
            <v>1 - Forest and Biodiversity</v>
          </cell>
          <cell r="C110" t="str">
            <v>1 - Policy Development and Governance</v>
          </cell>
          <cell r="D110" t="str">
            <v>Adaptation</v>
          </cell>
          <cell r="E110" t="str">
            <v>Formulate ordinances/policies to reduce the human-related impacts to coral reefs to help lessen the reefs’ vulnerability to climate change</v>
          </cell>
          <cell r="F110" t="str">
            <v>A311-06</v>
          </cell>
        </row>
        <row r="111">
          <cell r="A111" t="str">
            <v>SP 3 - Ecological and Environmental Stability</v>
          </cell>
          <cell r="B111" t="str">
            <v>1 - Forest and Biodiversity</v>
          </cell>
          <cell r="C111" t="str">
            <v>1 - Policy Development and Governance</v>
          </cell>
          <cell r="D111" t="str">
            <v>Mitigation</v>
          </cell>
          <cell r="E111" t="str">
            <v>Implement and monitor progress of Reducing Emissions from Deforestation and Forest Degradation (REDD+) related policies*</v>
          </cell>
          <cell r="F111" t="str">
            <v>M311-01</v>
          </cell>
        </row>
        <row r="112">
          <cell r="A112" t="str">
            <v>SP 3 - Ecological and Environmental Stability</v>
          </cell>
          <cell r="B112" t="str">
            <v>1 - Forest and Biodiversity</v>
          </cell>
          <cell r="C112" t="str">
            <v>2 - Research, Development, and Extension</v>
          </cell>
          <cell r="D112" t="str">
            <v>Adaptation</v>
          </cell>
          <cell r="E112" t="str">
            <v>Conduct ecosystems vulnerability and risk assessment*</v>
          </cell>
          <cell r="F112" t="str">
            <v>A312-01</v>
          </cell>
        </row>
        <row r="113">
          <cell r="A113" t="str">
            <v>SP 3 - Ecological and Environmental Stability</v>
          </cell>
          <cell r="B113" t="str">
            <v>1 - Forest and Biodiversity</v>
          </cell>
          <cell r="C113" t="str">
            <v>2 - Research, Development, and Extension</v>
          </cell>
          <cell r="D113" t="str">
            <v>Adaptation</v>
          </cell>
          <cell r="E113" t="str">
            <v>Study, design and implement financing mechanisms for IWRM and climate change adaptation implementation in critical watersheds and river basins*</v>
          </cell>
          <cell r="F113" t="str">
            <v>A312-02</v>
          </cell>
        </row>
        <row r="114">
          <cell r="A114" t="str">
            <v>SP 3 - Ecological and Environmental Stability</v>
          </cell>
          <cell r="B114" t="str">
            <v>1 - Forest and Biodiversity</v>
          </cell>
          <cell r="C114" t="str">
            <v>2 - Research, Development, and Extension</v>
          </cell>
          <cell r="D114" t="str">
            <v>Mitigation</v>
          </cell>
          <cell r="E114" t="str">
            <v>Greenhouse gas accounting and inventory</v>
          </cell>
          <cell r="F114" t="str">
            <v>M312-01</v>
          </cell>
        </row>
        <row r="115">
          <cell r="A115" t="str">
            <v>SP 3 - Ecological and Environmental Stability</v>
          </cell>
          <cell r="B115" t="str">
            <v>1 - Forest and Biodiversity</v>
          </cell>
          <cell r="C115" t="str">
            <v>3 - Knowledge Sharing and Capacity Building</v>
          </cell>
          <cell r="D115" t="str">
            <v>Adaptation</v>
          </cell>
          <cell r="E115" t="str">
            <v>Training on vulnerability and risk assessments*</v>
          </cell>
          <cell r="F115" t="str">
            <v>A313-01</v>
          </cell>
        </row>
        <row r="116">
          <cell r="A116" t="str">
            <v>SP 3 - Ecological and Environmental Stability</v>
          </cell>
          <cell r="B116" t="str">
            <v>1 - Forest and Biodiversity</v>
          </cell>
          <cell r="C116" t="str">
            <v>3 - Knowledge Sharing and Capacity Building</v>
          </cell>
          <cell r="D116" t="str">
            <v>Adaptation</v>
          </cell>
          <cell r="E116" t="str">
            <v>Establish management information system for different ecosystems that link various data sources*</v>
          </cell>
          <cell r="F116" t="str">
            <v>A313-03</v>
          </cell>
        </row>
        <row r="117">
          <cell r="A117" t="str">
            <v>SP 3 - Ecological and Environmental Stability</v>
          </cell>
          <cell r="B117" t="str">
            <v>1 - Forest and Biodiversity</v>
          </cell>
          <cell r="C117" t="str">
            <v>3 - Knowledge Sharing and Capacity Building</v>
          </cell>
          <cell r="D117" t="str">
            <v>Adaptation</v>
          </cell>
          <cell r="E117" t="str">
            <v>Document and disseminate best practices, including climate change responsive indigenous practices*</v>
          </cell>
          <cell r="F117" t="str">
            <v>A313-04</v>
          </cell>
        </row>
        <row r="118">
          <cell r="A118" t="str">
            <v>SP 3 - Ecological and Environmental Stability</v>
          </cell>
          <cell r="B118" t="str">
            <v>1 - Forest and Biodiversity</v>
          </cell>
          <cell r="C118" t="str">
            <v>3 - Knowledge Sharing and Capacity Building</v>
          </cell>
          <cell r="D118" t="str">
            <v>Adaptation</v>
          </cell>
          <cell r="E118" t="str">
            <v>Festivals and events which advocate the protection and preservation of nature</v>
          </cell>
          <cell r="F118" t="str">
            <v>A313-05</v>
          </cell>
        </row>
        <row r="119">
          <cell r="A119" t="str">
            <v>SP 3 - Ecological and Environmental Stability</v>
          </cell>
          <cell r="B119" t="str">
            <v>1 - Forest and Biodiversity</v>
          </cell>
          <cell r="C119" t="str">
            <v>4 - Service Delivery</v>
          </cell>
          <cell r="D119" t="str">
            <v>Adaptation</v>
          </cell>
          <cell r="E119" t="str">
            <v>Delineate/Rehabilitate/Reforest degraded watersheds and forest areas</v>
          </cell>
          <cell r="F119" t="str">
            <v>A314-01</v>
          </cell>
        </row>
        <row r="120">
          <cell r="A120" t="str">
            <v>SP 3 - Ecological and Environmental Stability</v>
          </cell>
          <cell r="B120" t="str">
            <v>1 - Forest and Biodiversity</v>
          </cell>
          <cell r="C120" t="str">
            <v>4 - Service Delivery</v>
          </cell>
          <cell r="D120" t="str">
            <v>Adaptation</v>
          </cell>
          <cell r="E120" t="str">
            <v>Conserve and protect existing watershed and protected areas</v>
          </cell>
          <cell r="F120" t="str">
            <v>A314-02</v>
          </cell>
        </row>
        <row r="121">
          <cell r="A121" t="str">
            <v>SP 3 - Ecological and Environmental Stability</v>
          </cell>
          <cell r="B121" t="str">
            <v>1 - Forest and Biodiversity</v>
          </cell>
          <cell r="C121" t="str">
            <v>4 - Service Delivery</v>
          </cell>
          <cell r="D121" t="str">
            <v>Adaptation</v>
          </cell>
          <cell r="E121" t="str">
            <v>Delineate “ridge-to-reef” ecosystem-based management zones for the ecotowns through multi stakeholder process*</v>
          </cell>
          <cell r="F121" t="str">
            <v>A314-03</v>
          </cell>
        </row>
        <row r="122">
          <cell r="A122" t="str">
            <v>SP 3 - Ecological and Environmental Stability</v>
          </cell>
          <cell r="B122" t="str">
            <v>1 - Forest and Biodiversity</v>
          </cell>
          <cell r="C122" t="str">
            <v>4 - Service Delivery</v>
          </cell>
          <cell r="D122" t="str">
            <v>Adaptation</v>
          </cell>
          <cell r="E122" t="str">
            <v>Update status of Protected Areas and Key Biodiversity Areas from results from the vulnerability and risk assessment*</v>
          </cell>
          <cell r="F122" t="str">
            <v>A314-04</v>
          </cell>
        </row>
        <row r="123">
          <cell r="A123" t="str">
            <v>SP 3 - Ecological and Environmental Stability</v>
          </cell>
          <cell r="B123" t="str">
            <v>1 - Forest and Biodiversity</v>
          </cell>
          <cell r="C123" t="str">
            <v>4 - Service Delivery</v>
          </cell>
          <cell r="D123" t="str">
            <v>Adaptation</v>
          </cell>
          <cell r="E123" t="str">
            <v xml:space="preserve">Improve physical system performance of river basins </v>
          </cell>
          <cell r="F123" t="str">
            <v>A314-06</v>
          </cell>
        </row>
        <row r="124">
          <cell r="A124" t="str">
            <v>SP 3 - Ecological and Environmental Stability</v>
          </cell>
          <cell r="B124" t="str">
            <v>1 - Forest and Biodiversity</v>
          </cell>
          <cell r="C124" t="str">
            <v>4 - Service Delivery</v>
          </cell>
          <cell r="D124" t="str">
            <v>Adaptation</v>
          </cell>
          <cell r="E124" t="str">
            <v xml:space="preserve">Seedling production; management of mangrove nursery  </v>
          </cell>
          <cell r="F124" t="str">
            <v>A314-07</v>
          </cell>
        </row>
        <row r="125">
          <cell r="A125" t="str">
            <v>SP 3 - Ecological and Environmental Stability</v>
          </cell>
          <cell r="B125" t="str">
            <v>1 - Forest and Biodiversity</v>
          </cell>
          <cell r="C125" t="str">
            <v>4 - Service Delivery</v>
          </cell>
          <cell r="D125" t="str">
            <v>Adaptation</v>
          </cell>
          <cell r="E125" t="str">
            <v>Agro-forestry to diversify farmers’ incomes and provide alternatives livelihood during extreme weather events (i.e. drought)</v>
          </cell>
          <cell r="F125" t="str">
            <v>A314-08</v>
          </cell>
        </row>
        <row r="126">
          <cell r="A126" t="str">
            <v>SP 3 - Ecological and Environmental Stability</v>
          </cell>
          <cell r="B126" t="str">
            <v>1 - Forest and Biodiversity</v>
          </cell>
          <cell r="C126" t="str">
            <v>4 - Service Delivery</v>
          </cell>
          <cell r="D126" t="str">
            <v>Adaptation</v>
          </cell>
          <cell r="E126" t="str">
            <v xml:space="preserve">Integrated  tree planting along riverbanks/ river bank rehabilitation / that reduce the risk of flooding </v>
          </cell>
          <cell r="F126" t="str">
            <v>A314-09</v>
          </cell>
        </row>
        <row r="127">
          <cell r="A127" t="str">
            <v>SP 3 - Ecological and Environmental Stability</v>
          </cell>
          <cell r="B127" t="str">
            <v>1 - Forest and Biodiversity</v>
          </cell>
          <cell r="C127" t="str">
            <v>4 - Service Delivery</v>
          </cell>
          <cell r="D127" t="str">
            <v>Adaptation</v>
          </cell>
          <cell r="E127" t="str">
            <v>Establishment of database network on wildlife, genetic biodiversity and biosafety</v>
          </cell>
          <cell r="F127" t="str">
            <v>A314-10</v>
          </cell>
        </row>
        <row r="128">
          <cell r="A128" t="str">
            <v>SP 3 - Ecological and Environmental Stability</v>
          </cell>
          <cell r="B128" t="str">
            <v>1 - Forest and Biodiversity</v>
          </cell>
          <cell r="C128" t="str">
            <v>4 - Service Delivery</v>
          </cell>
          <cell r="D128" t="str">
            <v>Mitigation</v>
          </cell>
          <cell r="E128" t="str">
            <v>Re-forestation and afforestation that increases vegetative cover or sequesters carbon</v>
          </cell>
          <cell r="F128" t="str">
            <v>M314-01</v>
          </cell>
        </row>
        <row r="129">
          <cell r="A129" t="str">
            <v>SP 3 - Ecological and Environmental Stability</v>
          </cell>
          <cell r="B129" t="str">
            <v>1 - Forest and Biodiversity</v>
          </cell>
          <cell r="C129" t="str">
            <v>4 - Service Delivery</v>
          </cell>
          <cell r="D129" t="str">
            <v>Mitigation</v>
          </cell>
          <cell r="E129" t="str">
            <v>Sustainable peat land/ wetland/forest management and protection</v>
          </cell>
          <cell r="F129" t="str">
            <v>M314-02</v>
          </cell>
        </row>
        <row r="130">
          <cell r="A130" t="str">
            <v>SP 3 - Ecological and Environmental Stability</v>
          </cell>
          <cell r="B130" t="str">
            <v>1 - Forest and Biodiversity</v>
          </cell>
          <cell r="C130" t="str">
            <v>4 - Service Delivery</v>
          </cell>
          <cell r="D130" t="str">
            <v>Mitigation</v>
          </cell>
          <cell r="E130" t="str">
            <v>Avoided deforestation (e.g. Bantay Gubat; Bantay Bakawan)</v>
          </cell>
          <cell r="F130" t="str">
            <v>M314-03</v>
          </cell>
        </row>
        <row r="131">
          <cell r="A131" t="str">
            <v>SP 3 - Ecological and Environmental Stability</v>
          </cell>
          <cell r="B131" t="str">
            <v>1 - Forest and Biodiversity</v>
          </cell>
          <cell r="C131" t="str">
            <v>4 - Service Delivery</v>
          </cell>
          <cell r="D131" t="str">
            <v>Mitigation</v>
          </cell>
          <cell r="E131" t="str">
            <v xml:space="preserve">Management and protection of Tree Parks/Provincial Forests and Nursery </v>
          </cell>
          <cell r="F131" t="str">
            <v>M314-04</v>
          </cell>
        </row>
        <row r="132">
          <cell r="A132" t="str">
            <v>SP 3 - Ecological and Environmental Stability</v>
          </cell>
          <cell r="B132" t="str">
            <v>1 - Forest and Biodiversity</v>
          </cell>
          <cell r="C132" t="str">
            <v>4 - Service Delivery</v>
          </cell>
          <cell r="D132" t="str">
            <v>Mitigation</v>
          </cell>
          <cell r="E132" t="str">
            <v>Oplan Sagip Kalikasan/Urban greening program</v>
          </cell>
          <cell r="F132" t="str">
            <v>M314-05</v>
          </cell>
        </row>
        <row r="133">
          <cell r="A133" t="str">
            <v>SP 3 - Ecological and Environmental Stability</v>
          </cell>
          <cell r="B133" t="str">
            <v>1 - Forest and Biodiversity</v>
          </cell>
          <cell r="C133" t="str">
            <v>4 - Service Delivery</v>
          </cell>
          <cell r="D133" t="str">
            <v>Mitigation</v>
          </cell>
          <cell r="E133" t="str">
            <v>Identify and implement a moratorium of mining operations in protected areas pending vulnerability and risk assessment and economic valuation studies*</v>
          </cell>
          <cell r="F133" t="str">
            <v>M314-06</v>
          </cell>
        </row>
        <row r="134">
          <cell r="A134" t="str">
            <v>SP 3 - Ecological and Environmental Stability</v>
          </cell>
          <cell r="B134" t="str">
            <v>1 - Forest and Biodiversity</v>
          </cell>
          <cell r="C134" t="str">
            <v>4 - Service Delivery</v>
          </cell>
          <cell r="D134" t="str">
            <v>Mitigation</v>
          </cell>
          <cell r="E134" t="str">
            <v>Re-establish and protect mangroves, floodplains and seagrass beds with carbon sequestration properties</v>
          </cell>
          <cell r="F134" t="str">
            <v>M314-07</v>
          </cell>
        </row>
        <row r="135">
          <cell r="A135" t="str">
            <v>SP 3 - Ecological and Environmental Stability</v>
          </cell>
          <cell r="B135" t="str">
            <v>1 - Forest and Biodiversity</v>
          </cell>
          <cell r="C135" t="str">
            <v>4 - Service Delivery</v>
          </cell>
          <cell r="D135" t="str">
            <v>Mitigation</v>
          </cell>
          <cell r="E135" t="str">
            <v>Green charcoal briquetting facility that reduce deforestation</v>
          </cell>
          <cell r="F135" t="str">
            <v>M314-08</v>
          </cell>
        </row>
        <row r="136">
          <cell r="A136" t="str">
            <v>SP 3 - Ecological and Environmental Stability</v>
          </cell>
          <cell r="B136" t="str">
            <v>1 - Forest and Biodiversity</v>
          </cell>
          <cell r="C136" t="str">
            <v>4 - Service Delivery</v>
          </cell>
          <cell r="D136" t="str">
            <v>Mitigation</v>
          </cell>
          <cell r="E136" t="str">
            <v>Monitor illegal mining activities that emit greenhouse gasses</v>
          </cell>
          <cell r="F136" t="str">
            <v>M314-09</v>
          </cell>
        </row>
        <row r="137">
          <cell r="A137" t="str">
            <v>SP 3 - Ecological and Environmental Stability</v>
          </cell>
          <cell r="B137" t="str">
            <v>2 - Solid Waste</v>
          </cell>
          <cell r="C137" t="str">
            <v>1 - Policy Development and Governance</v>
          </cell>
          <cell r="D137" t="str">
            <v>Adaptation</v>
          </cell>
          <cell r="E137" t="str">
            <v>Incorporate change in design of solid waste management systems in response to extreme weather and flood events arising from CC&amp;CV</v>
          </cell>
          <cell r="F137" t="str">
            <v>A321-01</v>
          </cell>
        </row>
        <row r="138">
          <cell r="A138" t="str">
            <v>SP 3 - Ecological and Environmental Stability</v>
          </cell>
          <cell r="B138" t="str">
            <v>2 - Solid Waste</v>
          </cell>
          <cell r="C138" t="str">
            <v>1 - Policy Development and Governance</v>
          </cell>
          <cell r="D138" t="str">
            <v>Mitigation</v>
          </cell>
          <cell r="E138" t="str">
            <v>Develop and implement ordinances and policies that promote a system of incentives for the use of reusable bags and containers/ban or impose a fee on the use of plastic bags*</v>
          </cell>
          <cell r="F138" t="str">
            <v>M321-01</v>
          </cell>
        </row>
        <row r="139">
          <cell r="A139" t="str">
            <v>SP 3 - Ecological and Environmental Stability</v>
          </cell>
          <cell r="B139" t="str">
            <v>2 - Solid Waste</v>
          </cell>
          <cell r="C139" t="str">
            <v>2 - Research, Development, and Extension</v>
          </cell>
          <cell r="D139" t="str">
            <v>Mitigation</v>
          </cell>
          <cell r="E139" t="str">
            <v>Conduct Waste Amount &amp; Composition Study (WACS)</v>
          </cell>
          <cell r="F139" t="str">
            <v>M322-01</v>
          </cell>
        </row>
        <row r="140">
          <cell r="A140" t="str">
            <v>SP 3 - Ecological and Environmental Stability</v>
          </cell>
          <cell r="B140" t="str">
            <v>2 - Solid Waste</v>
          </cell>
          <cell r="C140" t="str">
            <v>3 - Knowledge Sharing and Capacity Building</v>
          </cell>
          <cell r="D140" t="str">
            <v>Mitigation</v>
          </cell>
          <cell r="E140" t="str">
            <v>Conduct intensive IEC on waste reduction, segregation and composting</v>
          </cell>
          <cell r="F140" t="str">
            <v>M323-01</v>
          </cell>
        </row>
        <row r="141">
          <cell r="A141" t="str">
            <v>SP 3 - Ecological and Environmental Stability</v>
          </cell>
          <cell r="B141" t="str">
            <v>2 - Solid Waste</v>
          </cell>
          <cell r="C141" t="str">
            <v>4 - Service Delivery</v>
          </cell>
          <cell r="D141" t="str">
            <v>Mitigation</v>
          </cell>
          <cell r="E141" t="str">
            <v>Waste reduction and diversion program/Intensify waste segregation at source, discard recovery, composting and recycling*</v>
          </cell>
          <cell r="F141" t="str">
            <v>M324-01</v>
          </cell>
        </row>
        <row r="142">
          <cell r="A142" t="str">
            <v>SP 3 - Ecological and Environmental Stability</v>
          </cell>
          <cell r="B142" t="str">
            <v>2 - Solid Waste</v>
          </cell>
          <cell r="C142" t="str">
            <v>4 - Service Delivery</v>
          </cell>
          <cell r="D142" t="str">
            <v>Mitigation</v>
          </cell>
          <cell r="E142" t="str">
            <v>Construction and operation of Materials Composting and Recovery Facility  (MCRF) Building; Buyback Center; Purchase of MCRF equipment</v>
          </cell>
          <cell r="F142" t="str">
            <v>M324-02</v>
          </cell>
        </row>
        <row r="143">
          <cell r="A143" t="str">
            <v>SP 3 - Ecological and Environmental Stability</v>
          </cell>
          <cell r="B143" t="str">
            <v>2 - Solid Waste</v>
          </cell>
          <cell r="C143" t="str">
            <v>4 - Service Delivery</v>
          </cell>
          <cell r="D143" t="str">
            <v>Mitigation</v>
          </cell>
          <cell r="E143" t="str">
            <v>Upgrade existing landfills to capture methane for energy generation or gas flaring for CO2 generation</v>
          </cell>
          <cell r="F143" t="str">
            <v>M324-03</v>
          </cell>
        </row>
        <row r="144">
          <cell r="A144" t="str">
            <v>SP 3 - Ecological and Environmental Stability</v>
          </cell>
          <cell r="B144" t="str">
            <v>2 - Solid Waste</v>
          </cell>
          <cell r="C144" t="str">
            <v>4 - Service Delivery</v>
          </cell>
          <cell r="D144" t="str">
            <v>Mitigation</v>
          </cell>
          <cell r="E144" t="str">
            <v>Establish and implement ecological solid waste management (ESWM) program in accordance with Republic Act 9003</v>
          </cell>
          <cell r="F144" t="str">
            <v>M324-04</v>
          </cell>
        </row>
        <row r="145">
          <cell r="A145" t="str">
            <v>SP 3 - Ecological and Environmental Stability</v>
          </cell>
          <cell r="B145" t="str">
            <v>2 - Solid Waste</v>
          </cell>
          <cell r="C145" t="str">
            <v>4 - Service Delivery</v>
          </cell>
          <cell r="D145" t="str">
            <v>Mitigation</v>
          </cell>
          <cell r="E145" t="str">
            <v>Close solid waste management sites in environmentally critical areas</v>
          </cell>
          <cell r="F145" t="str">
            <v>M324-05</v>
          </cell>
        </row>
        <row r="146">
          <cell r="A146" t="str">
            <v>SP 4 - Human Security</v>
          </cell>
          <cell r="B146" t="str">
            <v>1 - Health</v>
          </cell>
          <cell r="C146" t="str">
            <v>1 - Policy Development and Governance</v>
          </cell>
          <cell r="D146" t="str">
            <v>Adaptation</v>
          </cell>
          <cell r="E146" t="str">
            <v>Develop guidelines on treatment of health issues due to climate change and climate variability</v>
          </cell>
          <cell r="F146" t="str">
            <v>A411-01</v>
          </cell>
        </row>
        <row r="147">
          <cell r="A147" t="str">
            <v>SP 4 - Human Security</v>
          </cell>
          <cell r="B147" t="str">
            <v>1 - Health</v>
          </cell>
          <cell r="C147" t="str">
            <v>1 - Policy Development and Governance</v>
          </cell>
          <cell r="D147" t="str">
            <v>Adaptation</v>
          </cell>
          <cell r="E147" t="str">
            <v>Include climate related diseases in basic benefits of insurance policies</v>
          </cell>
          <cell r="F147" t="str">
            <v>A411-02</v>
          </cell>
        </row>
        <row r="148">
          <cell r="A148" t="str">
            <v>SP 4 - Human Security</v>
          </cell>
          <cell r="B148" t="str">
            <v>1 - Health</v>
          </cell>
          <cell r="C148" t="str">
            <v>1 - Policy Development and Governance</v>
          </cell>
          <cell r="D148" t="str">
            <v>Adaptation</v>
          </cell>
          <cell r="E148" t="str">
            <v>Develop policy requiring integration of climate change and disaster risk reduction concepts and approaches in medical and allied health training courses*</v>
          </cell>
          <cell r="F148" t="str">
            <v>A411-03</v>
          </cell>
        </row>
        <row r="149">
          <cell r="A149" t="str">
            <v>SP 4 - Human Security</v>
          </cell>
          <cell r="B149" t="str">
            <v>1 - Health</v>
          </cell>
          <cell r="C149" t="str">
            <v>1 - Policy Development and Governance</v>
          </cell>
          <cell r="D149" t="str">
            <v>Adaptation</v>
          </cell>
          <cell r="E149" t="str">
            <v>Develop and implement monitoring health infrastructure damage and rehabilitation plan*</v>
          </cell>
          <cell r="F149" t="str">
            <v>A411-04</v>
          </cell>
        </row>
        <row r="150">
          <cell r="A150" t="str">
            <v>SP 4 - Human Security</v>
          </cell>
          <cell r="B150" t="str">
            <v>1 - Health</v>
          </cell>
          <cell r="C150" t="str">
            <v>1 - Policy Development and Governance</v>
          </cell>
          <cell r="D150" t="str">
            <v>Adaptation</v>
          </cell>
          <cell r="E150" t="str">
            <v>Develop and implement post disaster epidemic outbreak management and disease surveillance system (ex. water-borne diseases and other health risks due to climate change)*</v>
          </cell>
          <cell r="F150" t="str">
            <v>A411-05</v>
          </cell>
        </row>
        <row r="151">
          <cell r="A151" t="str">
            <v>SP 4 - Human Security</v>
          </cell>
          <cell r="B151" t="str">
            <v>1 - Health</v>
          </cell>
          <cell r="C151" t="str">
            <v>1 - Policy Development and Governance</v>
          </cell>
          <cell r="D151" t="str">
            <v>Adaptation</v>
          </cell>
          <cell r="E151" t="str">
            <v xml:space="preserve">Planning for Climate Change Adaptation for health sector </v>
          </cell>
          <cell r="F151" t="str">
            <v>A411-06</v>
          </cell>
        </row>
        <row r="152">
          <cell r="A152" t="str">
            <v>SP 4 - Human Security</v>
          </cell>
          <cell r="B152" t="str">
            <v>1 - Health</v>
          </cell>
          <cell r="C152" t="str">
            <v>1 - Policy Development and Governance</v>
          </cell>
          <cell r="D152" t="str">
            <v>Adaptation</v>
          </cell>
          <cell r="E152" t="str">
            <v>Expand insurance eligibility to populations vulnerable to climate related diseases</v>
          </cell>
          <cell r="F152" t="str">
            <v>A411-07</v>
          </cell>
        </row>
        <row r="153">
          <cell r="A153" t="str">
            <v>SP 4 - Human Security</v>
          </cell>
          <cell r="B153" t="str">
            <v>1 - Health</v>
          </cell>
          <cell r="C153" t="str">
            <v>2 - Research, Development, and Extension</v>
          </cell>
          <cell r="D153" t="str">
            <v>Adaptation</v>
          </cell>
          <cell r="E153" t="str">
            <v>Assess changes in risk, exposure or sensitivity to climate change and climate variability related diseases for vulnerable groups</v>
          </cell>
          <cell r="F153" t="str">
            <v>A412-01</v>
          </cell>
        </row>
        <row r="154">
          <cell r="A154" t="str">
            <v>SP 4 - Human Security</v>
          </cell>
          <cell r="B154" t="str">
            <v>1 - Health</v>
          </cell>
          <cell r="C154" t="str">
            <v>2 - Research, Development, and Extension</v>
          </cell>
          <cell r="D154" t="str">
            <v>Adaptation</v>
          </cell>
          <cell r="E154" t="str">
            <v>Assess impact of climate change and climate variability on livelihoods and poverty with focus on vulnerable groups</v>
          </cell>
          <cell r="F154" t="str">
            <v>A412-02</v>
          </cell>
        </row>
        <row r="155">
          <cell r="A155" t="str">
            <v>SP 4 - Human Security</v>
          </cell>
          <cell r="B155" t="str">
            <v>1 - Health</v>
          </cell>
          <cell r="C155" t="str">
            <v>2 - Research, Development, and Extension</v>
          </cell>
          <cell r="D155" t="str">
            <v>Adaptation</v>
          </cell>
          <cell r="E155" t="str">
            <v>Vulnerability and risk assessment for government infrastructure (e.g. hospitals, health centers, and barangay health units)</v>
          </cell>
          <cell r="F155" t="str">
            <v>A412-03</v>
          </cell>
        </row>
        <row r="156">
          <cell r="A156" t="str">
            <v>SP 4 - Human Security</v>
          </cell>
          <cell r="B156" t="str">
            <v>1 - Health</v>
          </cell>
          <cell r="C156" t="str">
            <v>2 - Research, Development, and Extension</v>
          </cell>
          <cell r="D156" t="str">
            <v>Adaptation</v>
          </cell>
          <cell r="E156" t="str">
            <v xml:space="preserve">Risk Assessment for barangays </v>
          </cell>
          <cell r="F156" t="str">
            <v>A412-04</v>
          </cell>
        </row>
        <row r="157">
          <cell r="A157" t="str">
            <v>SP 4 - Human Security</v>
          </cell>
          <cell r="B157" t="str">
            <v>1 - Health</v>
          </cell>
          <cell r="C157" t="str">
            <v>3 - Knowledge Sharing and Capacity Building</v>
          </cell>
          <cell r="D157" t="str">
            <v>Adaptation</v>
          </cell>
          <cell r="E157" t="str">
            <v>Training and education of health personnel on treatment, monitoring and surveillance of climate change and climate variability related health issues *</v>
          </cell>
          <cell r="F157" t="str">
            <v>A413-01</v>
          </cell>
        </row>
        <row r="158">
          <cell r="A158" t="str">
            <v>SP 4 - Human Security</v>
          </cell>
          <cell r="B158" t="str">
            <v>1 - Health</v>
          </cell>
          <cell r="C158" t="str">
            <v>3 - Knowledge Sharing and Capacity Building</v>
          </cell>
          <cell r="D158" t="str">
            <v>Adaptation</v>
          </cell>
          <cell r="E158" t="str">
            <v>Strengthen health management information management</v>
          </cell>
          <cell r="F158" t="str">
            <v>A413-02</v>
          </cell>
        </row>
        <row r="159">
          <cell r="A159" t="str">
            <v>SP 4 - Human Security</v>
          </cell>
          <cell r="B159" t="str">
            <v>1 - Health</v>
          </cell>
          <cell r="C159" t="str">
            <v>3 - Knowledge Sharing and Capacity Building</v>
          </cell>
          <cell r="D159" t="str">
            <v>Adaptation</v>
          </cell>
          <cell r="E159" t="str">
            <v>Incorporate climate related health risks into clinical practice guidelines, and curricula for continuous medical education</v>
          </cell>
          <cell r="F159" t="str">
            <v>A413-03</v>
          </cell>
        </row>
        <row r="160">
          <cell r="A160" t="str">
            <v>SP 4 - Human Security</v>
          </cell>
          <cell r="B160" t="str">
            <v>1 - Health</v>
          </cell>
          <cell r="C160" t="str">
            <v>3 - Knowledge Sharing and Capacity Building</v>
          </cell>
          <cell r="D160" t="str">
            <v>Adaptation</v>
          </cell>
          <cell r="E160" t="str">
            <v>Training for health emergency preparedness and response*</v>
          </cell>
          <cell r="F160" t="str">
            <v>A413-04</v>
          </cell>
        </row>
        <row r="161">
          <cell r="A161" t="str">
            <v>SP 4 - Human Security</v>
          </cell>
          <cell r="B161" t="str">
            <v>1 - Health</v>
          </cell>
          <cell r="C161" t="str">
            <v>4 - Service Delivery</v>
          </cell>
          <cell r="D161" t="str">
            <v>Adaptation</v>
          </cell>
          <cell r="E161" t="str">
            <v>Develop and implement program for community-based adaptation measures and health emergency preparedness*</v>
          </cell>
          <cell r="F161" t="str">
            <v>A414-01</v>
          </cell>
        </row>
        <row r="162">
          <cell r="A162" t="str">
            <v>SP 4 - Human Security</v>
          </cell>
          <cell r="B162" t="str">
            <v>1 - Health</v>
          </cell>
          <cell r="C162" t="str">
            <v>4 - Service Delivery</v>
          </cell>
          <cell r="D162" t="str">
            <v>Adaptation</v>
          </cell>
          <cell r="E162" t="str">
            <v>Upgrade health systems to respond to changes in environmental health risks from climate change and climate variability (e.g. malaria)</v>
          </cell>
          <cell r="F162" t="str">
            <v>A414-02</v>
          </cell>
        </row>
        <row r="163">
          <cell r="A163" t="str">
            <v>SP 4 - Human Security</v>
          </cell>
          <cell r="B163" t="str">
            <v>1 - Health</v>
          </cell>
          <cell r="C163" t="str">
            <v>4 - Service Delivery</v>
          </cell>
          <cell r="D163" t="str">
            <v>Adaptation</v>
          </cell>
          <cell r="E163" t="str">
            <v>Develop food safety/ food security measures that take account of new conditions caused by climate change</v>
          </cell>
          <cell r="F163" t="str">
            <v>A414-03</v>
          </cell>
        </row>
        <row r="164">
          <cell r="A164" t="str">
            <v>SP 4 - Human Security</v>
          </cell>
          <cell r="B164" t="str">
            <v>1 - Health</v>
          </cell>
          <cell r="C164" t="str">
            <v>4 - Service Delivery</v>
          </cell>
          <cell r="D164" t="str">
            <v>Adaptation</v>
          </cell>
          <cell r="E164" t="str">
            <v>Development of livelihood diversification strategies to reduce dependence of climate related income opportunities</v>
          </cell>
          <cell r="F164" t="str">
            <v>A414-04</v>
          </cell>
        </row>
        <row r="165">
          <cell r="A165" t="str">
            <v>SP 4 - Human Security</v>
          </cell>
          <cell r="B165" t="str">
            <v>1 - Health</v>
          </cell>
          <cell r="C165" t="str">
            <v>4 - Service Delivery</v>
          </cell>
          <cell r="D165" t="str">
            <v>Adaptation</v>
          </cell>
          <cell r="E165" t="str">
            <v>Implement program for community health emergency preparedness and response*</v>
          </cell>
          <cell r="F165" t="str">
            <v>A414-05</v>
          </cell>
        </row>
        <row r="166">
          <cell r="A166" t="str">
            <v>SP 4 - Human Security</v>
          </cell>
          <cell r="B166" t="str">
            <v>1 - Health</v>
          </cell>
          <cell r="C166" t="str">
            <v>4 - Service Delivery</v>
          </cell>
          <cell r="D166" t="str">
            <v>Adaptation</v>
          </cell>
          <cell r="E166" t="str">
            <v>Development of social protection strategies to respond to climate change and climate variability</v>
          </cell>
          <cell r="F166" t="str">
            <v>A414-06</v>
          </cell>
        </row>
        <row r="167">
          <cell r="A167" t="str">
            <v>SP 4 - Human Security</v>
          </cell>
          <cell r="B167" t="str">
            <v>2 - Settlements and Local Land Use</v>
          </cell>
          <cell r="C167" t="str">
            <v>1 - Policy Development and Governance</v>
          </cell>
          <cell r="D167" t="str">
            <v>Adaptation</v>
          </cell>
          <cell r="E167" t="str">
            <v>Mainstreaming of CC-DRRM in local plans* (PDPFP, CLUP, CDP, ELA)</v>
          </cell>
          <cell r="F167" t="str">
            <v>A421-01</v>
          </cell>
        </row>
        <row r="168">
          <cell r="A168" t="str">
            <v>SP 4 - Human Security</v>
          </cell>
          <cell r="B168" t="str">
            <v>2 - Settlements and Local Land Use</v>
          </cell>
          <cell r="C168" t="str">
            <v>1 - Policy Development and Governance</v>
          </cell>
          <cell r="D168" t="str">
            <v>Adaptation</v>
          </cell>
          <cell r="E168" t="str">
            <v>Incorporate vulnerability to CC and CV in housing design standards</v>
          </cell>
          <cell r="F168" t="str">
            <v>A421-02</v>
          </cell>
        </row>
        <row r="169">
          <cell r="A169" t="str">
            <v>SP 4 - Human Security</v>
          </cell>
          <cell r="B169" t="str">
            <v>2 - Settlements and Local Land Use</v>
          </cell>
          <cell r="C169" t="str">
            <v>1 - Policy Development and Governance</v>
          </cell>
          <cell r="D169" t="str">
            <v>Adaptation</v>
          </cell>
          <cell r="E169" t="str">
            <v xml:space="preserve">Develop green building ordinance/rating scheme, specifications and criteria* </v>
          </cell>
          <cell r="F169" t="str">
            <v>A421-03</v>
          </cell>
        </row>
        <row r="170">
          <cell r="A170" t="str">
            <v>SP 4 - Human Security</v>
          </cell>
          <cell r="B170" t="str">
            <v>2 - Settlements and Local Land Use</v>
          </cell>
          <cell r="C170" t="str">
            <v>1 - Policy Development and Governance</v>
          </cell>
          <cell r="D170" t="str">
            <v>Adaptation</v>
          </cell>
          <cell r="E170" t="str">
            <v>Develop and implement programs and incentive system for CC proofing and retrofitting water infrastructure at the household/community level*</v>
          </cell>
          <cell r="F170" t="str">
            <v>A421-04</v>
          </cell>
        </row>
        <row r="171">
          <cell r="A171" t="str">
            <v>SP 4 - Human Security</v>
          </cell>
          <cell r="B171" t="str">
            <v>2 - Settlements and Local Land Use</v>
          </cell>
          <cell r="C171" t="str">
            <v>1 - Policy Development and Governance</v>
          </cell>
          <cell r="D171" t="str">
            <v>Adaptation</v>
          </cell>
          <cell r="E171" t="str">
            <v>Regulate settlements in areas vulnerable to CC &amp; CV</v>
          </cell>
          <cell r="F171" t="str">
            <v>A421-05</v>
          </cell>
        </row>
        <row r="172">
          <cell r="A172" t="str">
            <v>SP 4 - Human Security</v>
          </cell>
          <cell r="B172" t="str">
            <v>2 - Settlements and Local Land Use</v>
          </cell>
          <cell r="C172" t="str">
            <v>2 - Research, Development, and Extension</v>
          </cell>
          <cell r="D172" t="str">
            <v>Adaptation</v>
          </cell>
          <cell r="E172" t="str">
            <v>Identify, map and profile areas and communities highly prone to climate-related disasters*</v>
          </cell>
          <cell r="F172" t="str">
            <v>A422-01</v>
          </cell>
        </row>
        <row r="173">
          <cell r="A173" t="str">
            <v>SP 4 - Human Security</v>
          </cell>
          <cell r="B173" t="str">
            <v>2 - Settlements and Local Land Use</v>
          </cell>
          <cell r="C173" t="str">
            <v>2 - Research, Development, and Extension</v>
          </cell>
          <cell r="D173" t="str">
            <v>Adaptation</v>
          </cell>
          <cell r="E173" t="str">
            <v>Conduct risk and vulnerability assessment*</v>
          </cell>
          <cell r="F173" t="str">
            <v>A422-02</v>
          </cell>
        </row>
        <row r="174">
          <cell r="A174" t="str">
            <v>SP 4 - Human Security</v>
          </cell>
          <cell r="B174" t="str">
            <v>2 - Settlements and Local Land Use</v>
          </cell>
          <cell r="C174" t="str">
            <v>2 - Research, Development, and Extension</v>
          </cell>
          <cell r="D174" t="str">
            <v>Adaptation</v>
          </cell>
          <cell r="E174" t="str">
            <v>Conduct a study on population carrying capacity of areas and CC adaptive capacity of various communities*</v>
          </cell>
          <cell r="F174" t="str">
            <v>A422-03</v>
          </cell>
        </row>
        <row r="175">
          <cell r="A175" t="str">
            <v>SP 4 - Human Security</v>
          </cell>
          <cell r="B175" t="str">
            <v>2 - Settlements and Local Land Use</v>
          </cell>
          <cell r="C175" t="str">
            <v>2 - Research, Development, and Extension</v>
          </cell>
          <cell r="D175" t="str">
            <v>Adaptation</v>
          </cell>
          <cell r="E175" t="str">
            <v>Identify most CC vulnerable sectors and population*</v>
          </cell>
          <cell r="F175" t="str">
            <v>A422-04</v>
          </cell>
        </row>
        <row r="176">
          <cell r="A176" t="str">
            <v>SP 4 - Human Security</v>
          </cell>
          <cell r="B176" t="str">
            <v>2 - Settlements and Local Land Use</v>
          </cell>
          <cell r="C176" t="str">
            <v>2 - Research, Development, and Extension</v>
          </cell>
          <cell r="D176" t="str">
            <v>Adaptation</v>
          </cell>
          <cell r="E176" t="str">
            <v xml:space="preserve">Conduct of CBMS with DRRM/CCA </v>
          </cell>
          <cell r="F176" t="str">
            <v>A422-05</v>
          </cell>
        </row>
        <row r="177">
          <cell r="A177" t="str">
            <v>SP 4 - Human Security</v>
          </cell>
          <cell r="B177" t="str">
            <v>2 - Settlements and Local Land Use</v>
          </cell>
          <cell r="C177" t="str">
            <v>3 - Knowledge Sharing and Capacity Building</v>
          </cell>
          <cell r="D177" t="str">
            <v>Adaptation</v>
          </cell>
          <cell r="E177" t="str">
            <v>Develop and implement knowledge management on climate change and disaster risks for local government units and communities*</v>
          </cell>
          <cell r="F177" t="str">
            <v>A423-01</v>
          </cell>
        </row>
        <row r="178">
          <cell r="A178" t="str">
            <v>SP 4 - Human Security</v>
          </cell>
          <cell r="B178" t="str">
            <v>2 - Settlements and Local Land Use</v>
          </cell>
          <cell r="C178" t="str">
            <v>3 - Knowledge Sharing and Capacity Building</v>
          </cell>
          <cell r="D178" t="str">
            <v>Adaptation</v>
          </cell>
          <cell r="E178" t="str">
            <v>Increase local capacity for forecasting, early warning (including indigenous systems) and disaster risk communication*</v>
          </cell>
          <cell r="F178" t="str">
            <v>A423-02</v>
          </cell>
        </row>
        <row r="179">
          <cell r="A179" t="str">
            <v>SP 4 - Human Security</v>
          </cell>
          <cell r="B179" t="str">
            <v>2 - Settlements and Local Land Use</v>
          </cell>
          <cell r="C179" t="str">
            <v>3 - Knowledge Sharing and Capacity Building</v>
          </cell>
          <cell r="D179" t="str">
            <v>Adaptation</v>
          </cell>
          <cell r="E179" t="str">
            <v>Conduct training of trainers to respond to the needs of communities for CCA*</v>
          </cell>
          <cell r="F179" t="str">
            <v>A423-03</v>
          </cell>
        </row>
        <row r="180">
          <cell r="A180" t="str">
            <v>SP 4 - Human Security</v>
          </cell>
          <cell r="B180" t="str">
            <v>2 - Settlements and Local Land Use</v>
          </cell>
          <cell r="C180" t="str">
            <v>4 - Service Delivery</v>
          </cell>
          <cell r="D180" t="str">
            <v>Adaptation</v>
          </cell>
          <cell r="E180" t="str">
            <v>Identify and implement gender-responsive sustainable livelihood and social protection programs for resettled and vulnerable poor families*</v>
          </cell>
          <cell r="F180" t="str">
            <v>A424-01</v>
          </cell>
        </row>
        <row r="181">
          <cell r="A181" t="str">
            <v>SP 4 - Human Security</v>
          </cell>
          <cell r="B181" t="str">
            <v>2 - Settlements and Local Land Use</v>
          </cell>
          <cell r="C181" t="str">
            <v>4 - Service Delivery</v>
          </cell>
          <cell r="D181" t="str">
            <v>Adaptation</v>
          </cell>
          <cell r="E181" t="str">
            <v>Develop and implement post-disaster resettlement and counseling of displaced families and communities*</v>
          </cell>
          <cell r="F181" t="str">
            <v>A424-02</v>
          </cell>
        </row>
        <row r="182">
          <cell r="A182" t="str">
            <v>SP 4 - Human Security</v>
          </cell>
          <cell r="B182" t="str">
            <v>2 - Settlements and Local Land Use</v>
          </cell>
          <cell r="C182" t="str">
            <v>4 - Service Delivery</v>
          </cell>
          <cell r="D182" t="str">
            <v>Adaptation</v>
          </cell>
          <cell r="E182" t="str">
            <v>Implement mixed-use, medium-to-high density developments, integrated land use-transport plan in developing new urban communities or in expanding existing ones*</v>
          </cell>
          <cell r="F182" t="str">
            <v>A424-03</v>
          </cell>
        </row>
        <row r="183">
          <cell r="A183" t="str">
            <v>SP 4 - Human Security</v>
          </cell>
          <cell r="B183" t="str">
            <v>2 - Settlements and Local Land Use</v>
          </cell>
          <cell r="C183" t="str">
            <v>4 - Service Delivery</v>
          </cell>
          <cell r="D183" t="str">
            <v>Adaptation</v>
          </cell>
          <cell r="E183" t="str">
            <v>Expand the establishment of alternative micro-water purification systems especially to areas that cannot be reached by safe water supply*</v>
          </cell>
          <cell r="F183" t="str">
            <v>A424-04</v>
          </cell>
        </row>
        <row r="184">
          <cell r="A184" t="str">
            <v>SP 4 - Human Security</v>
          </cell>
          <cell r="B184" t="str">
            <v>2 - Settlements and Local Land Use</v>
          </cell>
          <cell r="C184" t="str">
            <v>4 - Service Delivery</v>
          </cell>
          <cell r="D184" t="str">
            <v>Adaptation</v>
          </cell>
          <cell r="E184" t="str">
            <v>Develop and implement a CC adaptation plan for settlement/resettlement in consultation with affected communities, private sector, and civil society organization</v>
          </cell>
          <cell r="F184" t="str">
            <v>A424-05</v>
          </cell>
        </row>
        <row r="185">
          <cell r="A185" t="str">
            <v>SP 4 - Human Security</v>
          </cell>
          <cell r="B185" t="str">
            <v>2 - Settlements and Local Land Use</v>
          </cell>
          <cell r="C185" t="str">
            <v>4 - Service Delivery</v>
          </cell>
          <cell r="D185" t="str">
            <v>Adaptation</v>
          </cell>
          <cell r="E185" t="str">
            <v>Construct new low-cost housing, relocation, and other mass dwellings to climate resilient design standards</v>
          </cell>
          <cell r="F185" t="str">
            <v>A424-06</v>
          </cell>
        </row>
        <row r="186">
          <cell r="A186" t="str">
            <v>SP 4 - Human Security</v>
          </cell>
          <cell r="B186" t="str">
            <v>2 - Settlements and Local Land Use</v>
          </cell>
          <cell r="C186" t="str">
            <v>4 - Service Delivery</v>
          </cell>
          <cell r="D186" t="str">
            <v>Adaptation</v>
          </cell>
          <cell r="E186" t="str">
            <v>Reconstruction of housing projects damaged by calamities (Building Back Better)</v>
          </cell>
          <cell r="F186" t="str">
            <v>A424-07</v>
          </cell>
        </row>
        <row r="187">
          <cell r="A187" t="str">
            <v>SP 4 - Human Security</v>
          </cell>
          <cell r="B187" t="str">
            <v>2 - Settlements and Local Land Use</v>
          </cell>
          <cell r="C187" t="str">
            <v>4 - Service Delivery</v>
          </cell>
          <cell r="D187" t="str">
            <v>Adaptation</v>
          </cell>
          <cell r="E187" t="str">
            <v xml:space="preserve">Relocating flood prone communities and commercial centers to safer areas </v>
          </cell>
          <cell r="F187" t="str">
            <v>A424-08</v>
          </cell>
        </row>
        <row r="188">
          <cell r="A188" t="str">
            <v>SP 4 - Human Security</v>
          </cell>
          <cell r="B188" t="str">
            <v>2 - Settlements and Local Land Use</v>
          </cell>
          <cell r="C188" t="str">
            <v>4 - Service Delivery</v>
          </cell>
          <cell r="D188" t="str">
            <v>Adaptation</v>
          </cell>
          <cell r="E188" t="str">
            <v>Disaster and Climate Risk Monitoring System</v>
          </cell>
          <cell r="F188" t="str">
            <v>A424-09</v>
          </cell>
        </row>
        <row r="189">
          <cell r="A189" t="str">
            <v>SP 4 - Human Security</v>
          </cell>
          <cell r="B189" t="str">
            <v>2 - Settlements and Local Land Use</v>
          </cell>
          <cell r="C189" t="str">
            <v>4 - Service Delivery</v>
          </cell>
          <cell r="D189" t="str">
            <v>Adaptation</v>
          </cell>
          <cell r="E189" t="str">
            <v>Install Early Warning Systems</v>
          </cell>
          <cell r="F189" t="str">
            <v>A424-10</v>
          </cell>
        </row>
        <row r="190">
          <cell r="A190" t="str">
            <v>SP 4 - Human Security</v>
          </cell>
          <cell r="B190" t="str">
            <v>2 - Settlements and Local Land Use</v>
          </cell>
          <cell r="C190" t="str">
            <v>4 - Service Delivery</v>
          </cell>
          <cell r="D190" t="str">
            <v>Adaptation</v>
          </cell>
          <cell r="E190" t="str">
            <v>Construction of climate resilient elementary and secondary school buildings (safe from climate hazards; considers climate risks)</v>
          </cell>
          <cell r="F190" t="str">
            <v>A424-11</v>
          </cell>
        </row>
        <row r="191">
          <cell r="A191" t="str">
            <v>SP 4 - Human Security</v>
          </cell>
          <cell r="B191" t="str">
            <v>2 - Settlements and Local Land Use</v>
          </cell>
          <cell r="C191" t="str">
            <v>4 - Service Delivery</v>
          </cell>
          <cell r="D191" t="str">
            <v>Adaptation</v>
          </cell>
          <cell r="E191" t="str">
            <v>Climate proofing/retrofitting or relocating of government infrastructure (i.e. schools and government hospitals, health centers, rural health units, teen centers) from climate hazards</v>
          </cell>
          <cell r="F191" t="str">
            <v>A424-12 </v>
          </cell>
        </row>
        <row r="192">
          <cell r="A192" t="str">
            <v>SP 4 - Human Security</v>
          </cell>
          <cell r="B192" t="str">
            <v>2 - Settlements and Local Land Use</v>
          </cell>
          <cell r="C192" t="str">
            <v>4 - Service Delivery</v>
          </cell>
          <cell r="D192" t="str">
            <v>Adaptation</v>
          </cell>
          <cell r="E192" t="str">
            <v>Demolition of illegal structures occupied by informal settlers in high risk areas/ Relocation of informal settlers</v>
          </cell>
          <cell r="F192" t="str">
            <v>A424-13</v>
          </cell>
        </row>
        <row r="193">
          <cell r="A193" t="str">
            <v>SP 4 - Human Security</v>
          </cell>
          <cell r="B193" t="str">
            <v>2 - Settlements and Local Land Use</v>
          </cell>
          <cell r="C193" t="str">
            <v>4 - Service Delivery</v>
          </cell>
          <cell r="D193" t="str">
            <v>Mitigation</v>
          </cell>
          <cell r="E193" t="str">
            <v>Retrofit/ Install new heating and cooling systems using renewable energy</v>
          </cell>
          <cell r="F193" t="str">
            <v>M424-01</v>
          </cell>
        </row>
        <row r="194">
          <cell r="A194" t="str">
            <v>SP 4 - Human Security</v>
          </cell>
          <cell r="B194" t="str">
            <v>2 - Settlements and Local Land Use</v>
          </cell>
          <cell r="C194" t="str">
            <v>4 - Service Delivery</v>
          </cell>
          <cell r="D194" t="str">
            <v>Mitigation</v>
          </cell>
          <cell r="E194" t="str">
            <v>Promote/Build energy efficient housing</v>
          </cell>
          <cell r="F194" t="str">
            <v>M424-02</v>
          </cell>
        </row>
        <row r="195">
          <cell r="A195" t="str">
            <v>SP 5 - Climate Smart Industries and Services</v>
          </cell>
          <cell r="B195" t="str">
            <v>1 - Tourism, Trade, and Industries</v>
          </cell>
          <cell r="C195" t="str">
            <v>1 - Policy Development and Governance</v>
          </cell>
          <cell r="D195" t="str">
            <v>Adaptation</v>
          </cell>
          <cell r="E195" t="str">
            <v>Incorporate new CC&amp;CV resilient design standards in new buildings</v>
          </cell>
          <cell r="F195" t="str">
            <v>A511-02</v>
          </cell>
        </row>
        <row r="196">
          <cell r="A196" t="str">
            <v>SP 5 - Climate Smart Industries and Services</v>
          </cell>
          <cell r="B196" t="str">
            <v>1 - Tourism, Trade, and Industries</v>
          </cell>
          <cell r="C196" t="str">
            <v>1 - Policy Development and Governance</v>
          </cell>
          <cell r="D196" t="str">
            <v>Adaptation</v>
          </cell>
          <cell r="E196" t="str">
            <v>Formulate/enhance tourism plans, policies and strategies to promote green tourism*</v>
          </cell>
          <cell r="F196" t="str">
            <v>A511-04</v>
          </cell>
        </row>
        <row r="197">
          <cell r="A197" t="str">
            <v>SP 5 - Climate Smart Industries and Services</v>
          </cell>
          <cell r="B197" t="str">
            <v>1 - Tourism, Trade, and Industries</v>
          </cell>
          <cell r="C197" t="str">
            <v>1 - Policy Development and Governance</v>
          </cell>
          <cell r="D197" t="str">
            <v>Adaptation</v>
          </cell>
          <cell r="E197" t="str">
            <v>Create an enabling ordinance/policy for the development and implementation of climate-smart industries and services*</v>
          </cell>
          <cell r="F197" t="str">
            <v>A511-05</v>
          </cell>
        </row>
        <row r="198">
          <cell r="A198" t="str">
            <v>SP 5 - Climate Smart Industries and Services</v>
          </cell>
          <cell r="B198" t="str">
            <v>1 - Tourism, Trade, and Industries</v>
          </cell>
          <cell r="C198" t="str">
            <v>1 - Policy Development and Governance</v>
          </cell>
          <cell r="D198" t="str">
            <v>Adaptation</v>
          </cell>
          <cell r="E198" t="str">
            <v>Introduce regulations and programs to support climate resilient investments</v>
          </cell>
          <cell r="F198" t="str">
            <v>A511-06</v>
          </cell>
        </row>
        <row r="199">
          <cell r="A199" t="str">
            <v>SP 5 - Climate Smart Industries and Services</v>
          </cell>
          <cell r="B199" t="str">
            <v>1 - Tourism, Trade, and Industries</v>
          </cell>
          <cell r="C199" t="str">
            <v>1 - Policy Development and Governance</v>
          </cell>
          <cell r="D199" t="str">
            <v>Mitigation</v>
          </cell>
          <cell r="E199" t="str">
            <v>Introduce rules and regulations to reduce GHG emissions or absorb of GHGs in industry and trade</v>
          </cell>
          <cell r="F199" t="str">
            <v>M511-01</v>
          </cell>
        </row>
        <row r="200">
          <cell r="A200" t="str">
            <v>SP 5 - Climate Smart Industries and Services</v>
          </cell>
          <cell r="B200" t="str">
            <v>1 - Tourism, Trade, and Industries</v>
          </cell>
          <cell r="C200" t="str">
            <v>1 - Policy Development and Governance</v>
          </cell>
          <cell r="D200" t="str">
            <v>Mitigation</v>
          </cell>
          <cell r="E200" t="str">
            <v>Introduce a system of incentives to encourage the use of climate-smart technologies and practices</v>
          </cell>
          <cell r="F200" t="str">
            <v>M511-03</v>
          </cell>
        </row>
        <row r="201">
          <cell r="A201" t="str">
            <v>SP 5 - Climate Smart Industries and Services</v>
          </cell>
          <cell r="B201" t="str">
            <v>1 - Tourism, Trade, and Industries</v>
          </cell>
          <cell r="C201" t="str">
            <v>1 - Policy Development and Governance</v>
          </cell>
          <cell r="D201" t="str">
            <v>Mitigation</v>
          </cell>
          <cell r="E201" t="str">
            <v>Integrate monitoring of existing and new-climate smart industries and services within existing business registration system*</v>
          </cell>
          <cell r="F201" t="str">
            <v>M511-04</v>
          </cell>
        </row>
        <row r="202">
          <cell r="A202" t="str">
            <v>SP 5 - Climate Smart Industries and Services</v>
          </cell>
          <cell r="B202" t="str">
            <v>1 - Tourism, Trade, and Industries</v>
          </cell>
          <cell r="C202" t="str">
            <v>1 - Policy Development and Governance</v>
          </cell>
          <cell r="D202" t="str">
            <v>Mitigation</v>
          </cell>
          <cell r="E202" t="str">
            <v>Implement a system of collection, analysis and reporting of baseline and new data on green jobs and employment*</v>
          </cell>
          <cell r="F202" t="str">
            <v>M511-05</v>
          </cell>
        </row>
        <row r="203">
          <cell r="A203" t="str">
            <v>SP 5 - Climate Smart Industries and Services</v>
          </cell>
          <cell r="B203" t="str">
            <v>1 - Tourism, Trade, and Industries</v>
          </cell>
          <cell r="C203" t="str">
            <v>2 - Research, Development, and Extension</v>
          </cell>
          <cell r="D203" t="str">
            <v>Adaptation</v>
          </cell>
          <cell r="E203" t="str">
            <v>Identify the carrying capacity of tourism areas*</v>
          </cell>
          <cell r="F203" t="str">
            <v>A512-01</v>
          </cell>
        </row>
        <row r="204">
          <cell r="A204" t="str">
            <v>SP 5 - Climate Smart Industries and Services</v>
          </cell>
          <cell r="B204" t="str">
            <v>1 - Tourism, Trade, and Industries</v>
          </cell>
          <cell r="C204" t="str">
            <v>2 - Research, Development, and Extension</v>
          </cell>
          <cell r="D204" t="str">
            <v>Adaptation</v>
          </cell>
          <cell r="E204" t="str">
            <v>Aquasilviculture Demo Farm to rehabilitate mangroves and address climate change and provide livelihood</v>
          </cell>
          <cell r="F204" t="str">
            <v>A512-02</v>
          </cell>
        </row>
        <row r="205">
          <cell r="A205" t="str">
            <v>SP 5 - Climate Smart Industries and Services</v>
          </cell>
          <cell r="B205" t="str">
            <v>1 - Tourism, Trade, and Industries</v>
          </cell>
          <cell r="C205" t="str">
            <v>2 - Research, Development, and Extension</v>
          </cell>
          <cell r="D205" t="str">
            <v>Mitigation</v>
          </cell>
          <cell r="E205" t="str">
            <v>Conduct baseline inventory of climate-smart industries and services and good practices in the local government unit*</v>
          </cell>
          <cell r="F205" t="str">
            <v>M512-01</v>
          </cell>
        </row>
        <row r="206">
          <cell r="A206" t="str">
            <v>SP 5 - Climate Smart Industries and Services</v>
          </cell>
          <cell r="B206" t="str">
            <v>1 - Tourism, Trade, and Industries</v>
          </cell>
          <cell r="C206" t="str">
            <v>2 - Research, Development, and Extension</v>
          </cell>
          <cell r="D206" t="str">
            <v>Mitigation</v>
          </cell>
          <cell r="E206" t="str">
            <v>Baseline data on GHG emissions from industry and other sources</v>
          </cell>
          <cell r="F206" t="str">
            <v>M512-02</v>
          </cell>
        </row>
        <row r="207">
          <cell r="A207" t="str">
            <v>SP 5 - Climate Smart Industries and Services</v>
          </cell>
          <cell r="B207" t="str">
            <v>1 - Tourism, Trade, and Industries</v>
          </cell>
          <cell r="C207" t="str">
            <v>2 - Research, Development, and Extension</v>
          </cell>
          <cell r="D207" t="str">
            <v>Mitigation</v>
          </cell>
          <cell r="E207" t="str">
            <v>Forge partnerships with industry, academe, and research organizations on R&amp;D of climate-smart technologies and products in the  locality</v>
          </cell>
          <cell r="F207" t="str">
            <v>M512-04</v>
          </cell>
        </row>
        <row r="208">
          <cell r="A208" t="str">
            <v>SP 5 - Climate Smart Industries and Services</v>
          </cell>
          <cell r="B208" t="str">
            <v>1 - Tourism, Trade, and Industries</v>
          </cell>
          <cell r="C208" t="str">
            <v>3 - Knowledge Sharing and Capacity Building</v>
          </cell>
          <cell r="D208" t="str">
            <v>Adaptation</v>
          </cell>
          <cell r="E208" t="str">
            <v>Promote public-private partnership to increase investments in the development of climate-smart technologies, products and services*</v>
          </cell>
          <cell r="F208" t="str">
            <v>A513-01</v>
          </cell>
        </row>
        <row r="209">
          <cell r="A209" t="str">
            <v>SP 5 - Climate Smart Industries and Services</v>
          </cell>
          <cell r="B209" t="str">
            <v>1 - Tourism, Trade, and Industries</v>
          </cell>
          <cell r="C209" t="str">
            <v>3 - Knowledge Sharing and Capacity Building</v>
          </cell>
          <cell r="D209" t="str">
            <v>Adaptation</v>
          </cell>
          <cell r="E209" t="str">
            <v>Assist SMEs in developing capacity for eco-efficient production*</v>
          </cell>
          <cell r="F209" t="str">
            <v>A513-02</v>
          </cell>
        </row>
        <row r="210">
          <cell r="A210" t="str">
            <v>SP 5 - Climate Smart Industries and Services</v>
          </cell>
          <cell r="B210" t="str">
            <v>1 - Tourism, Trade, and Industries</v>
          </cell>
          <cell r="C210" t="str">
            <v>3 - Knowledge Sharing and Capacity Building</v>
          </cell>
          <cell r="D210" t="str">
            <v>Mitigation</v>
          </cell>
          <cell r="E210" t="str">
            <v>Develop modules and conduct trainings to capacitate industries to conduct GHG emissions inventory and carbon footprint*</v>
          </cell>
          <cell r="F210" t="str">
            <v>M513-01</v>
          </cell>
        </row>
        <row r="211">
          <cell r="A211" t="str">
            <v>SP 5 - Climate Smart Industries and Services</v>
          </cell>
          <cell r="B211" t="str">
            <v>1 - Tourism, Trade, and Industries</v>
          </cell>
          <cell r="C211" t="str">
            <v>4 - Service Delivery</v>
          </cell>
          <cell r="D211" t="str">
            <v>Adaptation</v>
          </cell>
          <cell r="E211" t="str">
            <v>Marketing and trade support for changing agricultural product mix in response to climate change and climate variability</v>
          </cell>
          <cell r="F211" t="str">
            <v>A514-01</v>
          </cell>
        </row>
        <row r="212">
          <cell r="A212" t="str">
            <v>SP 5 - Climate Smart Industries and Services</v>
          </cell>
          <cell r="B212" t="str">
            <v>1 - Tourism, Trade, and Industries</v>
          </cell>
          <cell r="C212" t="str">
            <v>4 - Service Delivery</v>
          </cell>
          <cell r="D212" t="str">
            <v>Adaptation</v>
          </cell>
          <cell r="E212" t="str">
            <v>Support new income generating opportunities and industries utilizing natural resource better adapted to climate change and climate variability</v>
          </cell>
          <cell r="F212" t="str">
            <v>A514-02</v>
          </cell>
        </row>
        <row r="213">
          <cell r="A213" t="str">
            <v>SP 5 - Climate Smart Industries and Services</v>
          </cell>
          <cell r="B213" t="str">
            <v>1 - Tourism, Trade, and Industries</v>
          </cell>
          <cell r="C213" t="str">
            <v>4 - Service Delivery</v>
          </cell>
          <cell r="D213" t="str">
            <v>Adaptation</v>
          </cell>
          <cell r="E213" t="str">
            <v>Retrofit assets and capital to protect against CC and CV</v>
          </cell>
          <cell r="F213" t="str">
            <v>A514-03</v>
          </cell>
        </row>
        <row r="214">
          <cell r="A214" t="str">
            <v>SP 5 - Climate Smart Industries and Services</v>
          </cell>
          <cell r="B214" t="str">
            <v>1 - Tourism, Trade, and Industries</v>
          </cell>
          <cell r="C214" t="str">
            <v>4 - Service Delivery</v>
          </cell>
          <cell r="D214" t="str">
            <v>Adaptation</v>
          </cell>
          <cell r="E214" t="str">
            <v>Support industries that are better adapted to  CC and CV (e.g. Tiger-grass production for agri-business)</v>
          </cell>
          <cell r="F214" t="str">
            <v>A514-04</v>
          </cell>
        </row>
        <row r="215">
          <cell r="A215" t="str">
            <v>SP 5 - Climate Smart Industries and Services</v>
          </cell>
          <cell r="B215" t="str">
            <v>1 - Tourism, Trade, and Industries</v>
          </cell>
          <cell r="C215" t="str">
            <v>4 - Service Delivery</v>
          </cell>
          <cell r="D215" t="str">
            <v>Mitigation</v>
          </cell>
          <cell r="E215" t="str">
            <v>Marketing and trade support for products that reduce GHG emissions per unit of output</v>
          </cell>
          <cell r="F215" t="str">
            <v>M514-01</v>
          </cell>
        </row>
        <row r="216">
          <cell r="A216" t="str">
            <v>SP 5 - Climate Smart Industries and Services</v>
          </cell>
          <cell r="B216" t="str">
            <v>1 - Tourism, Trade, and Industries</v>
          </cell>
          <cell r="C216" t="str">
            <v>4 - Service Delivery</v>
          </cell>
          <cell r="D216" t="str">
            <v>Mitigation</v>
          </cell>
          <cell r="E216" t="str">
            <v>Marketing and trade support for agricultural products that use integrated organic and inorganic nutrient management</v>
          </cell>
          <cell r="F216" t="str">
            <v>M514-02</v>
          </cell>
        </row>
        <row r="217">
          <cell r="A217" t="str">
            <v>SP 5 - Climate Smart Industries and Services</v>
          </cell>
          <cell r="B217" t="str">
            <v>1 - Tourism, Trade, and Industries</v>
          </cell>
          <cell r="C217" t="str">
            <v>4 - Service Delivery</v>
          </cell>
          <cell r="D217" t="str">
            <v>Mitigation</v>
          </cell>
          <cell r="E217" t="str">
            <v>Rehabilitate/reforest degraded tourism areas</v>
          </cell>
          <cell r="F217" t="str">
            <v>M514-03</v>
          </cell>
        </row>
        <row r="218">
          <cell r="A218" t="str">
            <v>SP 6 - Sustainable Energy</v>
          </cell>
          <cell r="B218" t="str">
            <v>1 - Energy Efficiency</v>
          </cell>
          <cell r="C218" t="str">
            <v>1 - Policy Development and Governance</v>
          </cell>
          <cell r="D218" t="str">
            <v>Adaptation</v>
          </cell>
          <cell r="E218" t="str">
            <v>Mandatory implementation of AO110 and AO126 directing the institutionalization of Government Energy Management Program*</v>
          </cell>
          <cell r="F218" t="str">
            <v>A611-04</v>
          </cell>
        </row>
        <row r="219">
          <cell r="A219" t="str">
            <v>SP 6 - Sustainable Energy</v>
          </cell>
          <cell r="B219" t="str">
            <v>1 - Energy Efficiency</v>
          </cell>
          <cell r="C219" t="str">
            <v>1 - Policy Development and Governance</v>
          </cell>
          <cell r="D219" t="str">
            <v>Mitigation</v>
          </cell>
          <cell r="E219" t="str">
            <v>Change operational procedures or techniques, or retrofit technologies to reduce GHG emissions in existing operations</v>
          </cell>
          <cell r="F219" t="str">
            <v>M611-01</v>
          </cell>
        </row>
        <row r="220">
          <cell r="A220" t="str">
            <v>SP 6 - Sustainable Energy</v>
          </cell>
          <cell r="B220" t="str">
            <v>1 - Energy Efficiency</v>
          </cell>
          <cell r="C220" t="str">
            <v>1 - Policy Development and Governance</v>
          </cell>
          <cell r="D220" t="str">
            <v>Mitigation</v>
          </cell>
          <cell r="E220" t="str">
            <v>Develop/implement ordinances and policies to improve energy efficiency – in buildings, agriculture, industry and city/municipal services (e.g. public building maintenance program to improve energy efficiency; use of more energy efficient street lighting such as LED).</v>
          </cell>
          <cell r="F220" t="str">
            <v>M611-03</v>
          </cell>
        </row>
        <row r="221">
          <cell r="A221" t="str">
            <v>SP 6 - Sustainable Energy</v>
          </cell>
          <cell r="B221" t="str">
            <v>1 - Energy Efficiency</v>
          </cell>
          <cell r="C221" t="str">
            <v>1 - Policy Development and Governance</v>
          </cell>
          <cell r="D221" t="str">
            <v>Mitigation</v>
          </cell>
          <cell r="E221" t="str">
            <v>Develop a certification system/incentives for voluntary adoption of energy efficiency labelling, green building rating, and ISO 50001 certification</v>
          </cell>
          <cell r="F221" t="str">
            <v>M611-04</v>
          </cell>
        </row>
        <row r="222">
          <cell r="A222" t="str">
            <v>SP 6 - Sustainable Energy</v>
          </cell>
          <cell r="B222" t="str">
            <v>1 - Energy Efficiency</v>
          </cell>
          <cell r="C222" t="str">
            <v>1 - Policy Development and Governance</v>
          </cell>
          <cell r="D222" t="str">
            <v>Mitigation</v>
          </cell>
          <cell r="E222" t="str">
            <v>Develop a local  renewable energy program*</v>
          </cell>
          <cell r="F222" t="str">
            <v>M611-05</v>
          </cell>
        </row>
        <row r="223">
          <cell r="A223" t="str">
            <v>SP 6 - Sustainable Energy</v>
          </cell>
          <cell r="B223" t="str">
            <v>1 - Energy Efficiency</v>
          </cell>
          <cell r="C223" t="str">
            <v>2 - Research, Development, and Extension</v>
          </cell>
          <cell r="D223" t="str">
            <v>Adaptation</v>
          </cell>
          <cell r="E223" t="str">
            <v>Conduct sustainable and renewable energy resource assessments (e.g. hydro, geothermal, biomass, wind, ocean and solar)*</v>
          </cell>
          <cell r="F223" t="str">
            <v>A612-01</v>
          </cell>
        </row>
        <row r="224">
          <cell r="A224" t="str">
            <v>SP 6 - Sustainable Energy</v>
          </cell>
          <cell r="B224" t="str">
            <v>1 - Energy Efficiency</v>
          </cell>
          <cell r="C224" t="str">
            <v>2 - Research, Development, and Extension</v>
          </cell>
          <cell r="D224" t="str">
            <v>Mitigation</v>
          </cell>
          <cell r="E224" t="str">
            <v>Sector studies, surveys, assessments and information systems on energy efficiency, efficient energy pricing, and promotion of renewable energy</v>
          </cell>
          <cell r="F224" t="str">
            <v>M612-02</v>
          </cell>
        </row>
        <row r="225">
          <cell r="A225" t="str">
            <v>SP 6 - Sustainable Energy</v>
          </cell>
          <cell r="B225" t="str">
            <v>1 - Energy Efficiency</v>
          </cell>
          <cell r="C225" t="str">
            <v>3 - Knowledge Sharing and Capacity Building</v>
          </cell>
          <cell r="D225" t="str">
            <v>Adaptation</v>
          </cell>
          <cell r="E225" t="str">
            <v>Conduct capacity building of community-based renewable energy organizations on system maintenance, energy efficiency and conservation, organizational development, tariff setting and management systems*</v>
          </cell>
          <cell r="F225" t="str">
            <v>A613-02</v>
          </cell>
        </row>
        <row r="226">
          <cell r="A226" t="str">
            <v>SP 6 - Sustainable Energy</v>
          </cell>
          <cell r="B226" t="str">
            <v>1 - Energy Efficiency</v>
          </cell>
          <cell r="C226" t="str">
            <v>3 - Knowledge Sharing and Capacity Building</v>
          </cell>
          <cell r="D226" t="str">
            <v>Mitigation</v>
          </cell>
          <cell r="E226" t="str">
            <v>Sector reform and capacity building related to energy efficiency in energy sector, promotion of renewable energy and efficient energy pricing</v>
          </cell>
          <cell r="F226" t="str">
            <v>M613-01</v>
          </cell>
        </row>
        <row r="227">
          <cell r="A227" t="str">
            <v>SP 6 - Sustainable Energy</v>
          </cell>
          <cell r="B227" t="str">
            <v>1 - Energy Efficiency</v>
          </cell>
          <cell r="C227" t="str">
            <v>3 - Knowledge Sharing and Capacity Building</v>
          </cell>
          <cell r="D227" t="str">
            <v>Mitigation</v>
          </cell>
          <cell r="E227" t="str">
            <v>Strengthen regulatory and institutional framework to support expansion of renewable power generation</v>
          </cell>
          <cell r="F227" t="str">
            <v>M613-02</v>
          </cell>
        </row>
        <row r="228">
          <cell r="A228" t="str">
            <v>SP 6 - Sustainable Energy</v>
          </cell>
          <cell r="B228" t="str">
            <v>1 - Energy Efficiency</v>
          </cell>
          <cell r="C228" t="str">
            <v>3 - Knowledge Sharing and Capacity Building</v>
          </cell>
          <cell r="D228" t="str">
            <v>Mitigation</v>
          </cell>
          <cell r="E228" t="str">
            <v>Strengthening capacity of institutions to plan for low-carbon growth and environmentally sustainable energy supply</v>
          </cell>
          <cell r="F228" t="str">
            <v>M613-03</v>
          </cell>
        </row>
        <row r="229">
          <cell r="A229" t="str">
            <v>SP 6 - Sustainable Energy</v>
          </cell>
          <cell r="B229" t="str">
            <v>1 - Energy Efficiency</v>
          </cell>
          <cell r="C229" t="str">
            <v>4 - Service Delivery</v>
          </cell>
          <cell r="D229" t="str">
            <v>Adaptation</v>
          </cell>
          <cell r="E229" t="str">
            <v>Design and implement system of incentives for renewable energy for host communities and local government units that can be used for sustainable livelihood programs and climate change adaptation measures*</v>
          </cell>
          <cell r="F229" t="str">
            <v>A614-01</v>
          </cell>
        </row>
        <row r="230">
          <cell r="A230" t="str">
            <v>SP 6 - Sustainable Energy</v>
          </cell>
          <cell r="B230" t="str">
            <v>1 - Energy Efficiency</v>
          </cell>
          <cell r="C230" t="str">
            <v>4 - Service Delivery</v>
          </cell>
          <cell r="D230" t="str">
            <v>Mitigation</v>
          </cell>
          <cell r="E230" t="str">
            <v xml:space="preserve">Pilot programs on energy efficiency activities </v>
          </cell>
          <cell r="F230" t="str">
            <v>M614-02</v>
          </cell>
        </row>
        <row r="231">
          <cell r="A231" t="str">
            <v>SP 6 - Sustainable Energy</v>
          </cell>
          <cell r="B231" t="str">
            <v>2 - Power Generation</v>
          </cell>
          <cell r="C231" t="str">
            <v>1 - Policy Development and Governance</v>
          </cell>
          <cell r="D231" t="str">
            <v>Mitigation</v>
          </cell>
          <cell r="E231" t="str">
            <v>Develop RE project-based and service contracts-based portfolios to encourage potential investors in identified sites</v>
          </cell>
          <cell r="F231" t="str">
            <v>M621-04</v>
          </cell>
        </row>
        <row r="232">
          <cell r="A232" t="str">
            <v>SP 6 - Sustainable Energy</v>
          </cell>
          <cell r="B232" t="str">
            <v>2 - Power Generation</v>
          </cell>
          <cell r="C232" t="str">
            <v>2 - Research, Development, and Extension</v>
          </cell>
          <cell r="D232" t="str">
            <v>Mitigation</v>
          </cell>
          <cell r="E232" t="str">
            <v>Conduct survey of RE potential in off-grid areas</v>
          </cell>
          <cell r="F232" t="str">
            <v>M622-02</v>
          </cell>
        </row>
        <row r="233">
          <cell r="A233" t="str">
            <v>SP 6 - Sustainable Energy</v>
          </cell>
          <cell r="B233" t="str">
            <v>2 - Power Generation</v>
          </cell>
          <cell r="C233" t="str">
            <v>3 - Knowledge Sharing and Capacity Building</v>
          </cell>
          <cell r="D233" t="str">
            <v>Mitigation</v>
          </cell>
          <cell r="E233" t="str">
            <v>Conduct capacity building of community-based RE organizations on RE system maintenance, EE&amp;C organizational development, tariff setting and management systems</v>
          </cell>
          <cell r="F233" t="str">
            <v>M623-01</v>
          </cell>
        </row>
        <row r="234">
          <cell r="A234" t="str">
            <v>SP 6 - Sustainable Energy</v>
          </cell>
          <cell r="B234" t="str">
            <v>2 - Power Generation</v>
          </cell>
          <cell r="C234" t="str">
            <v>4 - Service Delivery</v>
          </cell>
          <cell r="D234" t="str">
            <v>Adaptation</v>
          </cell>
          <cell r="E234" t="str">
            <v>Flood protection or irrigation from construction of dams or water storage system that manage changes in the water cycle due to CC  &amp; CV</v>
          </cell>
          <cell r="F234" t="str">
            <v>A624-02</v>
          </cell>
        </row>
        <row r="235">
          <cell r="A235" t="str">
            <v>SP 6 - Sustainable Energy</v>
          </cell>
          <cell r="B235" t="str">
            <v>2 - Power Generation</v>
          </cell>
          <cell r="C235" t="str">
            <v>4 - Service Delivery</v>
          </cell>
          <cell r="D235" t="str">
            <v>Adaptation</v>
          </cell>
          <cell r="E235" t="str">
            <v>Improve design of wind turbine structures to withstand higher wind speeds as a result of extreme weather events</v>
          </cell>
          <cell r="F235" t="str">
            <v>A624-03</v>
          </cell>
        </row>
        <row r="236">
          <cell r="A236" t="str">
            <v>SP 6 - Sustainable Energy</v>
          </cell>
          <cell r="B236" t="str">
            <v>2 - Power Generation</v>
          </cell>
          <cell r="C236" t="str">
            <v>4 - Service Delivery</v>
          </cell>
          <cell r="D236" t="str">
            <v>Adaptation</v>
          </cell>
          <cell r="E236" t="str">
            <v>Improve design of solar panels to withstand higher intensity storms resulting from climate change and climate variability</v>
          </cell>
          <cell r="F236" t="str">
            <v>A624-04</v>
          </cell>
        </row>
        <row r="237">
          <cell r="A237" t="str">
            <v>SP 6 - Sustainable Energy</v>
          </cell>
          <cell r="B237" t="str">
            <v>2 - Power Generation</v>
          </cell>
          <cell r="C237" t="str">
            <v>4 - Service Delivery</v>
          </cell>
          <cell r="D237" t="str">
            <v>Adaptation</v>
          </cell>
          <cell r="E237" t="str">
            <v>Secure access to water for crops used as bioenergy source</v>
          </cell>
          <cell r="F237" t="str">
            <v>A624-05</v>
          </cell>
        </row>
        <row r="238">
          <cell r="A238" t="str">
            <v>SP 6 - Sustainable Energy</v>
          </cell>
          <cell r="B238" t="str">
            <v>2 - Power Generation</v>
          </cell>
          <cell r="C238" t="str">
            <v>4 - Service Delivery</v>
          </cell>
          <cell r="D238" t="str">
            <v>Mitigation</v>
          </cell>
          <cell r="E238" t="str">
            <v>Development of renewable energy( i.e. Establishment of Solar Panels/Installation of Wind Mill/Bio-Gas)</v>
          </cell>
          <cell r="F238" t="str">
            <v>M624-06</v>
          </cell>
        </row>
        <row r="239">
          <cell r="A239" t="str">
            <v>SP 6 - Sustainable Energy</v>
          </cell>
          <cell r="B239" t="str">
            <v>2 - Power Generation</v>
          </cell>
          <cell r="C239" t="str">
            <v>4 - Service Delivery</v>
          </cell>
          <cell r="D239" t="str">
            <v>Mitigation</v>
          </cell>
          <cell r="E239" t="str">
            <v>Clean Cities Initiatives or those that promote/increase utilization of alternative/clean fuels for the transport sector (tricycle, jeepney, bus, private and government  vehicles)</v>
          </cell>
          <cell r="F239" t="str">
            <v>M624-07</v>
          </cell>
        </row>
        <row r="240">
          <cell r="A240" t="str">
            <v>SP 6 - Sustainable Energy</v>
          </cell>
          <cell r="B240" t="str">
            <v>3 - Transportation and Communication</v>
          </cell>
          <cell r="C240" t="str">
            <v>1 - Policy Development and Governance</v>
          </cell>
          <cell r="D240" t="str">
            <v>Adaptation</v>
          </cell>
          <cell r="E240" t="str">
            <v>Incorporate risks from climate change and climate variability in transportation system planning</v>
          </cell>
          <cell r="F240" t="str">
            <v>A631-01</v>
          </cell>
        </row>
        <row r="241">
          <cell r="A241" t="str">
            <v>SP 6 - Sustainable Energy</v>
          </cell>
          <cell r="B241" t="str">
            <v>3 - Transportation and Communication</v>
          </cell>
          <cell r="C241" t="str">
            <v>1 - Policy Development and Governance</v>
          </cell>
          <cell r="D241" t="str">
            <v>Mitigation</v>
          </cell>
          <cell r="E241" t="str">
            <v>Improve vehicle emission standards</v>
          </cell>
          <cell r="F241" t="str">
            <v>M631-01</v>
          </cell>
        </row>
        <row r="242">
          <cell r="A242" t="str">
            <v>SP 6 - Sustainable Energy</v>
          </cell>
          <cell r="B242" t="str">
            <v>3 - Transportation and Communication</v>
          </cell>
          <cell r="C242" t="str">
            <v>1 - Policy Development and Governance</v>
          </cell>
          <cell r="D242" t="str">
            <v>Mitigation</v>
          </cell>
          <cell r="E242" t="str">
            <v>Improve fuel efficiency standards</v>
          </cell>
          <cell r="F242" t="str">
            <v>M631-02</v>
          </cell>
        </row>
        <row r="243">
          <cell r="A243" t="str">
            <v>SP 6 - Sustainable Energy</v>
          </cell>
          <cell r="B243" t="str">
            <v>3 - Transportation and Communication</v>
          </cell>
          <cell r="C243" t="str">
            <v>1 - Policy Development and Governance</v>
          </cell>
          <cell r="D243" t="str">
            <v>Mitigation</v>
          </cell>
          <cell r="E243" t="str">
            <v>Strengthen vehicle inspection systems on emissions and fuel efficiency</v>
          </cell>
          <cell r="F243" t="str">
            <v>M631-03</v>
          </cell>
        </row>
        <row r="244">
          <cell r="A244" t="str">
            <v>SP 6 - Sustainable Energy</v>
          </cell>
          <cell r="B244" t="str">
            <v>3 - Transportation and Communication</v>
          </cell>
          <cell r="C244" t="str">
            <v>1 - Policy Development and Governance</v>
          </cell>
          <cell r="D244" t="str">
            <v>Mitigation</v>
          </cell>
          <cell r="E244" t="str">
            <v xml:space="preserve">Develop ordinances/policies to encourage shift from higher carbon to lower carbon transport modes (i.e. pedestrianization, bicycle lanes, public transport) </v>
          </cell>
          <cell r="F244" t="str">
            <v>M631-04</v>
          </cell>
        </row>
        <row r="245">
          <cell r="A245" t="str">
            <v>SP 6 - Sustainable Energy</v>
          </cell>
          <cell r="B245" t="str">
            <v>3 - Transportation and Communication</v>
          </cell>
          <cell r="C245" t="str">
            <v>3 - Knowledge Sharing and Capacity Building</v>
          </cell>
          <cell r="D245" t="str">
            <v>Mitigation</v>
          </cell>
          <cell r="E245" t="str">
            <v>Capacity building related to energy efficiency in the transport sector</v>
          </cell>
          <cell r="F245" t="str">
            <v>M633-01</v>
          </cell>
        </row>
        <row r="246">
          <cell r="A246" t="str">
            <v>SP 6 - Sustainable Energy</v>
          </cell>
          <cell r="B246" t="str">
            <v>3 - Transportation and Communication</v>
          </cell>
          <cell r="C246" t="str">
            <v>4 - Service Delivery</v>
          </cell>
          <cell r="D246" t="str">
            <v>Adaptation</v>
          </cell>
          <cell r="E246" t="str">
            <v>Protect transport infrastructure against extreme weather events (especially floods and storms) becoming more frequent and violent due to CC and CV</v>
          </cell>
          <cell r="F246" t="str">
            <v>A634-01</v>
          </cell>
        </row>
        <row r="247">
          <cell r="A247" t="str">
            <v>SP 6 - Sustainable Energy</v>
          </cell>
          <cell r="B247" t="str">
            <v>3 - Transportation and Communication</v>
          </cell>
          <cell r="C247" t="str">
            <v>4 - Service Delivery</v>
          </cell>
          <cell r="D247" t="str">
            <v>Adaptation</v>
          </cell>
          <cell r="E247" t="str">
            <v>Establish emergency services designed to cope with climate change and climate variability related emergencies in the transport sector</v>
          </cell>
          <cell r="F247" t="str">
            <v>A634-02</v>
          </cell>
        </row>
        <row r="248">
          <cell r="A248" t="str">
            <v>SP 6 - Sustainable Energy</v>
          </cell>
          <cell r="B248" t="str">
            <v>3 - Transportation and Communication</v>
          </cell>
          <cell r="C248" t="str">
            <v>4 - Service Delivery</v>
          </cell>
          <cell r="D248" t="str">
            <v>Adaptation</v>
          </cell>
          <cell r="E248" t="str">
            <v>Construct new roads, ports, airports and aviation infrastructure to climate resilient design standards</v>
          </cell>
          <cell r="F248" t="str">
            <v>A634-03</v>
          </cell>
        </row>
        <row r="249">
          <cell r="A249" t="str">
            <v>SP 6 - Sustainable Energy</v>
          </cell>
          <cell r="B249" t="str">
            <v>3 - Transportation and Communication</v>
          </cell>
          <cell r="C249" t="str">
            <v>4 - Service Delivery</v>
          </cell>
          <cell r="D249" t="str">
            <v>Adaptation</v>
          </cell>
          <cell r="E249" t="str">
            <v>Upgrade existing roads, ports and aviation infrastructure to climate resilient design standards</v>
          </cell>
          <cell r="F249" t="str">
            <v>A634-04</v>
          </cell>
        </row>
        <row r="250">
          <cell r="A250" t="str">
            <v>SP 6 - Sustainable Energy</v>
          </cell>
          <cell r="B250" t="str">
            <v>3 - Transportation and Communication</v>
          </cell>
          <cell r="C250" t="str">
            <v>4 - Service Delivery</v>
          </cell>
          <cell r="D250" t="str">
            <v>Adaptation</v>
          </cell>
          <cell r="E250" t="str">
            <v>Development of telecommunications infrastructure for use as part of an emergency response system during extreme weather events</v>
          </cell>
          <cell r="F250" t="str">
            <v>A634-05</v>
          </cell>
        </row>
        <row r="251">
          <cell r="A251" t="str">
            <v>SP 6 - Sustainable Energy</v>
          </cell>
          <cell r="B251" t="str">
            <v>3 - Transportation and Communication</v>
          </cell>
          <cell r="C251" t="str">
            <v>4 - Service Delivery</v>
          </cell>
          <cell r="D251" t="str">
            <v>Adaptation</v>
          </cell>
          <cell r="E251" t="str">
            <v>Enhance road maintenance to respond to climate change and climate variability</v>
          </cell>
          <cell r="F251" t="str">
            <v>A634-06 </v>
          </cell>
        </row>
        <row r="252">
          <cell r="A252" t="str">
            <v>SP 6 - Sustainable Energy</v>
          </cell>
          <cell r="B252" t="str">
            <v>3 - Transportation and Communication</v>
          </cell>
          <cell r="C252" t="str">
            <v>4 - Service Delivery</v>
          </cell>
          <cell r="D252" t="str">
            <v>Adaptation</v>
          </cell>
          <cell r="E252" t="str">
            <v>Enhanced waterway maintenance to respond to climate change and climate variability</v>
          </cell>
          <cell r="F252" t="str">
            <v>A634-07</v>
          </cell>
        </row>
        <row r="253">
          <cell r="A253" t="str">
            <v>SP 6 - Sustainable Energy</v>
          </cell>
          <cell r="B253" t="str">
            <v>3 - Transportation and Communication</v>
          </cell>
          <cell r="C253" t="str">
            <v>4 - Service Delivery</v>
          </cell>
          <cell r="D253" t="str">
            <v>Mitigation</v>
          </cell>
          <cell r="E253" t="str">
            <v xml:space="preserve">Urban traffic management (e.g. improve traffic flow) to reduce GHG emissions per unit transported </v>
          </cell>
          <cell r="F253" t="str">
            <v>M634-01</v>
          </cell>
        </row>
        <row r="254">
          <cell r="A254" t="str">
            <v>SP 6 - Sustainable Energy</v>
          </cell>
          <cell r="B254" t="str">
            <v>3 - Transportation and Communication</v>
          </cell>
          <cell r="C254" t="str">
            <v>4 - Service Delivery</v>
          </cell>
          <cell r="D254" t="str">
            <v>Mitigation</v>
          </cell>
          <cell r="E254" t="str">
            <v>Improved waterways, port and aviation facilities to reduce the carbon intensity per unit transported</v>
          </cell>
          <cell r="F254" t="str">
            <v>M634-02</v>
          </cell>
        </row>
        <row r="255">
          <cell r="A255" t="str">
            <v>SP 6 - Sustainable Energy</v>
          </cell>
          <cell r="B255" t="str">
            <v>3 - Transportation and Communication</v>
          </cell>
          <cell r="C255" t="str">
            <v>4 - Service Delivery</v>
          </cell>
          <cell r="D255" t="str">
            <v>Mitigation</v>
          </cell>
          <cell r="E255" t="str">
            <v>New railway lines for electricity based railcars</v>
          </cell>
          <cell r="F255" t="str">
            <v>M634-03</v>
          </cell>
        </row>
        <row r="256">
          <cell r="A256" t="str">
            <v>SP 6 - Sustainable Energy</v>
          </cell>
          <cell r="B256" t="str">
            <v>3 - Transportation and Communication</v>
          </cell>
          <cell r="C256" t="str">
            <v>4 - Service Delivery</v>
          </cell>
          <cell r="D256" t="str">
            <v>Mitigation</v>
          </cell>
          <cell r="E256" t="str">
            <v>Improve energy efficiency in telecommunications information technologies</v>
          </cell>
          <cell r="F256" t="str">
            <v>M634-05</v>
          </cell>
        </row>
        <row r="257">
          <cell r="A257" t="str">
            <v>SP 7 - Knowledge and Capacity Development</v>
          </cell>
          <cell r="B257" t="str">
            <v>1 - Education and Climate Science</v>
          </cell>
          <cell r="C257" t="str">
            <v>1 - Policy Development and Governance</v>
          </cell>
          <cell r="D257" t="str">
            <v>Adaptation</v>
          </cell>
          <cell r="E257" t="str">
            <v>Creation of offices with a mandate for climate change adaptation and mitigation</v>
          </cell>
          <cell r="F257" t="str">
            <v>A711-04</v>
          </cell>
        </row>
        <row r="258">
          <cell r="A258" t="str">
            <v>SP 7 - Knowledge and Capacity Development</v>
          </cell>
          <cell r="B258" t="str">
            <v>1 - Education and Climate Science</v>
          </cell>
          <cell r="C258" t="str">
            <v>3 - Knowledge Sharing and Capacity Building</v>
          </cell>
          <cell r="D258" t="str">
            <v>Adaptation</v>
          </cell>
          <cell r="E258" t="str">
            <v>Awareness raising programs on climate change and climate variability</v>
          </cell>
          <cell r="F258" t="str">
            <v>A713-01</v>
          </cell>
        </row>
        <row r="259">
          <cell r="A259" t="str">
            <v>SP 7 - Knowledge and Capacity Development</v>
          </cell>
          <cell r="B259" t="str">
            <v>1 - Education and Climate Science</v>
          </cell>
          <cell r="C259" t="str">
            <v>3 - Knowledge Sharing and Capacity Building</v>
          </cell>
          <cell r="D259" t="str">
            <v>Adaptation</v>
          </cell>
          <cell r="E259" t="str">
            <v>Training for pre-elementary, elementary, high school and college teachers on integrating climate change in basic courses*</v>
          </cell>
          <cell r="F259" t="str">
            <v>A713-02</v>
          </cell>
        </row>
        <row r="260">
          <cell r="A260" t="str">
            <v>SP 7 - Knowledge and Capacity Development</v>
          </cell>
          <cell r="B260" t="str">
            <v>1 - Education and Climate Science</v>
          </cell>
          <cell r="C260" t="str">
            <v>3 - Knowledge Sharing and Capacity Building</v>
          </cell>
          <cell r="D260" t="str">
            <v>Adaptation</v>
          </cell>
          <cell r="E260" t="str">
            <v>Upgrade personnel’s capacity and skills on climate change modeling and weather forecasting*</v>
          </cell>
          <cell r="F260" t="str">
            <v>A713-03</v>
          </cell>
        </row>
        <row r="261">
          <cell r="A261" t="str">
            <v>SP 7 - Knowledge and Capacity Development</v>
          </cell>
          <cell r="B261" t="str">
            <v>1 - Education and Climate Science</v>
          </cell>
          <cell r="C261" t="str">
            <v>3 - Knowledge Sharing and Capacity Building</v>
          </cell>
          <cell r="D261" t="str">
            <v>Adaptation</v>
          </cell>
          <cell r="E261" t="str">
            <v>Capacity building to address vulnerability to climate change and climate variability</v>
          </cell>
          <cell r="F261" t="str">
            <v>A713-04</v>
          </cell>
        </row>
        <row r="262">
          <cell r="A262" t="str">
            <v>SP 7 - Knowledge and Capacity Development</v>
          </cell>
          <cell r="B262" t="str">
            <v>1 - Education and Climate Science</v>
          </cell>
          <cell r="C262" t="str">
            <v>3 - Knowledge Sharing and Capacity Building</v>
          </cell>
          <cell r="D262" t="str">
            <v>Adaptation</v>
          </cell>
          <cell r="E262" t="str">
            <v>Climate Change 101 or Introductory Course on Climate Change</v>
          </cell>
          <cell r="F262" t="str">
            <v>A713-05</v>
          </cell>
        </row>
        <row r="263">
          <cell r="A263" t="str">
            <v>SP 7 - Knowledge and Capacity Development</v>
          </cell>
          <cell r="B263" t="str">
            <v>1 - Education and Climate Science</v>
          </cell>
          <cell r="C263" t="str">
            <v>3 - Knowledge Sharing and Capacity Building</v>
          </cell>
          <cell r="D263" t="str">
            <v>Adaptation</v>
          </cell>
          <cell r="E263" t="str">
            <v xml:space="preserve">Support to international campaigns that promote climate change adaptation and mitigation (e.g. Earth month)  </v>
          </cell>
          <cell r="F263" t="str">
            <v>A713-06</v>
          </cell>
        </row>
        <row r="264">
          <cell r="A264" t="str">
            <v>SP 7 - Knowledge and Capacity Development</v>
          </cell>
          <cell r="B264" t="str">
            <v>1 - Education and Climate Science</v>
          </cell>
          <cell r="C264" t="str">
            <v>4 - Service Delivery</v>
          </cell>
          <cell r="D264" t="str">
            <v>Adaptation</v>
          </cell>
          <cell r="E264" t="str">
            <v>Review and development of curricula to take account of climate aspects in basic education, vocational training and other forms of follow-up training and education</v>
          </cell>
          <cell r="F264" t="str">
            <v>A714-01</v>
          </cell>
        </row>
        <row r="265">
          <cell r="A265" t="str">
            <v>SP 7 - Knowledge and Capacity Development</v>
          </cell>
          <cell r="B265" t="str">
            <v>1 - Education and Climate Science</v>
          </cell>
          <cell r="C265" t="str">
            <v>4 - Service Delivery</v>
          </cell>
          <cell r="D265" t="str">
            <v>Adaptation</v>
          </cell>
          <cell r="E265" t="str">
            <v>Review and revise, current textbooks, modules and exemplars for pre-elementary, elementary, for climate change content and gender-sensitivity*</v>
          </cell>
          <cell r="F265" t="str">
            <v>A714-02</v>
          </cell>
        </row>
        <row r="266">
          <cell r="A266" t="str">
            <v>SP 7 - Knowledge and Capacity Development</v>
          </cell>
          <cell r="B266" t="str">
            <v>1 - Education and Climate Science</v>
          </cell>
          <cell r="C266" t="str">
            <v>4 - Service Delivery</v>
          </cell>
          <cell r="D266" t="str">
            <v>Adaptation</v>
          </cell>
          <cell r="E266" t="str">
            <v>Review and revise, current textbooks, modules and exemplars for high school and alternative learning system for climate change content and gender-sensitivity*</v>
          </cell>
          <cell r="F266" t="str">
            <v>A714-03</v>
          </cell>
        </row>
        <row r="267">
          <cell r="A267" t="str">
            <v>SP 7 - Knowledge and Capacity Development</v>
          </cell>
          <cell r="B267" t="str">
            <v>1 - Education and Climate Science</v>
          </cell>
          <cell r="C267" t="str">
            <v>4 - Service Delivery</v>
          </cell>
          <cell r="D267" t="str">
            <v>Adaptation</v>
          </cell>
          <cell r="E267" t="str">
            <v>Improve government systems and infrastructure required for climate change modeling and climate forecasting*</v>
          </cell>
          <cell r="F267" t="str">
            <v>A714-05</v>
          </cell>
        </row>
        <row r="268">
          <cell r="A268" t="str">
            <v>SP 7 - Knowledge and Capacity Development</v>
          </cell>
          <cell r="B268" t="str">
            <v>1 - Education and Climate Science</v>
          </cell>
          <cell r="C268" t="str">
            <v>4 - Service Delivery</v>
          </cell>
          <cell r="D268" t="str">
            <v>Adaptation</v>
          </cell>
          <cell r="E268" t="str">
            <v>Establish centers on climate change adaptation/mitigation and best practices and innovations (e.g. Climate Change Academy)</v>
          </cell>
          <cell r="F268" t="str">
            <v>A714-06</v>
          </cell>
        </row>
        <row r="269">
          <cell r="A269" t="str">
            <v>SP 7 - Knowledge and Capacity Development</v>
          </cell>
          <cell r="B269" t="str">
            <v>1 - Education and Climate Science</v>
          </cell>
          <cell r="C269" t="str">
            <v>4 - Service Delivery</v>
          </cell>
          <cell r="D269" t="str">
            <v>Mitigation</v>
          </cell>
          <cell r="E269" t="str">
            <v>Development of curricula or programs focused on reducing GHG emissions, energy consumption or water consumption for elementary and high school</v>
          </cell>
          <cell r="F269" t="str">
            <v>M714-01</v>
          </cell>
        </row>
        <row r="270">
          <cell r="A270" t="str">
            <v>SP 8 - Finance</v>
          </cell>
          <cell r="B270" t="str">
            <v>None</v>
          </cell>
          <cell r="C270" t="str">
            <v>1 - Policy Development and Governance</v>
          </cell>
          <cell r="D270" t="str">
            <v>Adaptation</v>
          </cell>
          <cell r="E270" t="str">
            <v>Introduce ordinances and programs to support climate resilient investments</v>
          </cell>
          <cell r="F270" t="str">
            <v>A811-01</v>
          </cell>
        </row>
        <row r="271">
          <cell r="A271" t="str">
            <v>SP 8 - Finance</v>
          </cell>
          <cell r="B271" t="str">
            <v>None</v>
          </cell>
          <cell r="C271" t="str">
            <v>1 - Policy Development and Governance</v>
          </cell>
          <cell r="D271" t="str">
            <v>Adaptation</v>
          </cell>
          <cell r="E271" t="str">
            <v>Expand insurance eligibility to populations vulnerable to climate related diseases</v>
          </cell>
          <cell r="F271" t="str">
            <v>A811-02</v>
          </cell>
        </row>
        <row r="272">
          <cell r="A272" t="str">
            <v>SP 8 - Finance</v>
          </cell>
          <cell r="B272" t="str">
            <v>None</v>
          </cell>
          <cell r="C272" t="str">
            <v>1 - Policy Development and Governance</v>
          </cell>
          <cell r="D272" t="str">
            <v>Adaptation</v>
          </cell>
          <cell r="E272" t="str">
            <v xml:space="preserve">Regulate or provide incentives in housing finance to encourage upgrading of existing real estate that reduces vulnerability to CC and CV </v>
          </cell>
          <cell r="F272" t="str">
            <v>A811-03 </v>
          </cell>
        </row>
        <row r="273">
          <cell r="A273" t="str">
            <v>SP 8 - Finance</v>
          </cell>
          <cell r="B273" t="str">
            <v>None</v>
          </cell>
          <cell r="C273" t="str">
            <v>1 - Policy Development and Governance</v>
          </cell>
          <cell r="D273" t="str">
            <v>Adaptation</v>
          </cell>
          <cell r="E273" t="str">
            <v>Develop and introduce weather or climate indexed insurance programs (e.g. crop insurance)</v>
          </cell>
          <cell r="F273" t="str">
            <v>A811-04</v>
          </cell>
        </row>
        <row r="274">
          <cell r="A274" t="str">
            <v>SP 8 - Finance</v>
          </cell>
          <cell r="B274" t="str">
            <v>None</v>
          </cell>
          <cell r="C274" t="str">
            <v>1 - Policy Development and Governance</v>
          </cell>
          <cell r="D274" t="str">
            <v>Mitigation</v>
          </cell>
          <cell r="E274" t="str">
            <v xml:space="preserve">Introduce ordinances, programs or financial instruments to support GHG reducing activities </v>
          </cell>
          <cell r="F274" t="str">
            <v>M811-01</v>
          </cell>
        </row>
        <row r="275">
          <cell r="A275" t="str">
            <v>SP 8 - Finance</v>
          </cell>
          <cell r="B275" t="str">
            <v>None</v>
          </cell>
          <cell r="C275" t="str">
            <v>1 - Policy Development and Governance</v>
          </cell>
          <cell r="D275" t="str">
            <v>Mitigation</v>
          </cell>
          <cell r="E275" t="str">
            <v>Strengthen institution and policies to mobilize carbon finance</v>
          </cell>
          <cell r="F275" t="str">
            <v>M811-02</v>
          </cell>
        </row>
        <row r="276">
          <cell r="A276" t="str">
            <v>SP 8 - Finance</v>
          </cell>
          <cell r="B276" t="str">
            <v>None</v>
          </cell>
          <cell r="C276" t="str">
            <v>1 - Policy Development and Governance</v>
          </cell>
          <cell r="D276" t="str">
            <v>Mitigation</v>
          </cell>
          <cell r="E276" t="str">
            <v>Prepare for carbon markets or implement carbon finance market transactions</v>
          </cell>
          <cell r="F276" t="str">
            <v>M811-03</v>
          </cell>
        </row>
        <row r="277">
          <cell r="A277" t="str">
            <v>SP 8 - Finance</v>
          </cell>
          <cell r="B277" t="str">
            <v>None</v>
          </cell>
          <cell r="C277" t="str">
            <v>1 - Policy Development and Governance</v>
          </cell>
          <cell r="D277" t="str">
            <v>Mitigation</v>
          </cell>
          <cell r="E277" t="str">
            <v>Develop ordinances or provide incentives in housing finance to support energy saving designs and standards</v>
          </cell>
          <cell r="F277" t="str">
            <v>M811-04</v>
          </cell>
        </row>
        <row r="278">
          <cell r="A278" t="str">
            <v>SP 8 - Finance</v>
          </cell>
          <cell r="B278" t="str">
            <v>None</v>
          </cell>
          <cell r="C278" t="str">
            <v>2 - Research, Development, and Extension</v>
          </cell>
          <cell r="D278" t="str">
            <v>Adaptation</v>
          </cell>
          <cell r="E278" t="str">
            <v>Economic analysis of financial needs for adapting to climate change and climate variability (cost of adaptation)</v>
          </cell>
          <cell r="F278" t="str">
            <v>A812-04</v>
          </cell>
        </row>
        <row r="279">
          <cell r="A279" t="str">
            <v>SP 8 - Finance</v>
          </cell>
          <cell r="B279" t="str">
            <v>None</v>
          </cell>
          <cell r="C279" t="str">
            <v>2 - Research, Development, and Extension</v>
          </cell>
          <cell r="D279" t="str">
            <v>Mitigation</v>
          </cell>
          <cell r="E279" t="str">
            <v>Reduce fossil-fuel consumption through taxes, levies or fees on energy or transport services</v>
          </cell>
          <cell r="F279" t="str">
            <v>M812-03</v>
          </cell>
        </row>
        <row r="280">
          <cell r="A280" t="str">
            <v>SP 8 - Finance</v>
          </cell>
          <cell r="B280" t="str">
            <v>None</v>
          </cell>
          <cell r="C280" t="str">
            <v>3 - Knowledge Sharing and Capacity Building</v>
          </cell>
          <cell r="D280" t="str">
            <v>Mitigation</v>
          </cell>
          <cell r="E280" t="str">
            <v>Strengthen LGUs in developing policies to mobilize carbon finance</v>
          </cell>
          <cell r="F280" t="str">
            <v>M813-01</v>
          </cell>
        </row>
        <row r="281">
          <cell r="A281" t="str">
            <v>SP 8 - Finance</v>
          </cell>
          <cell r="B281" t="str">
            <v>None</v>
          </cell>
          <cell r="C281" t="str">
            <v>4 - Service Delivery</v>
          </cell>
          <cell r="D281" t="str">
            <v>Adaptation</v>
          </cell>
          <cell r="E281" t="str">
            <v>Introduce green bonds or other securities specifically targeted at adaptation to climate change and climate variability</v>
          </cell>
          <cell r="F281" t="str">
            <v>A814-02 </v>
          </cell>
        </row>
        <row r="282">
          <cell r="A282" t="str">
            <v>SP 8 - Finance</v>
          </cell>
          <cell r="B282" t="str">
            <v>None</v>
          </cell>
          <cell r="C282" t="str">
            <v>4 - Service Delivery</v>
          </cell>
          <cell r="D282" t="str">
            <v>Mitigation</v>
          </cell>
          <cell r="E282" t="str">
            <v>Provide lines of credit for investments in reduction of GHG emissions and/or absorption of GHGs</v>
          </cell>
          <cell r="F282" t="str">
            <v>M814-01</v>
          </cell>
        </row>
        <row r="283">
          <cell r="A283" t="str">
            <v>SP 8 - Finance</v>
          </cell>
          <cell r="B283" t="str">
            <v>None</v>
          </cell>
          <cell r="C283" t="str">
            <v>4 - Service Delivery</v>
          </cell>
          <cell r="D283" t="str">
            <v>Mitigation</v>
          </cell>
          <cell r="E283" t="str">
            <v>Support to access carbon markets</v>
          </cell>
          <cell r="F283" t="str">
            <v>M814-02</v>
          </cell>
        </row>
        <row r="284">
          <cell r="A284" t="str">
            <v>SP 8 - Finance</v>
          </cell>
          <cell r="B284" t="str">
            <v>None</v>
          </cell>
          <cell r="C284" t="str">
            <v>4 - Service Delivery</v>
          </cell>
          <cell r="D284" t="str">
            <v>Mitigation</v>
          </cell>
          <cell r="E284" t="str">
            <v>Introduce green bonds or other securities specifically targeted at reducing GHG emission or sequestering GHGs</v>
          </cell>
          <cell r="F284" t="str">
            <v>M814-03</v>
          </cell>
        </row>
      </sheetData>
      <sheetData sheetId="7">
        <row r="6">
          <cell r="C6" t="str">
            <v>Region_II</v>
          </cell>
        </row>
        <row r="7">
          <cell r="C7" t="str">
            <v>Isabela</v>
          </cell>
        </row>
        <row r="8">
          <cell r="C8" t="str">
            <v>City Of Santiago</v>
          </cell>
        </row>
      </sheetData>
      <sheetData sheetId="8">
        <row r="10">
          <cell r="W10">
            <v>0</v>
          </cell>
          <cell r="AB10" t="str">
            <v>line item not tagged</v>
          </cell>
        </row>
        <row r="11">
          <cell r="N11">
            <v>0</v>
          </cell>
          <cell r="O11">
            <v>997899.5</v>
          </cell>
          <cell r="P11">
            <v>0</v>
          </cell>
          <cell r="Q11">
            <v>997899.5</v>
          </cell>
          <cell r="R11">
            <v>997899.5</v>
          </cell>
          <cell r="S11">
            <v>0</v>
          </cell>
          <cell r="T11" t="str">
            <v>A414-04</v>
          </cell>
          <cell r="W11">
            <v>0</v>
          </cell>
          <cell r="AB11" t="str">
            <v>SP 4 - Human Security</v>
          </cell>
        </row>
        <row r="12">
          <cell r="N12">
            <v>0</v>
          </cell>
          <cell r="O12">
            <v>1000000</v>
          </cell>
          <cell r="P12">
            <v>0</v>
          </cell>
          <cell r="Q12">
            <v>1000000</v>
          </cell>
          <cell r="R12">
            <v>1000000</v>
          </cell>
          <cell r="S12">
            <v>0</v>
          </cell>
          <cell r="T12" t="str">
            <v>A424-03</v>
          </cell>
          <cell r="W12">
            <v>0</v>
          </cell>
          <cell r="AB12" t="str">
            <v>SP 4 - Human Security</v>
          </cell>
        </row>
        <row r="13">
          <cell r="N13">
            <v>0</v>
          </cell>
          <cell r="O13">
            <v>25090</v>
          </cell>
          <cell r="P13">
            <v>0</v>
          </cell>
          <cell r="Q13">
            <v>25090</v>
          </cell>
          <cell r="R13">
            <v>25090</v>
          </cell>
          <cell r="S13">
            <v>0</v>
          </cell>
          <cell r="T13" t="str">
            <v>A423-01</v>
          </cell>
          <cell r="W13">
            <v>0</v>
          </cell>
          <cell r="AB13" t="str">
            <v>SP 4 - Human Security</v>
          </cell>
        </row>
        <row r="14">
          <cell r="N14">
            <v>0</v>
          </cell>
          <cell r="O14">
            <v>12000000</v>
          </cell>
          <cell r="P14">
            <v>0</v>
          </cell>
          <cell r="Q14">
            <v>12000000</v>
          </cell>
          <cell r="R14">
            <v>12000000</v>
          </cell>
          <cell r="S14">
            <v>0</v>
          </cell>
          <cell r="T14" t="str">
            <v>A423-01</v>
          </cell>
          <cell r="W14">
            <v>0</v>
          </cell>
          <cell r="AB14" t="str">
            <v>SP 4 - Human Security</v>
          </cell>
        </row>
        <row r="15">
          <cell r="N15">
            <v>0</v>
          </cell>
          <cell r="O15">
            <v>50000</v>
          </cell>
          <cell r="P15">
            <v>0</v>
          </cell>
          <cell r="Q15">
            <v>50000</v>
          </cell>
          <cell r="R15">
            <v>50000</v>
          </cell>
          <cell r="S15">
            <v>0</v>
          </cell>
          <cell r="T15" t="str">
            <v>A232-01</v>
          </cell>
          <cell r="W15">
            <v>0</v>
          </cell>
          <cell r="AB15" t="str">
            <v>SP 2 - Water Sufficiency</v>
          </cell>
        </row>
        <row r="16">
          <cell r="N16">
            <v>0</v>
          </cell>
          <cell r="O16">
            <v>50000</v>
          </cell>
          <cell r="P16">
            <v>0</v>
          </cell>
          <cell r="Q16">
            <v>50000</v>
          </cell>
          <cell r="R16">
            <v>50000</v>
          </cell>
          <cell r="S16">
            <v>0</v>
          </cell>
          <cell r="T16" t="str">
            <v>A411-01</v>
          </cell>
          <cell r="W16">
            <v>0</v>
          </cell>
          <cell r="AB16" t="str">
            <v>SP 4 - Human Security</v>
          </cell>
        </row>
        <row r="17">
          <cell r="N17">
            <v>0</v>
          </cell>
          <cell r="O17">
            <v>50000</v>
          </cell>
          <cell r="P17">
            <v>0</v>
          </cell>
          <cell r="Q17">
            <v>50000</v>
          </cell>
          <cell r="R17">
            <v>50000</v>
          </cell>
          <cell r="S17">
            <v>0</v>
          </cell>
          <cell r="T17" t="str">
            <v>A211-01</v>
          </cell>
          <cell r="W17">
            <v>0</v>
          </cell>
          <cell r="AB17" t="str">
            <v>SP 2 - Water Sufficiency</v>
          </cell>
        </row>
        <row r="18">
          <cell r="N18">
            <v>0</v>
          </cell>
          <cell r="O18">
            <v>50000</v>
          </cell>
          <cell r="P18">
            <v>0</v>
          </cell>
          <cell r="Q18">
            <v>50000</v>
          </cell>
          <cell r="R18">
            <v>50000</v>
          </cell>
          <cell r="S18">
            <v>0</v>
          </cell>
          <cell r="T18" t="str">
            <v>A321-01</v>
          </cell>
          <cell r="W18">
            <v>0</v>
          </cell>
          <cell r="AB18" t="str">
            <v>SP 3 - Ecological and Environmental Stability</v>
          </cell>
        </row>
        <row r="19">
          <cell r="N19">
            <v>0</v>
          </cell>
          <cell r="O19">
            <v>600000</v>
          </cell>
          <cell r="P19">
            <v>0</v>
          </cell>
          <cell r="Q19">
            <v>600000</v>
          </cell>
          <cell r="R19">
            <v>600000</v>
          </cell>
          <cell r="S19">
            <v>0</v>
          </cell>
          <cell r="T19" t="str">
            <v>A424-01</v>
          </cell>
          <cell r="W19">
            <v>0</v>
          </cell>
          <cell r="AB19" t="str">
            <v>SP 4 - Human Security</v>
          </cell>
        </row>
        <row r="20">
          <cell r="N20">
            <v>0</v>
          </cell>
          <cell r="O20">
            <v>900000</v>
          </cell>
          <cell r="P20">
            <v>0</v>
          </cell>
          <cell r="Q20">
            <v>900000</v>
          </cell>
          <cell r="R20">
            <v>900000</v>
          </cell>
          <cell r="S20">
            <v>0</v>
          </cell>
          <cell r="T20" t="str">
            <v>A424-01</v>
          </cell>
          <cell r="W20">
            <v>0</v>
          </cell>
          <cell r="AB20" t="str">
            <v>SP 4 - Human Security</v>
          </cell>
        </row>
        <row r="21">
          <cell r="N21">
            <v>0</v>
          </cell>
          <cell r="O21">
            <v>5660000</v>
          </cell>
          <cell r="P21">
            <v>0</v>
          </cell>
          <cell r="Q21">
            <v>5660000</v>
          </cell>
          <cell r="R21">
            <v>5660000</v>
          </cell>
          <cell r="S21">
            <v>0</v>
          </cell>
          <cell r="T21" t="str">
            <v>A114-09</v>
          </cell>
          <cell r="W21">
            <v>0</v>
          </cell>
          <cell r="AB21" t="str">
            <v>SP 1 - Food Security</v>
          </cell>
        </row>
        <row r="22">
          <cell r="N22">
            <v>0</v>
          </cell>
          <cell r="O22">
            <v>7240000</v>
          </cell>
          <cell r="P22">
            <v>0</v>
          </cell>
          <cell r="Q22">
            <v>7240000</v>
          </cell>
          <cell r="R22">
            <v>7240000</v>
          </cell>
          <cell r="S22">
            <v>0</v>
          </cell>
          <cell r="T22" t="str">
            <v>A114-09</v>
          </cell>
          <cell r="W22">
            <v>0</v>
          </cell>
          <cell r="AB22" t="str">
            <v>SP 1 - Food Security</v>
          </cell>
        </row>
        <row r="23">
          <cell r="N23">
            <v>0</v>
          </cell>
          <cell r="O23">
            <v>0</v>
          </cell>
          <cell r="P23">
            <v>2100000</v>
          </cell>
          <cell r="Q23">
            <v>2100000</v>
          </cell>
          <cell r="R23">
            <v>2100000</v>
          </cell>
          <cell r="S23">
            <v>0</v>
          </cell>
          <cell r="T23" t="str">
            <v>A511-02</v>
          </cell>
          <cell r="W23">
            <v>0</v>
          </cell>
          <cell r="AB23" t="str">
            <v>SP 5 - Climate Smart Industries and Services</v>
          </cell>
        </row>
        <row r="24">
          <cell r="N24">
            <v>0</v>
          </cell>
          <cell r="O24">
            <v>1900000</v>
          </cell>
          <cell r="P24">
            <v>0</v>
          </cell>
          <cell r="Q24">
            <v>1900000</v>
          </cell>
          <cell r="R24">
            <v>1900000</v>
          </cell>
          <cell r="S24">
            <v>0</v>
          </cell>
          <cell r="T24" t="str">
            <v>A511-02</v>
          </cell>
          <cell r="W24">
            <v>0</v>
          </cell>
          <cell r="AB24" t="str">
            <v>SP 5 - Climate Smart Industries and Services</v>
          </cell>
        </row>
        <row r="25">
          <cell r="N25">
            <v>0</v>
          </cell>
          <cell r="O25">
            <v>0</v>
          </cell>
          <cell r="P25">
            <v>270560</v>
          </cell>
          <cell r="Q25">
            <v>270560</v>
          </cell>
          <cell r="R25">
            <v>270560</v>
          </cell>
          <cell r="S25">
            <v>0</v>
          </cell>
          <cell r="T25" t="str">
            <v>A234-01</v>
          </cell>
          <cell r="W25">
            <v>0</v>
          </cell>
          <cell r="AB25" t="str">
            <v>SP 2 - Water Sufficiency</v>
          </cell>
        </row>
        <row r="26">
          <cell r="N26">
            <v>0</v>
          </cell>
          <cell r="O26">
            <v>5628</v>
          </cell>
          <cell r="P26">
            <v>0</v>
          </cell>
          <cell r="Q26">
            <v>5628</v>
          </cell>
          <cell r="R26">
            <v>5628</v>
          </cell>
          <cell r="S26">
            <v>0</v>
          </cell>
          <cell r="T26" t="str">
            <v>A234-01</v>
          </cell>
          <cell r="W26">
            <v>0</v>
          </cell>
          <cell r="AB26" t="str">
            <v>SP 2 - Water Sufficiency</v>
          </cell>
        </row>
        <row r="27">
          <cell r="N27">
            <v>0</v>
          </cell>
          <cell r="O27">
            <v>14000</v>
          </cell>
          <cell r="P27">
            <v>0</v>
          </cell>
          <cell r="Q27">
            <v>14000</v>
          </cell>
          <cell r="R27">
            <v>14000</v>
          </cell>
          <cell r="S27">
            <v>0</v>
          </cell>
          <cell r="T27" t="str">
            <v>A413-01</v>
          </cell>
          <cell r="W27">
            <v>0</v>
          </cell>
          <cell r="AB27" t="str">
            <v>SP 4 - Human Security</v>
          </cell>
        </row>
        <row r="28">
          <cell r="N28">
            <v>0</v>
          </cell>
          <cell r="O28">
            <v>13500</v>
          </cell>
          <cell r="P28">
            <v>0</v>
          </cell>
          <cell r="Q28">
            <v>13500</v>
          </cell>
          <cell r="R28">
            <v>13500</v>
          </cell>
          <cell r="S28">
            <v>0</v>
          </cell>
          <cell r="T28" t="str">
            <v>M213-01</v>
          </cell>
          <cell r="W28">
            <v>0</v>
          </cell>
          <cell r="AB28" t="str">
            <v>SP 2 - Water Sufficiency</v>
          </cell>
        </row>
        <row r="29">
          <cell r="N29">
            <v>0</v>
          </cell>
          <cell r="O29">
            <v>4889928</v>
          </cell>
          <cell r="P29">
            <v>0</v>
          </cell>
          <cell r="Q29">
            <v>4889928</v>
          </cell>
          <cell r="R29">
            <v>4889928</v>
          </cell>
          <cell r="S29">
            <v>0</v>
          </cell>
          <cell r="T29" t="str">
            <v>A411-05</v>
          </cell>
          <cell r="W29">
            <v>0</v>
          </cell>
          <cell r="AB29" t="str">
            <v>SP 4 - Human Security</v>
          </cell>
        </row>
        <row r="30">
          <cell r="N30">
            <v>0</v>
          </cell>
          <cell r="O30">
            <v>11492000</v>
          </cell>
          <cell r="P30">
            <v>0</v>
          </cell>
          <cell r="Q30">
            <v>11492000</v>
          </cell>
          <cell r="R30">
            <v>11492000</v>
          </cell>
          <cell r="S30">
            <v>0</v>
          </cell>
          <cell r="T30" t="str">
            <v>A414-05</v>
          </cell>
          <cell r="W30">
            <v>0</v>
          </cell>
          <cell r="AB30" t="str">
            <v>SP 4 - Human Security</v>
          </cell>
        </row>
        <row r="31">
          <cell r="N31">
            <v>0</v>
          </cell>
          <cell r="O31">
            <v>2966700</v>
          </cell>
          <cell r="P31">
            <v>0</v>
          </cell>
          <cell r="Q31">
            <v>2966700</v>
          </cell>
          <cell r="R31">
            <v>2966700</v>
          </cell>
          <cell r="S31">
            <v>0</v>
          </cell>
          <cell r="T31" t="str">
            <v>A414-02</v>
          </cell>
          <cell r="W31">
            <v>0</v>
          </cell>
          <cell r="AB31" t="str">
            <v>SP 4 - Human Security</v>
          </cell>
        </row>
        <row r="32">
          <cell r="N32">
            <v>0</v>
          </cell>
          <cell r="O32">
            <v>1402176</v>
          </cell>
          <cell r="P32">
            <v>0</v>
          </cell>
          <cell r="Q32">
            <v>1402176</v>
          </cell>
          <cell r="R32">
            <v>1402176</v>
          </cell>
          <cell r="S32">
            <v>0</v>
          </cell>
          <cell r="T32" t="str">
            <v>A414-02</v>
          </cell>
          <cell r="W32">
            <v>0</v>
          </cell>
          <cell r="AB32" t="str">
            <v>SP 4 - Human Security</v>
          </cell>
        </row>
        <row r="33">
          <cell r="N33">
            <v>0</v>
          </cell>
          <cell r="O33">
            <v>7486440</v>
          </cell>
          <cell r="P33">
            <v>0</v>
          </cell>
          <cell r="Q33">
            <v>7486440</v>
          </cell>
          <cell r="R33">
            <v>7486440</v>
          </cell>
          <cell r="S33">
            <v>0</v>
          </cell>
          <cell r="T33" t="str">
            <v>A414-02</v>
          </cell>
          <cell r="W33">
            <v>0</v>
          </cell>
          <cell r="AB33" t="str">
            <v>SP 4 - Human Security</v>
          </cell>
        </row>
        <row r="34">
          <cell r="N34">
            <v>0</v>
          </cell>
          <cell r="O34">
            <v>20000000</v>
          </cell>
          <cell r="P34">
            <v>0</v>
          </cell>
          <cell r="Q34">
            <v>20000000</v>
          </cell>
          <cell r="R34">
            <v>20000000</v>
          </cell>
          <cell r="S34">
            <v>0</v>
          </cell>
          <cell r="T34" t="str">
            <v>A411-07</v>
          </cell>
          <cell r="W34">
            <v>0</v>
          </cell>
          <cell r="AB34" t="str">
            <v>SP 4 - Human Security</v>
          </cell>
        </row>
        <row r="35">
          <cell r="N35">
            <v>0</v>
          </cell>
          <cell r="O35">
            <v>2350665</v>
          </cell>
          <cell r="P35">
            <v>0</v>
          </cell>
          <cell r="Q35">
            <v>2350665</v>
          </cell>
          <cell r="R35">
            <v>2350665</v>
          </cell>
          <cell r="S35">
            <v>0</v>
          </cell>
          <cell r="T35" t="str">
            <v>A414-02</v>
          </cell>
          <cell r="W35">
            <v>0</v>
          </cell>
          <cell r="AB35" t="str">
            <v>SP 4 - Human Security</v>
          </cell>
        </row>
        <row r="36">
          <cell r="N36">
            <v>0</v>
          </cell>
          <cell r="O36">
            <v>335960</v>
          </cell>
          <cell r="P36">
            <v>0</v>
          </cell>
          <cell r="Q36">
            <v>335960</v>
          </cell>
          <cell r="R36">
            <v>335960</v>
          </cell>
          <cell r="S36">
            <v>0</v>
          </cell>
          <cell r="T36" t="str">
            <v>A414-02</v>
          </cell>
          <cell r="W36">
            <v>0</v>
          </cell>
          <cell r="AB36" t="str">
            <v>SP 4 - Human Security</v>
          </cell>
        </row>
        <row r="37">
          <cell r="N37">
            <v>0</v>
          </cell>
          <cell r="O37">
            <v>4466465</v>
          </cell>
          <cell r="P37">
            <v>0</v>
          </cell>
          <cell r="Q37">
            <v>4466465</v>
          </cell>
          <cell r="R37">
            <v>4466465</v>
          </cell>
          <cell r="S37">
            <v>0</v>
          </cell>
          <cell r="T37" t="str">
            <v>A414-02</v>
          </cell>
          <cell r="W37">
            <v>0</v>
          </cell>
          <cell r="AB37" t="str">
            <v>SP 4 - Human Security</v>
          </cell>
        </row>
        <row r="38">
          <cell r="N38">
            <v>0</v>
          </cell>
          <cell r="O38">
            <v>5313866</v>
          </cell>
          <cell r="P38">
            <v>0</v>
          </cell>
          <cell r="Q38">
            <v>5313866</v>
          </cell>
          <cell r="R38">
            <v>5313866</v>
          </cell>
          <cell r="S38">
            <v>0</v>
          </cell>
          <cell r="T38" t="str">
            <v>A414-02</v>
          </cell>
          <cell r="W38">
            <v>0</v>
          </cell>
          <cell r="AB38" t="str">
            <v>SP 4 - Human Security</v>
          </cell>
        </row>
        <row r="39">
          <cell r="N39">
            <v>0</v>
          </cell>
          <cell r="O39">
            <v>3844144</v>
          </cell>
          <cell r="P39">
            <v>0</v>
          </cell>
          <cell r="Q39">
            <v>3844144</v>
          </cell>
          <cell r="R39">
            <v>3844144</v>
          </cell>
          <cell r="S39">
            <v>0</v>
          </cell>
          <cell r="T39" t="str">
            <v>A414-02</v>
          </cell>
          <cell r="W39">
            <v>0</v>
          </cell>
          <cell r="AB39" t="str">
            <v>SP 4 - Human Security</v>
          </cell>
        </row>
        <row r="40">
          <cell r="N40">
            <v>0</v>
          </cell>
          <cell r="O40">
            <v>2344760</v>
          </cell>
          <cell r="P40">
            <v>0</v>
          </cell>
          <cell r="Q40">
            <v>2344760</v>
          </cell>
          <cell r="R40">
            <v>2344760</v>
          </cell>
          <cell r="S40">
            <v>0</v>
          </cell>
          <cell r="T40" t="str">
            <v>A414-02</v>
          </cell>
          <cell r="W40">
            <v>0</v>
          </cell>
          <cell r="AB40" t="str">
            <v>SP 4 - Human Security</v>
          </cell>
        </row>
        <row r="41">
          <cell r="N41">
            <v>0</v>
          </cell>
          <cell r="O41">
            <v>426830.2</v>
          </cell>
          <cell r="P41">
            <v>0</v>
          </cell>
          <cell r="Q41">
            <v>426830.2</v>
          </cell>
          <cell r="R41">
            <v>426830.2</v>
          </cell>
          <cell r="S41">
            <v>0</v>
          </cell>
          <cell r="T41" t="str">
            <v>A414-02</v>
          </cell>
          <cell r="W41">
            <v>0</v>
          </cell>
          <cell r="AB41" t="str">
            <v>SP 4 - Human Security</v>
          </cell>
        </row>
        <row r="42">
          <cell r="N42">
            <v>0</v>
          </cell>
          <cell r="O42">
            <v>2319462</v>
          </cell>
          <cell r="P42">
            <v>0</v>
          </cell>
          <cell r="Q42">
            <v>2319462</v>
          </cell>
          <cell r="R42">
            <v>2319462</v>
          </cell>
          <cell r="S42">
            <v>0</v>
          </cell>
          <cell r="T42" t="str">
            <v>A414-02</v>
          </cell>
          <cell r="W42">
            <v>0</v>
          </cell>
          <cell r="AB42" t="str">
            <v>SP 4 - Human Security</v>
          </cell>
        </row>
        <row r="43">
          <cell r="N43">
            <v>0</v>
          </cell>
          <cell r="O43">
            <v>0</v>
          </cell>
          <cell r="P43">
            <v>1000000</v>
          </cell>
          <cell r="Q43">
            <v>1000000</v>
          </cell>
          <cell r="R43">
            <v>1000000</v>
          </cell>
          <cell r="S43">
            <v>0</v>
          </cell>
          <cell r="T43" t="str">
            <v>A414-02</v>
          </cell>
          <cell r="W43">
            <v>0</v>
          </cell>
          <cell r="AB43" t="str">
            <v>SP 4 - Human Security</v>
          </cell>
        </row>
        <row r="44">
          <cell r="N44">
            <v>0</v>
          </cell>
          <cell r="O44">
            <v>0</v>
          </cell>
          <cell r="P44">
            <v>1000000</v>
          </cell>
          <cell r="Q44">
            <v>1000000</v>
          </cell>
          <cell r="R44">
            <v>1000000</v>
          </cell>
          <cell r="S44">
            <v>0</v>
          </cell>
          <cell r="T44" t="str">
            <v>A414-02</v>
          </cell>
          <cell r="W44">
            <v>0</v>
          </cell>
          <cell r="AB44" t="str">
            <v>SP 4 - Human Security</v>
          </cell>
        </row>
        <row r="45">
          <cell r="N45">
            <v>0</v>
          </cell>
          <cell r="O45">
            <v>0</v>
          </cell>
          <cell r="P45">
            <v>30000</v>
          </cell>
          <cell r="Q45">
            <v>30000</v>
          </cell>
          <cell r="R45">
            <v>30000</v>
          </cell>
          <cell r="S45">
            <v>0</v>
          </cell>
          <cell r="T45" t="str">
            <v>A413-02</v>
          </cell>
          <cell r="W45">
            <v>0</v>
          </cell>
          <cell r="AB45" t="str">
            <v>SP 4 - Human Security</v>
          </cell>
        </row>
        <row r="46">
          <cell r="N46">
            <v>0</v>
          </cell>
          <cell r="O46">
            <v>0</v>
          </cell>
          <cell r="P46">
            <v>1085000</v>
          </cell>
          <cell r="Q46">
            <v>1085000</v>
          </cell>
          <cell r="R46">
            <v>1085000</v>
          </cell>
          <cell r="S46">
            <v>0</v>
          </cell>
          <cell r="T46" t="str">
            <v>A414-02</v>
          </cell>
          <cell r="W46">
            <v>0</v>
          </cell>
          <cell r="AB46" t="str">
            <v>SP 4 - Human Security</v>
          </cell>
        </row>
        <row r="47">
          <cell r="N47">
            <v>0</v>
          </cell>
          <cell r="O47">
            <v>0</v>
          </cell>
          <cell r="P47">
            <v>809600</v>
          </cell>
          <cell r="Q47">
            <v>809600</v>
          </cell>
          <cell r="R47">
            <v>809600</v>
          </cell>
          <cell r="S47">
            <v>0</v>
          </cell>
          <cell r="T47" t="str">
            <v>A414-02</v>
          </cell>
          <cell r="W47">
            <v>0</v>
          </cell>
          <cell r="AB47" t="str">
            <v>SP 4 - Human Security</v>
          </cell>
        </row>
        <row r="48">
          <cell r="N48">
            <v>0</v>
          </cell>
          <cell r="O48">
            <v>24000</v>
          </cell>
          <cell r="P48">
            <v>0</v>
          </cell>
          <cell r="Q48">
            <v>24000</v>
          </cell>
          <cell r="R48">
            <v>24000</v>
          </cell>
          <cell r="S48">
            <v>0</v>
          </cell>
          <cell r="T48" t="str">
            <v>A413-01</v>
          </cell>
          <cell r="W48">
            <v>0</v>
          </cell>
          <cell r="AB48" t="str">
            <v>SP 4 - Human Security</v>
          </cell>
        </row>
        <row r="49">
          <cell r="N49">
            <v>175021.44</v>
          </cell>
          <cell r="O49">
            <v>0</v>
          </cell>
          <cell r="P49">
            <v>0</v>
          </cell>
          <cell r="Q49">
            <v>175021.44</v>
          </cell>
          <cell r="R49">
            <v>175021.44</v>
          </cell>
          <cell r="S49">
            <v>0</v>
          </cell>
          <cell r="T49" t="str">
            <v>A413-02</v>
          </cell>
          <cell r="W49">
            <v>0</v>
          </cell>
          <cell r="AB49" t="str">
            <v>SP 4 - Human Security</v>
          </cell>
        </row>
        <row r="50">
          <cell r="N50">
            <v>175021.44</v>
          </cell>
          <cell r="O50">
            <v>0</v>
          </cell>
          <cell r="P50">
            <v>0</v>
          </cell>
          <cell r="Q50">
            <v>175021.44</v>
          </cell>
          <cell r="R50">
            <v>175021.44</v>
          </cell>
          <cell r="S50">
            <v>0</v>
          </cell>
          <cell r="T50" t="str">
            <v>A414-02</v>
          </cell>
          <cell r="W50">
            <v>0</v>
          </cell>
          <cell r="AB50" t="str">
            <v>SP 4 - Human Security</v>
          </cell>
        </row>
        <row r="51">
          <cell r="N51">
            <v>262532.15999999997</v>
          </cell>
          <cell r="O51">
            <v>0</v>
          </cell>
          <cell r="P51">
            <v>0</v>
          </cell>
          <cell r="Q51">
            <v>262532.15999999997</v>
          </cell>
          <cell r="R51">
            <v>262532.15999999997</v>
          </cell>
          <cell r="S51">
            <v>0</v>
          </cell>
          <cell r="T51" t="str">
            <v>A414-02</v>
          </cell>
          <cell r="W51">
            <v>0</v>
          </cell>
          <cell r="AB51" t="str">
            <v>SP 4 - Human Security</v>
          </cell>
        </row>
        <row r="52">
          <cell r="N52">
            <v>0</v>
          </cell>
          <cell r="O52">
            <v>79890</v>
          </cell>
          <cell r="P52">
            <v>0</v>
          </cell>
          <cell r="Q52">
            <v>79890</v>
          </cell>
          <cell r="R52">
            <v>79890</v>
          </cell>
          <cell r="S52">
            <v>0</v>
          </cell>
          <cell r="T52" t="str">
            <v>A413-01</v>
          </cell>
          <cell r="W52">
            <v>0</v>
          </cell>
          <cell r="AB52" t="str">
            <v>SP 4 - Human Security</v>
          </cell>
        </row>
        <row r="53">
          <cell r="N53">
            <v>0</v>
          </cell>
          <cell r="O53">
            <v>13650</v>
          </cell>
          <cell r="P53">
            <v>0</v>
          </cell>
          <cell r="Q53">
            <v>13650</v>
          </cell>
          <cell r="R53">
            <v>13650</v>
          </cell>
          <cell r="S53">
            <v>0</v>
          </cell>
          <cell r="T53" t="str">
            <v>A413-01</v>
          </cell>
          <cell r="W53">
            <v>0</v>
          </cell>
          <cell r="AB53" t="str">
            <v>SP 4 - Human Security</v>
          </cell>
        </row>
        <row r="54">
          <cell r="N54">
            <v>0</v>
          </cell>
          <cell r="O54">
            <v>6528</v>
          </cell>
          <cell r="P54">
            <v>0</v>
          </cell>
          <cell r="Q54">
            <v>6528</v>
          </cell>
          <cell r="R54">
            <v>6528</v>
          </cell>
          <cell r="S54">
            <v>0</v>
          </cell>
          <cell r="T54" t="str">
            <v>A413-01</v>
          </cell>
          <cell r="W54">
            <v>0</v>
          </cell>
          <cell r="AB54" t="str">
            <v>SP 4 - Human Security</v>
          </cell>
        </row>
        <row r="55">
          <cell r="N55">
            <v>0</v>
          </cell>
          <cell r="O55">
            <v>7296</v>
          </cell>
          <cell r="P55">
            <v>0</v>
          </cell>
          <cell r="Q55">
            <v>7296</v>
          </cell>
          <cell r="R55">
            <v>7296</v>
          </cell>
          <cell r="S55">
            <v>0</v>
          </cell>
          <cell r="T55" t="str">
            <v>A413-01</v>
          </cell>
          <cell r="W55">
            <v>0</v>
          </cell>
          <cell r="AB55" t="str">
            <v>SP 4 - Human Security</v>
          </cell>
        </row>
        <row r="56">
          <cell r="N56">
            <v>0</v>
          </cell>
          <cell r="O56">
            <v>65000</v>
          </cell>
          <cell r="P56">
            <v>0</v>
          </cell>
          <cell r="Q56">
            <v>65000</v>
          </cell>
          <cell r="R56">
            <v>65000</v>
          </cell>
          <cell r="S56">
            <v>0</v>
          </cell>
          <cell r="T56" t="str">
            <v>A424-02</v>
          </cell>
          <cell r="W56">
            <v>0</v>
          </cell>
          <cell r="AB56" t="str">
            <v>SP 4 - Human Security</v>
          </cell>
        </row>
        <row r="57">
          <cell r="N57">
            <v>0</v>
          </cell>
          <cell r="O57">
            <v>300000</v>
          </cell>
          <cell r="P57">
            <v>0</v>
          </cell>
          <cell r="Q57">
            <v>300000</v>
          </cell>
          <cell r="R57">
            <v>300000</v>
          </cell>
          <cell r="S57">
            <v>0</v>
          </cell>
          <cell r="T57" t="str">
            <v>A114-09</v>
          </cell>
          <cell r="W57">
            <v>0</v>
          </cell>
          <cell r="AB57" t="str">
            <v>SP 1 - Food Security</v>
          </cell>
        </row>
        <row r="58">
          <cell r="N58">
            <v>0</v>
          </cell>
          <cell r="O58">
            <v>200000</v>
          </cell>
          <cell r="P58">
            <v>0</v>
          </cell>
          <cell r="Q58">
            <v>200000</v>
          </cell>
          <cell r="R58">
            <v>200000</v>
          </cell>
          <cell r="S58">
            <v>0</v>
          </cell>
          <cell r="T58" t="str">
            <v>A113-06</v>
          </cell>
          <cell r="W58">
            <v>0</v>
          </cell>
          <cell r="AB58" t="str">
            <v>SP 1 - Food Security</v>
          </cell>
        </row>
        <row r="59">
          <cell r="N59">
            <v>0</v>
          </cell>
          <cell r="O59">
            <v>180000</v>
          </cell>
          <cell r="P59">
            <v>0</v>
          </cell>
          <cell r="Q59">
            <v>180000</v>
          </cell>
          <cell r="R59">
            <v>180000</v>
          </cell>
          <cell r="S59">
            <v>0</v>
          </cell>
          <cell r="T59" t="str">
            <v>A414-06</v>
          </cell>
          <cell r="W59">
            <v>0</v>
          </cell>
          <cell r="AB59" t="str">
            <v>SP 4 - Human Security</v>
          </cell>
        </row>
        <row r="60">
          <cell r="N60">
            <v>0</v>
          </cell>
          <cell r="O60">
            <v>225000</v>
          </cell>
          <cell r="P60">
            <v>0</v>
          </cell>
          <cell r="Q60">
            <v>225000</v>
          </cell>
          <cell r="R60">
            <v>225000</v>
          </cell>
          <cell r="S60">
            <v>0</v>
          </cell>
          <cell r="T60" t="str">
            <v>A113-06</v>
          </cell>
          <cell r="W60">
            <v>0</v>
          </cell>
          <cell r="AB60" t="str">
            <v>SP 1 - Food Security</v>
          </cell>
        </row>
        <row r="61">
          <cell r="N61">
            <v>0</v>
          </cell>
          <cell r="O61">
            <v>875000</v>
          </cell>
          <cell r="P61">
            <v>0</v>
          </cell>
          <cell r="Q61">
            <v>875000</v>
          </cell>
          <cell r="R61">
            <v>875000</v>
          </cell>
          <cell r="S61">
            <v>0</v>
          </cell>
          <cell r="T61" t="str">
            <v>A414-06</v>
          </cell>
          <cell r="W61">
            <v>0</v>
          </cell>
          <cell r="AB61" t="str">
            <v>SP 4 - Human Security</v>
          </cell>
        </row>
        <row r="62">
          <cell r="N62">
            <v>0</v>
          </cell>
          <cell r="O62">
            <v>320000</v>
          </cell>
          <cell r="P62">
            <v>0</v>
          </cell>
          <cell r="Q62">
            <v>320000</v>
          </cell>
          <cell r="R62">
            <v>320000</v>
          </cell>
          <cell r="S62">
            <v>0</v>
          </cell>
          <cell r="T62" t="str">
            <v>A113-06</v>
          </cell>
          <cell r="W62">
            <v>0</v>
          </cell>
          <cell r="AB62" t="str">
            <v>SP 1 - Food Security</v>
          </cell>
        </row>
        <row r="63">
          <cell r="N63">
            <v>0</v>
          </cell>
          <cell r="O63">
            <v>305000</v>
          </cell>
          <cell r="P63">
            <v>0</v>
          </cell>
          <cell r="Q63">
            <v>305000</v>
          </cell>
          <cell r="R63">
            <v>305000</v>
          </cell>
          <cell r="S63">
            <v>0</v>
          </cell>
          <cell r="T63" t="str">
            <v>A113-06</v>
          </cell>
          <cell r="W63">
            <v>0</v>
          </cell>
          <cell r="AB63" t="str">
            <v>SP 1 - Food Security</v>
          </cell>
        </row>
        <row r="64">
          <cell r="N64">
            <v>0</v>
          </cell>
          <cell r="O64">
            <v>85000</v>
          </cell>
          <cell r="P64">
            <v>0</v>
          </cell>
          <cell r="Q64">
            <v>85000</v>
          </cell>
          <cell r="R64">
            <v>85000</v>
          </cell>
          <cell r="S64">
            <v>0</v>
          </cell>
          <cell r="T64" t="str">
            <v>A413-04</v>
          </cell>
          <cell r="W64">
            <v>0</v>
          </cell>
          <cell r="AB64" t="str">
            <v>SP 4 - Human Security</v>
          </cell>
        </row>
        <row r="65">
          <cell r="N65">
            <v>0</v>
          </cell>
          <cell r="O65">
            <v>100000</v>
          </cell>
          <cell r="P65">
            <v>0</v>
          </cell>
          <cell r="Q65">
            <v>100000</v>
          </cell>
          <cell r="R65">
            <v>100000</v>
          </cell>
          <cell r="S65">
            <v>0</v>
          </cell>
          <cell r="T65" t="str">
            <v>A414-06</v>
          </cell>
          <cell r="W65">
            <v>0</v>
          </cell>
          <cell r="AB65" t="str">
            <v>SP 4 - Human Security</v>
          </cell>
        </row>
        <row r="66">
          <cell r="N66">
            <v>0</v>
          </cell>
          <cell r="O66">
            <v>50000</v>
          </cell>
          <cell r="P66">
            <v>0</v>
          </cell>
          <cell r="Q66">
            <v>50000</v>
          </cell>
          <cell r="R66">
            <v>50000</v>
          </cell>
          <cell r="S66">
            <v>0</v>
          </cell>
          <cell r="T66" t="str">
            <v>A113-06</v>
          </cell>
          <cell r="W66">
            <v>0</v>
          </cell>
          <cell r="AB66" t="str">
            <v>SP 1 - Food Security</v>
          </cell>
        </row>
        <row r="67">
          <cell r="N67">
            <v>0</v>
          </cell>
          <cell r="O67">
            <v>17000000</v>
          </cell>
          <cell r="P67">
            <v>0</v>
          </cell>
          <cell r="Q67">
            <v>17000000</v>
          </cell>
          <cell r="R67">
            <v>17000000</v>
          </cell>
          <cell r="S67">
            <v>0</v>
          </cell>
          <cell r="T67" t="str">
            <v>A414-06</v>
          </cell>
          <cell r="W67">
            <v>0</v>
          </cell>
          <cell r="AB67" t="str">
            <v>SP 4 - Human Security</v>
          </cell>
        </row>
        <row r="68">
          <cell r="N68">
            <v>0</v>
          </cell>
          <cell r="O68">
            <v>100000</v>
          </cell>
          <cell r="P68">
            <v>0</v>
          </cell>
          <cell r="Q68">
            <v>100000</v>
          </cell>
          <cell r="R68">
            <v>100000</v>
          </cell>
          <cell r="S68">
            <v>0</v>
          </cell>
          <cell r="T68" t="str">
            <v>A424-02</v>
          </cell>
          <cell r="W68">
            <v>0</v>
          </cell>
          <cell r="AB68" t="str">
            <v>SP 4 - Human Security</v>
          </cell>
        </row>
        <row r="69">
          <cell r="N69">
            <v>0</v>
          </cell>
          <cell r="O69">
            <v>2000000</v>
          </cell>
          <cell r="P69">
            <v>0</v>
          </cell>
          <cell r="Q69">
            <v>2000000</v>
          </cell>
          <cell r="R69">
            <v>2000000</v>
          </cell>
          <cell r="S69">
            <v>0</v>
          </cell>
          <cell r="T69" t="str">
            <v>A424-06</v>
          </cell>
          <cell r="W69">
            <v>0</v>
          </cell>
          <cell r="AB69" t="str">
            <v>SP 4 - Human Security</v>
          </cell>
        </row>
        <row r="70">
          <cell r="N70">
            <v>0</v>
          </cell>
          <cell r="O70">
            <v>150000</v>
          </cell>
          <cell r="P70">
            <v>0</v>
          </cell>
          <cell r="Q70">
            <v>150000</v>
          </cell>
          <cell r="R70">
            <v>150000</v>
          </cell>
          <cell r="S70">
            <v>0</v>
          </cell>
          <cell r="T70" t="str">
            <v>A424-01</v>
          </cell>
          <cell r="W70">
            <v>0</v>
          </cell>
          <cell r="AB70" t="str">
            <v>SP 4 - Human Security</v>
          </cell>
        </row>
        <row r="71">
          <cell r="N71">
            <v>0</v>
          </cell>
          <cell r="O71">
            <v>800000</v>
          </cell>
          <cell r="P71">
            <v>0</v>
          </cell>
          <cell r="Q71">
            <v>800000</v>
          </cell>
          <cell r="R71">
            <v>800000</v>
          </cell>
          <cell r="S71">
            <v>0</v>
          </cell>
          <cell r="T71" t="str">
            <v>A424-12</v>
          </cell>
          <cell r="W71">
            <v>0</v>
          </cell>
          <cell r="AB71" t="e">
            <v>#N/A</v>
          </cell>
        </row>
        <row r="72">
          <cell r="N72">
            <v>0</v>
          </cell>
          <cell r="O72">
            <v>144277</v>
          </cell>
          <cell r="P72">
            <v>0</v>
          </cell>
          <cell r="Q72">
            <v>144277</v>
          </cell>
          <cell r="R72">
            <v>144277</v>
          </cell>
          <cell r="S72">
            <v>0</v>
          </cell>
          <cell r="T72" t="str">
            <v>A423-02</v>
          </cell>
          <cell r="W72">
            <v>0</v>
          </cell>
          <cell r="AB72" t="str">
            <v>SP 4 - Human Security</v>
          </cell>
        </row>
        <row r="73">
          <cell r="N73">
            <v>0</v>
          </cell>
          <cell r="O73">
            <v>1800000</v>
          </cell>
          <cell r="P73">
            <v>0</v>
          </cell>
          <cell r="Q73">
            <v>1800000</v>
          </cell>
          <cell r="R73">
            <v>1800000</v>
          </cell>
          <cell r="S73">
            <v>0</v>
          </cell>
          <cell r="T73" t="str">
            <v>A414-04</v>
          </cell>
          <cell r="W73">
            <v>0</v>
          </cell>
          <cell r="AB73" t="str">
            <v>SP 4 - Human Security</v>
          </cell>
        </row>
        <row r="74">
          <cell r="N74">
            <v>0</v>
          </cell>
          <cell r="O74">
            <v>2000000</v>
          </cell>
          <cell r="P74">
            <v>0</v>
          </cell>
          <cell r="Q74">
            <v>2000000</v>
          </cell>
          <cell r="R74">
            <v>2000000</v>
          </cell>
          <cell r="S74">
            <v>0</v>
          </cell>
          <cell r="T74" t="str">
            <v>A414-04</v>
          </cell>
          <cell r="W74">
            <v>0</v>
          </cell>
          <cell r="AB74" t="str">
            <v>SP 4 - Human Security</v>
          </cell>
        </row>
        <row r="75">
          <cell r="N75">
            <v>0</v>
          </cell>
          <cell r="O75">
            <v>400000</v>
          </cell>
          <cell r="P75">
            <v>0</v>
          </cell>
          <cell r="Q75">
            <v>400000</v>
          </cell>
          <cell r="R75">
            <v>400000</v>
          </cell>
          <cell r="S75">
            <v>0</v>
          </cell>
          <cell r="T75" t="str">
            <v>A414-06</v>
          </cell>
          <cell r="W75">
            <v>0</v>
          </cell>
          <cell r="AB75" t="str">
            <v>SP 4 - Human Security</v>
          </cell>
        </row>
        <row r="76">
          <cell r="N76">
            <v>0</v>
          </cell>
          <cell r="O76">
            <v>600000</v>
          </cell>
          <cell r="P76">
            <v>0</v>
          </cell>
          <cell r="Q76">
            <v>600000</v>
          </cell>
          <cell r="R76">
            <v>600000</v>
          </cell>
          <cell r="S76">
            <v>0</v>
          </cell>
          <cell r="T76" t="str">
            <v>A414-06</v>
          </cell>
          <cell r="W76">
            <v>0</v>
          </cell>
          <cell r="AB76" t="str">
            <v>SP 4 - Human Security</v>
          </cell>
        </row>
        <row r="77">
          <cell r="N77">
            <v>0</v>
          </cell>
          <cell r="O77">
            <v>0</v>
          </cell>
          <cell r="P77">
            <v>1000000</v>
          </cell>
          <cell r="Q77">
            <v>1000000</v>
          </cell>
          <cell r="R77">
            <v>1000000</v>
          </cell>
          <cell r="S77">
            <v>0</v>
          </cell>
          <cell r="T77" t="str">
            <v>A424-11</v>
          </cell>
          <cell r="W77">
            <v>0</v>
          </cell>
          <cell r="AB77" t="str">
            <v>SP 4 - Human Security</v>
          </cell>
        </row>
        <row r="78">
          <cell r="N78">
            <v>0</v>
          </cell>
          <cell r="O78">
            <v>0</v>
          </cell>
          <cell r="P78">
            <v>1500000</v>
          </cell>
          <cell r="Q78">
            <v>1500000</v>
          </cell>
          <cell r="R78">
            <v>1500000</v>
          </cell>
          <cell r="S78">
            <v>0</v>
          </cell>
          <cell r="T78" t="str">
            <v>A224-02</v>
          </cell>
          <cell r="W78">
            <v>0</v>
          </cell>
          <cell r="AB78" t="str">
            <v>SP 2 - Water Sufficiency</v>
          </cell>
        </row>
        <row r="79">
          <cell r="N79">
            <v>0</v>
          </cell>
          <cell r="O79">
            <v>0</v>
          </cell>
          <cell r="P79">
            <v>1000000</v>
          </cell>
          <cell r="Q79">
            <v>1000000</v>
          </cell>
          <cell r="R79">
            <v>1000000</v>
          </cell>
          <cell r="S79">
            <v>0</v>
          </cell>
          <cell r="T79" t="str">
            <v>A424-12</v>
          </cell>
          <cell r="W79">
            <v>0</v>
          </cell>
          <cell r="AB79" t="e">
            <v>#N/A</v>
          </cell>
        </row>
        <row r="80">
          <cell r="N80">
            <v>0</v>
          </cell>
          <cell r="O80">
            <v>0</v>
          </cell>
          <cell r="P80">
            <v>1000000</v>
          </cell>
          <cell r="Q80">
            <v>1000000</v>
          </cell>
          <cell r="R80">
            <v>1000000</v>
          </cell>
          <cell r="S80">
            <v>0</v>
          </cell>
          <cell r="T80" t="str">
            <v>A424-12</v>
          </cell>
          <cell r="W80">
            <v>0</v>
          </cell>
          <cell r="AB80" t="e">
            <v>#N/A</v>
          </cell>
        </row>
        <row r="81">
          <cell r="P81">
            <v>2000000</v>
          </cell>
          <cell r="Q81">
            <v>2000000</v>
          </cell>
          <cell r="R81">
            <v>2000000</v>
          </cell>
          <cell r="S81">
            <v>0</v>
          </cell>
          <cell r="T81" t="str">
            <v>A424-06</v>
          </cell>
          <cell r="W81">
            <v>0</v>
          </cell>
          <cell r="AB81" t="str">
            <v>SP 4 - Human Security</v>
          </cell>
        </row>
        <row r="82">
          <cell r="N82" t="str">
            <v xml:space="preserve">                       -   </v>
          </cell>
          <cell r="O82" t="str">
            <v xml:space="preserve">                       -   </v>
          </cell>
          <cell r="P82">
            <v>1000000</v>
          </cell>
          <cell r="Q82">
            <v>1000000</v>
          </cell>
          <cell r="R82">
            <v>1000000</v>
          </cell>
          <cell r="S82" t="str">
            <v xml:space="preserve">                      -   </v>
          </cell>
          <cell r="T82" t="str">
            <v>A224-02</v>
          </cell>
          <cell r="W82">
            <v>0</v>
          </cell>
          <cell r="AB82" t="str">
            <v>SP 2 - Water Sufficiency</v>
          </cell>
        </row>
        <row r="83">
          <cell r="N83" t="str">
            <v xml:space="preserve">                       -   </v>
          </cell>
          <cell r="O83" t="str">
            <v xml:space="preserve">                       -   </v>
          </cell>
          <cell r="P83">
            <v>1000000</v>
          </cell>
          <cell r="Q83">
            <v>1000000</v>
          </cell>
          <cell r="R83">
            <v>1000000</v>
          </cell>
          <cell r="S83" t="str">
            <v xml:space="preserve">                      -   </v>
          </cell>
          <cell r="T83" t="str">
            <v>A224-02</v>
          </cell>
          <cell r="W83">
            <v>0</v>
          </cell>
          <cell r="AB83" t="str">
            <v>SP 2 - Water Sufficiency</v>
          </cell>
        </row>
        <row r="84">
          <cell r="N84" t="str">
            <v xml:space="preserve">                       -   </v>
          </cell>
          <cell r="O84" t="str">
            <v xml:space="preserve">                       -   </v>
          </cell>
          <cell r="P84">
            <v>1000000</v>
          </cell>
          <cell r="Q84">
            <v>1000000</v>
          </cell>
          <cell r="R84">
            <v>1000000</v>
          </cell>
          <cell r="S84" t="str">
            <v xml:space="preserve">                      -   </v>
          </cell>
          <cell r="T84" t="str">
            <v>A224-02</v>
          </cell>
          <cell r="W84">
            <v>0</v>
          </cell>
          <cell r="AB84" t="str">
            <v>SP 2 - Water Sufficiency</v>
          </cell>
        </row>
        <row r="85">
          <cell r="N85" t="str">
            <v xml:space="preserve">                       -   </v>
          </cell>
          <cell r="O85" t="str">
            <v xml:space="preserve">                       -   </v>
          </cell>
          <cell r="P85">
            <v>100000</v>
          </cell>
          <cell r="Q85">
            <v>100000</v>
          </cell>
          <cell r="R85">
            <v>100000</v>
          </cell>
          <cell r="S85" t="str">
            <v xml:space="preserve">                      -   </v>
          </cell>
          <cell r="T85" t="str">
            <v>A224-02</v>
          </cell>
          <cell r="W85">
            <v>0</v>
          </cell>
          <cell r="AB85" t="str">
            <v>SP 2 - Water Sufficiency</v>
          </cell>
        </row>
        <row r="86">
          <cell r="N86" t="str">
            <v xml:space="preserve">                       -   </v>
          </cell>
          <cell r="O86" t="str">
            <v xml:space="preserve">                       -   </v>
          </cell>
          <cell r="P86">
            <v>1000000</v>
          </cell>
          <cell r="Q86">
            <v>1000000</v>
          </cell>
          <cell r="R86">
            <v>1000000</v>
          </cell>
          <cell r="S86" t="str">
            <v xml:space="preserve">                      -   </v>
          </cell>
          <cell r="T86" t="str">
            <v>A224-02</v>
          </cell>
          <cell r="W86">
            <v>0</v>
          </cell>
          <cell r="AB86" t="str">
            <v>SP 2 - Water Sufficiency</v>
          </cell>
        </row>
        <row r="87">
          <cell r="N87" t="str">
            <v xml:space="preserve">                       -   </v>
          </cell>
          <cell r="O87" t="str">
            <v xml:space="preserve">                       -   </v>
          </cell>
          <cell r="P87">
            <v>1000000</v>
          </cell>
          <cell r="Q87">
            <v>1000000</v>
          </cell>
          <cell r="R87">
            <v>1000000</v>
          </cell>
          <cell r="S87" t="str">
            <v xml:space="preserve">                      -   </v>
          </cell>
          <cell r="T87" t="str">
            <v>A224-02</v>
          </cell>
          <cell r="W87">
            <v>0</v>
          </cell>
          <cell r="AB87" t="str">
            <v>SP 2 - Water Sufficiency</v>
          </cell>
        </row>
        <row r="88">
          <cell r="N88" t="str">
            <v xml:space="preserve">                       -   </v>
          </cell>
          <cell r="O88" t="str">
            <v xml:space="preserve">                       -   </v>
          </cell>
          <cell r="P88">
            <v>1000000</v>
          </cell>
          <cell r="Q88">
            <v>1000000</v>
          </cell>
          <cell r="R88">
            <v>1000000</v>
          </cell>
          <cell r="S88" t="str">
            <v xml:space="preserve">                      -   </v>
          </cell>
          <cell r="T88" t="str">
            <v>A224-02</v>
          </cell>
          <cell r="W88">
            <v>0</v>
          </cell>
          <cell r="AB88" t="str">
            <v>SP 2 - Water Sufficiency</v>
          </cell>
        </row>
        <row r="89">
          <cell r="N89" t="str">
            <v xml:space="preserve">                       -   </v>
          </cell>
          <cell r="O89" t="str">
            <v xml:space="preserve">                       -   </v>
          </cell>
          <cell r="P89">
            <v>1000000</v>
          </cell>
          <cell r="Q89">
            <v>1000000</v>
          </cell>
          <cell r="R89">
            <v>1000000</v>
          </cell>
          <cell r="S89" t="str">
            <v xml:space="preserve">                      -   </v>
          </cell>
          <cell r="T89" t="str">
            <v>A224-02</v>
          </cell>
          <cell r="W89">
            <v>0</v>
          </cell>
          <cell r="AB89" t="str">
            <v>SP 2 - Water Sufficiency</v>
          </cell>
        </row>
        <row r="90">
          <cell r="N90" t="str">
            <v xml:space="preserve">                       -   </v>
          </cell>
          <cell r="O90" t="str">
            <v xml:space="preserve">                       -   </v>
          </cell>
          <cell r="P90">
            <v>1000000</v>
          </cell>
          <cell r="Q90">
            <v>1000000</v>
          </cell>
          <cell r="R90">
            <v>1000000</v>
          </cell>
          <cell r="S90" t="str">
            <v xml:space="preserve">                      -   </v>
          </cell>
          <cell r="T90" t="str">
            <v>A224-02</v>
          </cell>
          <cell r="W90">
            <v>0</v>
          </cell>
          <cell r="AB90" t="str">
            <v>SP 2 - Water Sufficiency</v>
          </cell>
        </row>
        <row r="91">
          <cell r="N91" t="str">
            <v xml:space="preserve">                       -   </v>
          </cell>
          <cell r="O91" t="str">
            <v xml:space="preserve">                       -   </v>
          </cell>
          <cell r="P91">
            <v>1000000</v>
          </cell>
          <cell r="Q91">
            <v>1000000</v>
          </cell>
          <cell r="R91">
            <v>1000000</v>
          </cell>
          <cell r="S91" t="str">
            <v xml:space="preserve">                      -   </v>
          </cell>
          <cell r="T91" t="str">
            <v>A224-02</v>
          </cell>
          <cell r="W91">
            <v>0</v>
          </cell>
          <cell r="AB91" t="str">
            <v>SP 2 - Water Sufficiency</v>
          </cell>
        </row>
        <row r="92">
          <cell r="N92" t="str">
            <v xml:space="preserve">                       -   </v>
          </cell>
          <cell r="O92" t="str">
            <v xml:space="preserve">                       -   </v>
          </cell>
          <cell r="P92">
            <v>2500000</v>
          </cell>
          <cell r="Q92">
            <v>2500000</v>
          </cell>
          <cell r="R92">
            <v>2500000</v>
          </cell>
          <cell r="S92" t="str">
            <v xml:space="preserve">                      -   </v>
          </cell>
          <cell r="T92" t="str">
            <v>A224-02</v>
          </cell>
          <cell r="W92">
            <v>0</v>
          </cell>
          <cell r="AB92" t="str">
            <v>SP 2 - Water Sufficiency</v>
          </cell>
        </row>
        <row r="93">
          <cell r="N93" t="str">
            <v xml:space="preserve">                       -   </v>
          </cell>
          <cell r="O93" t="str">
            <v xml:space="preserve">                       -   </v>
          </cell>
          <cell r="P93">
            <v>1000000</v>
          </cell>
          <cell r="Q93">
            <v>1000000</v>
          </cell>
          <cell r="R93">
            <v>1000000</v>
          </cell>
          <cell r="S93" t="str">
            <v xml:space="preserve">                      -   </v>
          </cell>
          <cell r="T93" t="str">
            <v>A224-02</v>
          </cell>
          <cell r="W93">
            <v>0</v>
          </cell>
          <cell r="AB93" t="str">
            <v>SP 2 - Water Sufficiency</v>
          </cell>
        </row>
        <row r="94">
          <cell r="N94" t="str">
            <v xml:space="preserve">                       -   </v>
          </cell>
          <cell r="O94" t="str">
            <v xml:space="preserve">                       -   </v>
          </cell>
          <cell r="P94">
            <v>1000000</v>
          </cell>
          <cell r="Q94">
            <v>1000000</v>
          </cell>
          <cell r="R94">
            <v>1000000</v>
          </cell>
          <cell r="S94" t="str">
            <v xml:space="preserve">                      -   </v>
          </cell>
          <cell r="T94" t="str">
            <v>A224-02</v>
          </cell>
          <cell r="W94">
            <v>0</v>
          </cell>
          <cell r="AB94" t="str">
            <v>SP 2 - Water Sufficiency</v>
          </cell>
        </row>
        <row r="95">
          <cell r="N95" t="str">
            <v xml:space="preserve">                       -   </v>
          </cell>
          <cell r="O95" t="str">
            <v xml:space="preserve">                       -   </v>
          </cell>
          <cell r="P95">
            <v>1000000</v>
          </cell>
          <cell r="Q95">
            <v>1000000</v>
          </cell>
          <cell r="R95">
            <v>1000000</v>
          </cell>
          <cell r="S95" t="str">
            <v xml:space="preserve">                      -   </v>
          </cell>
          <cell r="T95" t="str">
            <v>A224-02</v>
          </cell>
          <cell r="W95">
            <v>0</v>
          </cell>
          <cell r="AB95" t="str">
            <v>SP 2 - Water Sufficiency</v>
          </cell>
        </row>
        <row r="96">
          <cell r="N96" t="str">
            <v xml:space="preserve">                       -   </v>
          </cell>
          <cell r="O96" t="str">
            <v xml:space="preserve">                       -   </v>
          </cell>
          <cell r="P96">
            <v>1000000</v>
          </cell>
          <cell r="Q96">
            <v>1000000</v>
          </cell>
          <cell r="R96">
            <v>1000000</v>
          </cell>
          <cell r="S96" t="str">
            <v xml:space="preserve">                      -   </v>
          </cell>
          <cell r="T96" t="str">
            <v>A224-02</v>
          </cell>
          <cell r="W96">
            <v>0</v>
          </cell>
          <cell r="AB96" t="str">
            <v>SP 2 - Water Sufficiency</v>
          </cell>
        </row>
        <row r="97">
          <cell r="N97" t="str">
            <v xml:space="preserve">                       -   </v>
          </cell>
          <cell r="O97" t="str">
            <v xml:space="preserve">                       -   </v>
          </cell>
          <cell r="P97">
            <v>1000000</v>
          </cell>
          <cell r="Q97">
            <v>1000000</v>
          </cell>
          <cell r="R97">
            <v>1000000</v>
          </cell>
          <cell r="S97" t="str">
            <v xml:space="preserve">                      -   </v>
          </cell>
          <cell r="T97" t="str">
            <v>A224-02</v>
          </cell>
          <cell r="W97">
            <v>0</v>
          </cell>
          <cell r="AB97" t="str">
            <v>SP 2 - Water Sufficiency</v>
          </cell>
        </row>
        <row r="98">
          <cell r="N98" t="str">
            <v xml:space="preserve">                       -   </v>
          </cell>
          <cell r="O98" t="str">
            <v xml:space="preserve">                       -   </v>
          </cell>
          <cell r="P98">
            <v>30000000</v>
          </cell>
          <cell r="Q98">
            <v>30000000</v>
          </cell>
          <cell r="R98" t="str">
            <v xml:space="preserve">                        -   </v>
          </cell>
          <cell r="S98">
            <v>30000000</v>
          </cell>
          <cell r="T98" t="str">
            <v>M624-06</v>
          </cell>
          <cell r="W98">
            <v>0</v>
          </cell>
          <cell r="AB98" t="str">
            <v>SP 6 - Sustainable Energy</v>
          </cell>
        </row>
        <row r="99">
          <cell r="N99">
            <v>0</v>
          </cell>
          <cell r="O99">
            <v>10000</v>
          </cell>
          <cell r="P99">
            <v>0</v>
          </cell>
          <cell r="Q99">
            <v>10000</v>
          </cell>
          <cell r="R99">
            <v>0</v>
          </cell>
          <cell r="S99">
            <v>10000</v>
          </cell>
          <cell r="T99" t="str">
            <v>M323-01</v>
          </cell>
          <cell r="W99">
            <v>0</v>
          </cell>
          <cell r="AB99" t="str">
            <v>SP 3 - Ecological and Environmental Stability</v>
          </cell>
        </row>
        <row r="100">
          <cell r="N100">
            <v>0</v>
          </cell>
          <cell r="O100">
            <v>0</v>
          </cell>
          <cell r="P100">
            <v>700000</v>
          </cell>
          <cell r="Q100">
            <v>700000</v>
          </cell>
          <cell r="R100">
            <v>0</v>
          </cell>
          <cell r="S100">
            <v>700000</v>
          </cell>
          <cell r="T100" t="str">
            <v>M324-01</v>
          </cell>
          <cell r="W100">
            <v>0</v>
          </cell>
          <cell r="AB100" t="str">
            <v>SP 3 - Ecological and Environmental Stability</v>
          </cell>
        </row>
        <row r="101">
          <cell r="N101">
            <v>0</v>
          </cell>
          <cell r="O101">
            <v>0</v>
          </cell>
          <cell r="P101">
            <v>100000</v>
          </cell>
          <cell r="Q101">
            <v>100000</v>
          </cell>
          <cell r="R101">
            <v>0</v>
          </cell>
          <cell r="S101">
            <v>100000</v>
          </cell>
          <cell r="T101" t="str">
            <v>M324-01</v>
          </cell>
          <cell r="W101">
            <v>0</v>
          </cell>
          <cell r="AB101" t="str">
            <v>SP 3 - Ecological and Environmental Stability</v>
          </cell>
        </row>
        <row r="102">
          <cell r="N102">
            <v>0</v>
          </cell>
          <cell r="O102">
            <v>500000</v>
          </cell>
          <cell r="P102">
            <v>0</v>
          </cell>
          <cell r="Q102">
            <v>500000</v>
          </cell>
          <cell r="R102">
            <v>500000</v>
          </cell>
          <cell r="S102">
            <v>0</v>
          </cell>
          <cell r="T102" t="str">
            <v>A114-08</v>
          </cell>
          <cell r="W102">
            <v>0</v>
          </cell>
          <cell r="AB102" t="str">
            <v>SP 1 - Food Security</v>
          </cell>
        </row>
        <row r="103">
          <cell r="N103">
            <v>0</v>
          </cell>
          <cell r="O103">
            <v>200000</v>
          </cell>
          <cell r="P103">
            <v>0</v>
          </cell>
          <cell r="Q103">
            <v>200000</v>
          </cell>
          <cell r="R103">
            <v>200000</v>
          </cell>
          <cell r="S103">
            <v>0</v>
          </cell>
          <cell r="T103" t="str">
            <v>A114-08</v>
          </cell>
          <cell r="W103">
            <v>0</v>
          </cell>
          <cell r="AB103" t="str">
            <v>SP 1 - Food Security</v>
          </cell>
        </row>
        <row r="104">
          <cell r="N104">
            <v>0</v>
          </cell>
          <cell r="O104">
            <v>998700</v>
          </cell>
          <cell r="P104">
            <v>0</v>
          </cell>
          <cell r="Q104">
            <v>998700</v>
          </cell>
          <cell r="R104">
            <v>998700</v>
          </cell>
          <cell r="S104">
            <v>0</v>
          </cell>
          <cell r="T104" t="str">
            <v>A114-08</v>
          </cell>
          <cell r="W104">
            <v>0</v>
          </cell>
          <cell r="AB104" t="str">
            <v>SP 1 - Food Security</v>
          </cell>
        </row>
        <row r="105">
          <cell r="N105">
            <v>0</v>
          </cell>
          <cell r="O105">
            <v>250000</v>
          </cell>
          <cell r="P105">
            <v>0</v>
          </cell>
          <cell r="Q105">
            <v>250000</v>
          </cell>
          <cell r="R105">
            <v>250000</v>
          </cell>
          <cell r="S105">
            <v>0</v>
          </cell>
          <cell r="T105" t="str">
            <v>A313-01</v>
          </cell>
          <cell r="W105">
            <v>0</v>
          </cell>
          <cell r="AB105" t="str">
            <v>SP 3 - Ecological and Environmental Stability</v>
          </cell>
        </row>
        <row r="106">
          <cell r="N106">
            <v>0</v>
          </cell>
          <cell r="O106">
            <v>250000</v>
          </cell>
          <cell r="P106">
            <v>0</v>
          </cell>
          <cell r="Q106">
            <v>250000</v>
          </cell>
          <cell r="R106">
            <v>0</v>
          </cell>
          <cell r="S106">
            <v>250000</v>
          </cell>
          <cell r="T106" t="str">
            <v>M323-01</v>
          </cell>
          <cell r="W106">
            <v>0</v>
          </cell>
          <cell r="AB106" t="str">
            <v>SP 3 - Ecological and Environmental Stability</v>
          </cell>
        </row>
        <row r="107">
          <cell r="N107">
            <v>0</v>
          </cell>
          <cell r="O107">
            <v>2600000</v>
          </cell>
          <cell r="P107">
            <v>0</v>
          </cell>
          <cell r="Q107">
            <v>2600000</v>
          </cell>
          <cell r="R107">
            <v>2600000</v>
          </cell>
          <cell r="S107">
            <v>0</v>
          </cell>
          <cell r="T107" t="str">
            <v>A713-06</v>
          </cell>
          <cell r="W107">
            <v>0</v>
          </cell>
          <cell r="AB107" t="str">
            <v>SP 7 - Knowledge and Capacity Development</v>
          </cell>
        </row>
        <row r="108">
          <cell r="N108">
            <v>0</v>
          </cell>
          <cell r="O108">
            <v>0</v>
          </cell>
          <cell r="P108">
            <v>5000000</v>
          </cell>
          <cell r="Q108">
            <v>5000000</v>
          </cell>
          <cell r="R108">
            <v>0</v>
          </cell>
          <cell r="S108">
            <v>5000000</v>
          </cell>
          <cell r="T108" t="str">
            <v>M324-03</v>
          </cell>
          <cell r="W108">
            <v>0</v>
          </cell>
          <cell r="AB108" t="str">
            <v>SP 3 - Ecological and Environmental Stability</v>
          </cell>
        </row>
        <row r="109">
          <cell r="N109">
            <v>0</v>
          </cell>
          <cell r="O109">
            <v>8425600</v>
          </cell>
          <cell r="P109">
            <v>0</v>
          </cell>
          <cell r="Q109">
            <v>8425600</v>
          </cell>
          <cell r="R109">
            <v>0</v>
          </cell>
          <cell r="S109">
            <v>8425600</v>
          </cell>
          <cell r="T109" t="str">
            <v>M324-04</v>
          </cell>
          <cell r="W109">
            <v>0</v>
          </cell>
          <cell r="AB109" t="str">
            <v>SP 3 - Ecological and Environmental Stability</v>
          </cell>
        </row>
        <row r="110">
          <cell r="N110">
            <v>0</v>
          </cell>
          <cell r="O110">
            <v>2000000</v>
          </cell>
          <cell r="P110">
            <v>0</v>
          </cell>
          <cell r="Q110">
            <v>2000000</v>
          </cell>
          <cell r="R110">
            <v>2000000</v>
          </cell>
          <cell r="S110">
            <v>0</v>
          </cell>
          <cell r="T110" t="str">
            <v>A314-09</v>
          </cell>
          <cell r="W110">
            <v>0</v>
          </cell>
          <cell r="AB110" t="str">
            <v>SP 3 - Ecological and Environmental Stability</v>
          </cell>
        </row>
        <row r="111">
          <cell r="N111">
            <v>0</v>
          </cell>
          <cell r="O111">
            <v>1000000</v>
          </cell>
          <cell r="P111">
            <v>0</v>
          </cell>
          <cell r="Q111">
            <v>1000000</v>
          </cell>
          <cell r="R111">
            <v>0</v>
          </cell>
          <cell r="S111">
            <v>1000000</v>
          </cell>
          <cell r="T111" t="str">
            <v>M322-01</v>
          </cell>
          <cell r="W111">
            <v>0</v>
          </cell>
          <cell r="AB111" t="str">
            <v>SP 3 - Ecological and Environmental Stability</v>
          </cell>
        </row>
        <row r="112">
          <cell r="N112">
            <v>0</v>
          </cell>
          <cell r="O112">
            <v>0</v>
          </cell>
          <cell r="P112">
            <v>1000000</v>
          </cell>
          <cell r="Q112">
            <v>1000000</v>
          </cell>
          <cell r="R112">
            <v>0</v>
          </cell>
          <cell r="S112">
            <v>1000000</v>
          </cell>
          <cell r="T112" t="str">
            <v>M324-02</v>
          </cell>
          <cell r="W112">
            <v>0</v>
          </cell>
          <cell r="AB112" t="str">
            <v>SP 3 - Ecological and Environmental Stability</v>
          </cell>
        </row>
        <row r="113">
          <cell r="N113">
            <v>0</v>
          </cell>
          <cell r="O113">
            <v>0</v>
          </cell>
          <cell r="P113">
            <v>2000000</v>
          </cell>
          <cell r="Q113">
            <v>2000000</v>
          </cell>
          <cell r="R113">
            <v>0</v>
          </cell>
          <cell r="S113">
            <v>2000000</v>
          </cell>
          <cell r="T113" t="str">
            <v>M314-05</v>
          </cell>
          <cell r="W113">
            <v>0</v>
          </cell>
          <cell r="AB113" t="str">
            <v>SP 3 - Ecological and Environmental Stability</v>
          </cell>
        </row>
        <row r="114">
          <cell r="N114">
            <v>0</v>
          </cell>
          <cell r="O114">
            <v>0</v>
          </cell>
          <cell r="P114">
            <v>200000</v>
          </cell>
          <cell r="Q114">
            <v>200000</v>
          </cell>
          <cell r="R114">
            <v>0</v>
          </cell>
          <cell r="S114">
            <v>200000</v>
          </cell>
          <cell r="T114" t="str">
            <v>M324-04</v>
          </cell>
          <cell r="W114">
            <v>0</v>
          </cell>
          <cell r="AB114" t="str">
            <v>SP 3 - Ecological and Environmental Stability</v>
          </cell>
        </row>
        <row r="115">
          <cell r="N115">
            <v>0</v>
          </cell>
          <cell r="O115">
            <v>0</v>
          </cell>
          <cell r="P115">
            <v>20000000</v>
          </cell>
          <cell r="Q115">
            <v>20000000</v>
          </cell>
          <cell r="R115">
            <v>0</v>
          </cell>
          <cell r="S115">
            <v>20000000</v>
          </cell>
          <cell r="T115" t="str">
            <v>M324-04</v>
          </cell>
          <cell r="W115">
            <v>0</v>
          </cell>
          <cell r="AB115" t="str">
            <v>SP 3 - Ecological and Environmental Stability</v>
          </cell>
        </row>
        <row r="116">
          <cell r="N116">
            <v>0</v>
          </cell>
          <cell r="O116">
            <v>0</v>
          </cell>
          <cell r="P116">
            <v>600000</v>
          </cell>
          <cell r="Q116">
            <v>600000</v>
          </cell>
          <cell r="R116">
            <v>0</v>
          </cell>
          <cell r="S116">
            <v>600000</v>
          </cell>
          <cell r="T116" t="str">
            <v>M324-01</v>
          </cell>
          <cell r="W116">
            <v>0</v>
          </cell>
          <cell r="AB116" t="str">
            <v>SP 3 - Ecological and Environmental Stability</v>
          </cell>
        </row>
        <row r="117">
          <cell r="N117">
            <v>0</v>
          </cell>
          <cell r="O117">
            <v>1120000</v>
          </cell>
          <cell r="P117">
            <v>0</v>
          </cell>
          <cell r="Q117">
            <v>1120000</v>
          </cell>
          <cell r="R117">
            <v>1120000</v>
          </cell>
          <cell r="S117">
            <v>0</v>
          </cell>
          <cell r="T117" t="str">
            <v>A114-03</v>
          </cell>
          <cell r="W117">
            <v>0</v>
          </cell>
          <cell r="AB117" t="str">
            <v>SP 1 - Food Security</v>
          </cell>
        </row>
        <row r="118">
          <cell r="N118">
            <v>0</v>
          </cell>
          <cell r="O118">
            <v>825000</v>
          </cell>
          <cell r="P118">
            <v>0</v>
          </cell>
          <cell r="Q118">
            <v>825000</v>
          </cell>
          <cell r="R118">
            <v>825000</v>
          </cell>
          <cell r="S118">
            <v>0</v>
          </cell>
          <cell r="T118" t="str">
            <v>A114-02</v>
          </cell>
          <cell r="W118">
            <v>0</v>
          </cell>
          <cell r="AB118" t="str">
            <v>SP 1 - Food Security</v>
          </cell>
        </row>
        <row r="119">
          <cell r="N119">
            <v>0</v>
          </cell>
          <cell r="O119">
            <v>995710.2</v>
          </cell>
          <cell r="P119">
            <v>0</v>
          </cell>
          <cell r="Q119">
            <v>995710.2</v>
          </cell>
          <cell r="R119">
            <v>0</v>
          </cell>
          <cell r="S119">
            <v>995710.2</v>
          </cell>
          <cell r="T119" t="str">
            <v>M114-10</v>
          </cell>
          <cell r="W119">
            <v>0</v>
          </cell>
          <cell r="AB119" t="str">
            <v>SP 1 - Food Security</v>
          </cell>
        </row>
        <row r="120">
          <cell r="N120">
            <v>0</v>
          </cell>
          <cell r="O120">
            <v>773400</v>
          </cell>
          <cell r="P120">
            <v>0</v>
          </cell>
          <cell r="Q120">
            <v>773400</v>
          </cell>
          <cell r="R120">
            <v>773400</v>
          </cell>
          <cell r="S120">
            <v>0</v>
          </cell>
          <cell r="T120" t="str">
            <v>A113-08</v>
          </cell>
          <cell r="W120">
            <v>0</v>
          </cell>
          <cell r="AB120" t="str">
            <v>SP 1 - Food Security</v>
          </cell>
        </row>
        <row r="121">
          <cell r="N121">
            <v>0</v>
          </cell>
          <cell r="O121">
            <v>230000</v>
          </cell>
          <cell r="P121">
            <v>0</v>
          </cell>
          <cell r="Q121">
            <v>230000</v>
          </cell>
          <cell r="R121">
            <v>230000</v>
          </cell>
          <cell r="S121">
            <v>0</v>
          </cell>
          <cell r="T121" t="str">
            <v>A113-08</v>
          </cell>
          <cell r="W121">
            <v>0</v>
          </cell>
          <cell r="AB121" t="str">
            <v>SP 1 - Food Security</v>
          </cell>
        </row>
        <row r="122">
          <cell r="N122">
            <v>0</v>
          </cell>
          <cell r="O122">
            <v>165000</v>
          </cell>
          <cell r="P122">
            <v>0</v>
          </cell>
          <cell r="Q122">
            <v>165000</v>
          </cell>
          <cell r="R122">
            <v>165000</v>
          </cell>
          <cell r="S122">
            <v>0</v>
          </cell>
          <cell r="T122" t="str">
            <v>A113-08</v>
          </cell>
          <cell r="W122">
            <v>0</v>
          </cell>
          <cell r="AB122" t="str">
            <v>SP 1 - Food Security</v>
          </cell>
        </row>
        <row r="123">
          <cell r="N123">
            <v>0</v>
          </cell>
          <cell r="O123">
            <v>613618</v>
          </cell>
          <cell r="P123">
            <v>0</v>
          </cell>
          <cell r="Q123">
            <v>613618</v>
          </cell>
          <cell r="R123">
            <v>0</v>
          </cell>
          <cell r="S123">
            <v>613618</v>
          </cell>
          <cell r="T123" t="str">
            <v>M114-02</v>
          </cell>
          <cell r="W123">
            <v>0</v>
          </cell>
          <cell r="AB123" t="str">
            <v>SP 1 - Food Security</v>
          </cell>
        </row>
        <row r="124">
          <cell r="N124">
            <v>0</v>
          </cell>
          <cell r="O124">
            <v>975000</v>
          </cell>
          <cell r="P124">
            <v>0</v>
          </cell>
          <cell r="Q124">
            <v>975000</v>
          </cell>
          <cell r="R124">
            <v>0</v>
          </cell>
          <cell r="S124">
            <v>975000</v>
          </cell>
          <cell r="T124" t="str">
            <v>M114-02</v>
          </cell>
          <cell r="W124">
            <v>0</v>
          </cell>
          <cell r="AB124" t="str">
            <v>SP 1 - Food Security</v>
          </cell>
        </row>
        <row r="125">
          <cell r="N125">
            <v>0</v>
          </cell>
          <cell r="O125">
            <v>626500</v>
          </cell>
          <cell r="P125">
            <v>0</v>
          </cell>
          <cell r="Q125">
            <v>626500</v>
          </cell>
          <cell r="R125">
            <v>626500</v>
          </cell>
          <cell r="S125">
            <v>0</v>
          </cell>
          <cell r="T125" t="str">
            <v>A113-03</v>
          </cell>
          <cell r="W125">
            <v>0</v>
          </cell>
          <cell r="AB125" t="str">
            <v>SP 1 - Food Security</v>
          </cell>
        </row>
        <row r="126">
          <cell r="N126">
            <v>0</v>
          </cell>
          <cell r="O126">
            <v>1780000</v>
          </cell>
          <cell r="P126">
            <v>0</v>
          </cell>
          <cell r="Q126">
            <v>1780000</v>
          </cell>
          <cell r="R126">
            <v>1780000</v>
          </cell>
          <cell r="S126">
            <v>0</v>
          </cell>
          <cell r="T126" t="str">
            <v>A114-09</v>
          </cell>
          <cell r="W126">
            <v>0</v>
          </cell>
          <cell r="AB126" t="str">
            <v>SP 1 - Food Security</v>
          </cell>
        </row>
        <row r="127">
          <cell r="N127">
            <v>0</v>
          </cell>
          <cell r="O127">
            <v>187205</v>
          </cell>
          <cell r="P127">
            <v>0</v>
          </cell>
          <cell r="Q127">
            <v>187205</v>
          </cell>
          <cell r="R127">
            <v>187205</v>
          </cell>
          <cell r="S127">
            <v>0</v>
          </cell>
          <cell r="T127" t="str">
            <v>A113-02</v>
          </cell>
          <cell r="W127">
            <v>0</v>
          </cell>
          <cell r="AB127" t="str">
            <v>SP 1 - Food Security</v>
          </cell>
        </row>
        <row r="128">
          <cell r="N128">
            <v>0</v>
          </cell>
          <cell r="O128">
            <v>1900000</v>
          </cell>
          <cell r="P128">
            <v>0</v>
          </cell>
          <cell r="Q128">
            <v>1900000</v>
          </cell>
          <cell r="R128">
            <v>1900000</v>
          </cell>
          <cell r="S128">
            <v>0</v>
          </cell>
          <cell r="T128" t="str">
            <v>A113-08</v>
          </cell>
          <cell r="W128">
            <v>0</v>
          </cell>
          <cell r="AB128" t="str">
            <v>SP 1 - Food Security</v>
          </cell>
        </row>
        <row r="129">
          <cell r="N129">
            <v>0</v>
          </cell>
          <cell r="O129">
            <v>800000</v>
          </cell>
          <cell r="P129">
            <v>0</v>
          </cell>
          <cell r="Q129">
            <v>800000</v>
          </cell>
          <cell r="R129">
            <v>800000</v>
          </cell>
          <cell r="S129">
            <v>0</v>
          </cell>
          <cell r="T129" t="str">
            <v>A113-08</v>
          </cell>
          <cell r="W129">
            <v>0</v>
          </cell>
          <cell r="AB129" t="str">
            <v>SP 1 - Food Security</v>
          </cell>
        </row>
        <row r="130">
          <cell r="N130">
            <v>0</v>
          </cell>
          <cell r="O130">
            <v>1547225</v>
          </cell>
          <cell r="P130">
            <v>0</v>
          </cell>
          <cell r="Q130">
            <v>1547225</v>
          </cell>
          <cell r="R130">
            <v>1547225</v>
          </cell>
          <cell r="S130">
            <v>0</v>
          </cell>
          <cell r="T130" t="str">
            <v>A122-05</v>
          </cell>
          <cell r="W130">
            <v>0</v>
          </cell>
          <cell r="AB130" t="str">
            <v>SP 1 - Food Security</v>
          </cell>
        </row>
        <row r="131">
          <cell r="N131">
            <v>0</v>
          </cell>
          <cell r="O131">
            <v>175000</v>
          </cell>
          <cell r="P131">
            <v>0</v>
          </cell>
          <cell r="Q131">
            <v>175000</v>
          </cell>
          <cell r="R131">
            <v>175000</v>
          </cell>
          <cell r="S131">
            <v>0</v>
          </cell>
          <cell r="T131" t="str">
            <v>A122-06</v>
          </cell>
          <cell r="W131">
            <v>0</v>
          </cell>
          <cell r="AB131" t="str">
            <v>SP 1 - Food Security</v>
          </cell>
        </row>
        <row r="132">
          <cell r="N132">
            <v>0</v>
          </cell>
          <cell r="O132">
            <v>107500</v>
          </cell>
          <cell r="P132">
            <v>0</v>
          </cell>
          <cell r="Q132">
            <v>107500</v>
          </cell>
          <cell r="R132">
            <v>107500</v>
          </cell>
          <cell r="S132">
            <v>0</v>
          </cell>
          <cell r="T132" t="str">
            <v>A421-01</v>
          </cell>
          <cell r="W132">
            <v>0</v>
          </cell>
          <cell r="AB132" t="str">
            <v>SP 4 - Human Security</v>
          </cell>
        </row>
        <row r="133">
          <cell r="N133">
            <v>0</v>
          </cell>
          <cell r="O133">
            <v>83000</v>
          </cell>
          <cell r="P133">
            <v>0</v>
          </cell>
          <cell r="Q133">
            <v>83000</v>
          </cell>
          <cell r="R133">
            <v>83000</v>
          </cell>
          <cell r="S133">
            <v>0</v>
          </cell>
          <cell r="T133" t="str">
            <v>A422-01</v>
          </cell>
          <cell r="W133">
            <v>0</v>
          </cell>
          <cell r="AB133" t="str">
            <v>SP 4 - Human Security</v>
          </cell>
        </row>
        <row r="134">
          <cell r="N134">
            <v>0</v>
          </cell>
          <cell r="O134">
            <v>7509267.2800000003</v>
          </cell>
          <cell r="P134">
            <v>0</v>
          </cell>
          <cell r="Q134">
            <v>7509267.2800000003</v>
          </cell>
          <cell r="R134">
            <v>7509267.2800000003</v>
          </cell>
          <cell r="S134">
            <v>0</v>
          </cell>
          <cell r="T134" t="str">
            <v>A422-05</v>
          </cell>
          <cell r="W134">
            <v>0</v>
          </cell>
          <cell r="AB134" t="str">
            <v>SP 4 - Human Security</v>
          </cell>
        </row>
        <row r="135">
          <cell r="N135">
            <v>0</v>
          </cell>
          <cell r="O135">
            <v>3000</v>
          </cell>
          <cell r="P135">
            <v>0</v>
          </cell>
          <cell r="Q135">
            <v>3000</v>
          </cell>
          <cell r="R135">
            <v>3000</v>
          </cell>
          <cell r="S135">
            <v>0</v>
          </cell>
          <cell r="T135" t="str">
            <v>A423-01</v>
          </cell>
          <cell r="W135">
            <v>0</v>
          </cell>
          <cell r="AB135" t="str">
            <v>SP 4 - Human Security</v>
          </cell>
        </row>
        <row r="136">
          <cell r="N136">
            <v>0</v>
          </cell>
          <cell r="O136">
            <v>5000</v>
          </cell>
          <cell r="P136">
            <v>0</v>
          </cell>
          <cell r="Q136">
            <v>5000</v>
          </cell>
          <cell r="R136">
            <v>5000</v>
          </cell>
          <cell r="S136">
            <v>0</v>
          </cell>
          <cell r="T136" t="str">
            <v>A423-01</v>
          </cell>
          <cell r="W136">
            <v>0</v>
          </cell>
          <cell r="AB136" t="str">
            <v>SP 4 - Human Security</v>
          </cell>
        </row>
        <row r="137">
          <cell r="N137">
            <v>0</v>
          </cell>
          <cell r="O137">
            <v>10000</v>
          </cell>
          <cell r="P137">
            <v>0</v>
          </cell>
          <cell r="Q137">
            <v>10000</v>
          </cell>
          <cell r="R137">
            <v>10000</v>
          </cell>
          <cell r="S137">
            <v>0</v>
          </cell>
          <cell r="T137" t="str">
            <v>A423-03</v>
          </cell>
          <cell r="W137">
            <v>0</v>
          </cell>
          <cell r="AB137" t="str">
            <v>SP 4 - Human Security</v>
          </cell>
        </row>
        <row r="138">
          <cell r="N138">
            <v>0</v>
          </cell>
          <cell r="O138">
            <v>10000</v>
          </cell>
          <cell r="P138">
            <v>0</v>
          </cell>
          <cell r="Q138">
            <v>10000</v>
          </cell>
          <cell r="R138">
            <v>10000</v>
          </cell>
          <cell r="S138">
            <v>0</v>
          </cell>
          <cell r="T138" t="str">
            <v>A423-01</v>
          </cell>
          <cell r="W138">
            <v>0</v>
          </cell>
          <cell r="AB138" t="str">
            <v>SP 4 - Human Security</v>
          </cell>
        </row>
        <row r="139">
          <cell r="N139">
            <v>0</v>
          </cell>
          <cell r="O139">
            <v>0</v>
          </cell>
          <cell r="P139">
            <v>400000</v>
          </cell>
          <cell r="Q139">
            <v>400000</v>
          </cell>
          <cell r="R139">
            <v>400000</v>
          </cell>
          <cell r="S139">
            <v>0</v>
          </cell>
          <cell r="T139" t="str">
            <v>A113-08</v>
          </cell>
          <cell r="W139">
            <v>0</v>
          </cell>
          <cell r="AB139" t="str">
            <v>SP 1 - Food Security</v>
          </cell>
        </row>
        <row r="140">
          <cell r="N140">
            <v>0</v>
          </cell>
          <cell r="O140">
            <v>0</v>
          </cell>
          <cell r="P140">
            <v>600000</v>
          </cell>
          <cell r="Q140">
            <v>600000</v>
          </cell>
          <cell r="R140">
            <v>600000</v>
          </cell>
          <cell r="S140">
            <v>0</v>
          </cell>
          <cell r="T140" t="str">
            <v>A113-08</v>
          </cell>
          <cell r="W140">
            <v>0</v>
          </cell>
          <cell r="AB140" t="str">
            <v>SP 1 - Food Security</v>
          </cell>
        </row>
        <row r="141">
          <cell r="N141">
            <v>0</v>
          </cell>
          <cell r="O141">
            <v>500000</v>
          </cell>
          <cell r="P141">
            <v>0</v>
          </cell>
          <cell r="Q141">
            <v>500000</v>
          </cell>
          <cell r="R141">
            <v>0</v>
          </cell>
          <cell r="S141">
            <v>500000</v>
          </cell>
          <cell r="T141" t="str">
            <v>M114-10</v>
          </cell>
          <cell r="W141">
            <v>0</v>
          </cell>
          <cell r="AB141" t="str">
            <v>SP 1 - Food Security</v>
          </cell>
        </row>
        <row r="142">
          <cell r="N142">
            <v>0</v>
          </cell>
          <cell r="O142">
            <v>700000</v>
          </cell>
          <cell r="P142">
            <v>0</v>
          </cell>
          <cell r="Q142">
            <v>700000</v>
          </cell>
          <cell r="R142">
            <v>0</v>
          </cell>
          <cell r="S142">
            <v>700000</v>
          </cell>
          <cell r="T142" t="str">
            <v>M114-10</v>
          </cell>
          <cell r="W142">
            <v>0</v>
          </cell>
          <cell r="AB142" t="str">
            <v>SP 1 - Food Security</v>
          </cell>
        </row>
        <row r="143">
          <cell r="N143">
            <v>0</v>
          </cell>
          <cell r="O143">
            <v>0</v>
          </cell>
          <cell r="P143">
            <v>5000000</v>
          </cell>
          <cell r="Q143">
            <v>5000000</v>
          </cell>
          <cell r="R143">
            <v>5000000</v>
          </cell>
          <cell r="S143" t="str">
            <v xml:space="preserve">                      -   </v>
          </cell>
          <cell r="T143" t="str">
            <v>A634-07</v>
          </cell>
          <cell r="W143">
            <v>0</v>
          </cell>
          <cell r="AB143" t="str">
            <v>SP 6 - Sustainable Energy</v>
          </cell>
        </row>
        <row r="144">
          <cell r="N144">
            <v>0</v>
          </cell>
          <cell r="O144">
            <v>0</v>
          </cell>
          <cell r="P144">
            <v>1000000</v>
          </cell>
          <cell r="Q144">
            <v>1000000</v>
          </cell>
          <cell r="R144">
            <v>1000000</v>
          </cell>
          <cell r="S144" t="str">
            <v xml:space="preserve">                      -   </v>
          </cell>
          <cell r="T144" t="str">
            <v>A634-03</v>
          </cell>
          <cell r="W144">
            <v>0</v>
          </cell>
          <cell r="AB144" t="str">
            <v>SP 6 - Sustainable Energy</v>
          </cell>
        </row>
        <row r="145">
          <cell r="N145">
            <v>0</v>
          </cell>
          <cell r="O145">
            <v>0</v>
          </cell>
          <cell r="P145">
            <v>1000000</v>
          </cell>
          <cell r="Q145">
            <v>1000000</v>
          </cell>
          <cell r="R145">
            <v>1000000</v>
          </cell>
          <cell r="S145" t="str">
            <v xml:space="preserve">                      -   </v>
          </cell>
          <cell r="T145" t="str">
            <v>A634-03</v>
          </cell>
          <cell r="W145">
            <v>0</v>
          </cell>
          <cell r="AB145" t="str">
            <v>SP 6 - Sustainable Energy</v>
          </cell>
        </row>
        <row r="146">
          <cell r="N146">
            <v>0</v>
          </cell>
          <cell r="O146">
            <v>0</v>
          </cell>
          <cell r="P146">
            <v>1000000</v>
          </cell>
          <cell r="Q146">
            <v>1000000</v>
          </cell>
          <cell r="R146">
            <v>1000000</v>
          </cell>
          <cell r="S146" t="str">
            <v xml:space="preserve">                      -   </v>
          </cell>
          <cell r="T146" t="str">
            <v>A634-03</v>
          </cell>
          <cell r="W146">
            <v>0</v>
          </cell>
          <cell r="AB146" t="str">
            <v>SP 6 - Sustainable Energy</v>
          </cell>
        </row>
        <row r="147">
          <cell r="N147">
            <v>0</v>
          </cell>
          <cell r="O147">
            <v>0</v>
          </cell>
          <cell r="P147">
            <v>1000000</v>
          </cell>
          <cell r="Q147">
            <v>1000000</v>
          </cell>
          <cell r="R147">
            <v>1000000</v>
          </cell>
          <cell r="S147" t="str">
            <v xml:space="preserve">                      -   </v>
          </cell>
          <cell r="T147" t="str">
            <v>A634-03</v>
          </cell>
          <cell r="W147">
            <v>0</v>
          </cell>
          <cell r="AB147" t="str">
            <v>SP 6 - Sustainable Energy</v>
          </cell>
        </row>
        <row r="148">
          <cell r="N148">
            <v>0</v>
          </cell>
          <cell r="O148">
            <v>0</v>
          </cell>
          <cell r="P148">
            <v>3500000</v>
          </cell>
          <cell r="Q148">
            <v>3500000</v>
          </cell>
          <cell r="R148">
            <v>3500000</v>
          </cell>
          <cell r="S148" t="str">
            <v xml:space="preserve">                      -   </v>
          </cell>
          <cell r="T148" t="str">
            <v>A634-03</v>
          </cell>
          <cell r="W148">
            <v>0</v>
          </cell>
          <cell r="AB148" t="str">
            <v>SP 6 - Sustainable Energy</v>
          </cell>
        </row>
        <row r="149">
          <cell r="N149">
            <v>0</v>
          </cell>
          <cell r="O149">
            <v>0</v>
          </cell>
          <cell r="P149">
            <v>1000000</v>
          </cell>
          <cell r="Q149">
            <v>1000000</v>
          </cell>
          <cell r="R149">
            <v>1000000</v>
          </cell>
          <cell r="S149" t="str">
            <v xml:space="preserve">                      -   </v>
          </cell>
          <cell r="T149" t="str">
            <v>A634-03</v>
          </cell>
          <cell r="W149">
            <v>0</v>
          </cell>
          <cell r="AB149" t="str">
            <v>SP 6 - Sustainable Energy</v>
          </cell>
        </row>
        <row r="150">
          <cell r="N150">
            <v>0</v>
          </cell>
          <cell r="O150">
            <v>0</v>
          </cell>
          <cell r="P150">
            <v>500000</v>
          </cell>
          <cell r="Q150">
            <v>500000</v>
          </cell>
          <cell r="R150">
            <v>500000</v>
          </cell>
          <cell r="S150" t="str">
            <v xml:space="preserve">                      -   </v>
          </cell>
          <cell r="T150" t="str">
            <v>A634-03</v>
          </cell>
          <cell r="W150">
            <v>0</v>
          </cell>
          <cell r="AB150" t="str">
            <v>SP 6 - Sustainable Energy</v>
          </cell>
        </row>
        <row r="151">
          <cell r="N151">
            <v>0</v>
          </cell>
          <cell r="O151">
            <v>0</v>
          </cell>
          <cell r="P151">
            <v>500000</v>
          </cell>
          <cell r="Q151">
            <v>500000</v>
          </cell>
          <cell r="R151">
            <v>500000</v>
          </cell>
          <cell r="S151" t="str">
            <v xml:space="preserve">                      -   </v>
          </cell>
          <cell r="T151" t="str">
            <v>A634-03</v>
          </cell>
          <cell r="W151">
            <v>0</v>
          </cell>
          <cell r="AB151" t="str">
            <v>SP 6 - Sustainable Energy</v>
          </cell>
        </row>
        <row r="152">
          <cell r="N152">
            <v>0</v>
          </cell>
          <cell r="O152">
            <v>0</v>
          </cell>
          <cell r="P152">
            <v>1000000</v>
          </cell>
          <cell r="Q152">
            <v>1000000</v>
          </cell>
          <cell r="R152">
            <v>1000000</v>
          </cell>
          <cell r="S152" t="str">
            <v xml:space="preserve">                      -   </v>
          </cell>
          <cell r="T152" t="str">
            <v>A634-03</v>
          </cell>
          <cell r="W152">
            <v>0</v>
          </cell>
          <cell r="AB152" t="str">
            <v>SP 6 - Sustainable Energy</v>
          </cell>
        </row>
        <row r="153">
          <cell r="N153">
            <v>0</v>
          </cell>
          <cell r="O153">
            <v>0</v>
          </cell>
          <cell r="P153">
            <v>1000000</v>
          </cell>
          <cell r="Q153">
            <v>1000000</v>
          </cell>
          <cell r="R153">
            <v>1000000</v>
          </cell>
          <cell r="S153" t="str">
            <v xml:space="preserve">                      -   </v>
          </cell>
          <cell r="T153" t="str">
            <v>A634-03</v>
          </cell>
          <cell r="W153">
            <v>0</v>
          </cell>
          <cell r="AB153" t="str">
            <v>SP 6 - Sustainable Energy</v>
          </cell>
        </row>
        <row r="154">
          <cell r="N154">
            <v>0</v>
          </cell>
          <cell r="O154">
            <v>0</v>
          </cell>
          <cell r="P154">
            <v>2500000</v>
          </cell>
          <cell r="Q154">
            <v>2500000</v>
          </cell>
          <cell r="R154">
            <v>2500000</v>
          </cell>
          <cell r="S154" t="str">
            <v xml:space="preserve">                      -   </v>
          </cell>
          <cell r="T154" t="str">
            <v>A634-03</v>
          </cell>
          <cell r="W154">
            <v>0</v>
          </cell>
          <cell r="AB154" t="str">
            <v>SP 6 - Sustainable Energy</v>
          </cell>
        </row>
        <row r="155">
          <cell r="N155">
            <v>0</v>
          </cell>
          <cell r="O155">
            <v>0</v>
          </cell>
          <cell r="P155">
            <v>1000000</v>
          </cell>
          <cell r="Q155">
            <v>1000000</v>
          </cell>
          <cell r="R155">
            <v>1000000</v>
          </cell>
          <cell r="S155" t="str">
            <v xml:space="preserve">                      -   </v>
          </cell>
          <cell r="T155" t="str">
            <v>A634-03</v>
          </cell>
          <cell r="W155">
            <v>0</v>
          </cell>
          <cell r="AB155" t="str">
            <v>SP 6 - Sustainable Energy</v>
          </cell>
        </row>
        <row r="156">
          <cell r="N156">
            <v>0</v>
          </cell>
          <cell r="O156">
            <v>0</v>
          </cell>
          <cell r="P156">
            <v>1000000</v>
          </cell>
          <cell r="Q156">
            <v>1000000</v>
          </cell>
          <cell r="R156">
            <v>1000000</v>
          </cell>
          <cell r="S156" t="str">
            <v xml:space="preserve">                      -   </v>
          </cell>
          <cell r="T156" t="str">
            <v>A634-03</v>
          </cell>
          <cell r="W156">
            <v>0</v>
          </cell>
          <cell r="AB156" t="str">
            <v>SP 6 - Sustainable Energy</v>
          </cell>
        </row>
        <row r="157">
          <cell r="N157">
            <v>0</v>
          </cell>
          <cell r="O157">
            <v>0</v>
          </cell>
          <cell r="P157">
            <v>1000000</v>
          </cell>
          <cell r="Q157">
            <v>1000000</v>
          </cell>
          <cell r="R157">
            <v>1000000</v>
          </cell>
          <cell r="S157" t="str">
            <v xml:space="preserve">                      -   </v>
          </cell>
          <cell r="T157" t="str">
            <v>A634-03</v>
          </cell>
          <cell r="W157">
            <v>0</v>
          </cell>
          <cell r="AB157" t="str">
            <v>SP 6 - Sustainable Energy</v>
          </cell>
        </row>
        <row r="158">
          <cell r="N158">
            <v>0</v>
          </cell>
          <cell r="O158">
            <v>0</v>
          </cell>
          <cell r="P158">
            <v>1000000</v>
          </cell>
          <cell r="Q158">
            <v>1000000</v>
          </cell>
          <cell r="R158">
            <v>1000000</v>
          </cell>
          <cell r="S158" t="str">
            <v xml:space="preserve">                      -   </v>
          </cell>
          <cell r="T158" t="str">
            <v>A634-03</v>
          </cell>
          <cell r="W158">
            <v>0</v>
          </cell>
          <cell r="AB158" t="str">
            <v>SP 6 - Sustainable Energy</v>
          </cell>
        </row>
        <row r="159">
          <cell r="N159">
            <v>0</v>
          </cell>
          <cell r="O159">
            <v>0</v>
          </cell>
          <cell r="P159">
            <v>1000000</v>
          </cell>
          <cell r="Q159">
            <v>1000000</v>
          </cell>
          <cell r="R159">
            <v>1000000</v>
          </cell>
          <cell r="S159" t="str">
            <v xml:space="preserve">                      -   </v>
          </cell>
          <cell r="T159" t="str">
            <v>A634-03</v>
          </cell>
          <cell r="W159">
            <v>0</v>
          </cell>
          <cell r="AB159" t="str">
            <v>SP 6 - Sustainable Energy</v>
          </cell>
        </row>
        <row r="160">
          <cell r="N160">
            <v>0</v>
          </cell>
          <cell r="O160">
            <v>0</v>
          </cell>
          <cell r="P160">
            <v>5000000</v>
          </cell>
          <cell r="Q160">
            <v>5000000</v>
          </cell>
          <cell r="R160">
            <v>5000000</v>
          </cell>
          <cell r="S160" t="str">
            <v xml:space="preserve">                      -   </v>
          </cell>
          <cell r="T160" t="str">
            <v>A634-06</v>
          </cell>
          <cell r="W160">
            <v>0</v>
          </cell>
          <cell r="AB160" t="e">
            <v>#N/A</v>
          </cell>
        </row>
        <row r="161">
          <cell r="N161">
            <v>0</v>
          </cell>
          <cell r="O161">
            <v>0</v>
          </cell>
          <cell r="P161">
            <v>3000000</v>
          </cell>
          <cell r="Q161">
            <v>3000000</v>
          </cell>
          <cell r="R161">
            <v>3000000</v>
          </cell>
          <cell r="S161" t="str">
            <v xml:space="preserve">                      -   </v>
          </cell>
          <cell r="T161" t="str">
            <v>A634-06</v>
          </cell>
          <cell r="W161">
            <v>0</v>
          </cell>
          <cell r="AB161" t="e">
            <v>#N/A</v>
          </cell>
        </row>
        <row r="162">
          <cell r="N162">
            <v>0</v>
          </cell>
          <cell r="O162">
            <v>0</v>
          </cell>
          <cell r="P162">
            <v>5000000</v>
          </cell>
          <cell r="Q162">
            <v>5000000</v>
          </cell>
          <cell r="R162">
            <v>5000000</v>
          </cell>
          <cell r="S162" t="str">
            <v xml:space="preserve">                      -   </v>
          </cell>
          <cell r="T162" t="str">
            <v>A634-06</v>
          </cell>
          <cell r="W162">
            <v>0</v>
          </cell>
          <cell r="AB162" t="e">
            <v>#N/A</v>
          </cell>
        </row>
        <row r="163">
          <cell r="N163">
            <v>0</v>
          </cell>
          <cell r="O163">
            <v>0</v>
          </cell>
          <cell r="P163">
            <v>3000000</v>
          </cell>
          <cell r="Q163">
            <v>3000000</v>
          </cell>
          <cell r="R163">
            <v>3000000</v>
          </cell>
          <cell r="S163" t="str">
            <v xml:space="preserve">                      -   </v>
          </cell>
          <cell r="T163" t="str">
            <v>A634-06</v>
          </cell>
          <cell r="W163">
            <v>0</v>
          </cell>
          <cell r="AB163" t="e">
            <v>#N/A</v>
          </cell>
        </row>
        <row r="164">
          <cell r="N164">
            <v>0</v>
          </cell>
          <cell r="O164">
            <v>0</v>
          </cell>
          <cell r="P164">
            <v>2500000</v>
          </cell>
          <cell r="Q164">
            <v>2500000</v>
          </cell>
          <cell r="R164">
            <v>2500000</v>
          </cell>
          <cell r="S164" t="str">
            <v xml:space="preserve">                      -   </v>
          </cell>
          <cell r="T164" t="str">
            <v>A634-06</v>
          </cell>
          <cell r="W164">
            <v>0</v>
          </cell>
          <cell r="AB164" t="e">
            <v>#N/A</v>
          </cell>
        </row>
        <row r="165">
          <cell r="N165">
            <v>0</v>
          </cell>
          <cell r="O165">
            <v>0</v>
          </cell>
          <cell r="P165">
            <v>2500000</v>
          </cell>
          <cell r="Q165">
            <v>2500000</v>
          </cell>
          <cell r="R165">
            <v>2500000</v>
          </cell>
          <cell r="S165" t="str">
            <v xml:space="preserve">                      -   </v>
          </cell>
          <cell r="T165" t="str">
            <v>A634-06</v>
          </cell>
          <cell r="W165">
            <v>0</v>
          </cell>
          <cell r="AB165" t="e">
            <v>#N/A</v>
          </cell>
        </row>
        <row r="166">
          <cell r="N166">
            <v>0</v>
          </cell>
          <cell r="O166">
            <v>0</v>
          </cell>
          <cell r="P166">
            <v>2000000</v>
          </cell>
          <cell r="Q166">
            <v>2000000</v>
          </cell>
          <cell r="R166">
            <v>2000000</v>
          </cell>
          <cell r="S166" t="str">
            <v xml:space="preserve">                      -   </v>
          </cell>
          <cell r="T166" t="str">
            <v>A634-03</v>
          </cell>
          <cell r="W166">
            <v>0</v>
          </cell>
          <cell r="AB166" t="str">
            <v>SP 6 - Sustainable Energy</v>
          </cell>
        </row>
        <row r="167">
          <cell r="N167">
            <v>0</v>
          </cell>
          <cell r="O167">
            <v>0</v>
          </cell>
          <cell r="P167">
            <v>2500000</v>
          </cell>
          <cell r="Q167">
            <v>2500000</v>
          </cell>
          <cell r="R167">
            <v>2500000</v>
          </cell>
          <cell r="S167" t="str">
            <v xml:space="preserve">                      -   </v>
          </cell>
          <cell r="T167" t="str">
            <v>A634-03</v>
          </cell>
          <cell r="W167">
            <v>0</v>
          </cell>
          <cell r="AB167" t="str">
            <v>SP 6 - Sustainable Energy</v>
          </cell>
        </row>
        <row r="168">
          <cell r="N168">
            <v>0</v>
          </cell>
          <cell r="O168">
            <v>0</v>
          </cell>
          <cell r="P168">
            <v>3000000</v>
          </cell>
          <cell r="Q168">
            <v>3000000</v>
          </cell>
          <cell r="R168">
            <v>3000000</v>
          </cell>
          <cell r="S168" t="str">
            <v xml:space="preserve">                      -   </v>
          </cell>
          <cell r="T168" t="str">
            <v>A634-03</v>
          </cell>
          <cell r="W168">
            <v>0</v>
          </cell>
          <cell r="AB168" t="str">
            <v>SP 6 - Sustainable Energy</v>
          </cell>
        </row>
        <row r="169">
          <cell r="N169">
            <v>0</v>
          </cell>
          <cell r="O169">
            <v>0</v>
          </cell>
          <cell r="P169">
            <v>3500000</v>
          </cell>
          <cell r="Q169">
            <v>3500000</v>
          </cell>
          <cell r="R169">
            <v>3500000</v>
          </cell>
          <cell r="S169" t="str">
            <v xml:space="preserve">                      -   </v>
          </cell>
          <cell r="T169" t="str">
            <v>A634-03</v>
          </cell>
          <cell r="W169">
            <v>0</v>
          </cell>
          <cell r="AB169" t="str">
            <v>SP 6 - Sustainable Energy</v>
          </cell>
        </row>
        <row r="170">
          <cell r="N170">
            <v>0</v>
          </cell>
          <cell r="O170">
            <v>0</v>
          </cell>
          <cell r="P170">
            <v>7500000</v>
          </cell>
          <cell r="Q170">
            <v>7500000</v>
          </cell>
          <cell r="R170">
            <v>7500000</v>
          </cell>
          <cell r="S170" t="str">
            <v xml:space="preserve">                      -   </v>
          </cell>
          <cell r="T170" t="str">
            <v>A634-03</v>
          </cell>
          <cell r="W170">
            <v>0</v>
          </cell>
          <cell r="AB170" t="str">
            <v>SP 6 - Sustainable Energy</v>
          </cell>
        </row>
        <row r="171">
          <cell r="N171">
            <v>0</v>
          </cell>
          <cell r="O171">
            <v>0</v>
          </cell>
          <cell r="P171">
            <v>3000000</v>
          </cell>
          <cell r="Q171">
            <v>3000000</v>
          </cell>
          <cell r="R171">
            <v>3000000</v>
          </cell>
          <cell r="S171" t="str">
            <v xml:space="preserve">                      -   </v>
          </cell>
          <cell r="T171" t="str">
            <v>A634-03</v>
          </cell>
          <cell r="W171">
            <v>0</v>
          </cell>
          <cell r="AB171" t="str">
            <v>SP 6 - Sustainable Energy</v>
          </cell>
        </row>
        <row r="172">
          <cell r="N172">
            <v>0</v>
          </cell>
          <cell r="O172">
            <v>0</v>
          </cell>
          <cell r="P172">
            <v>5000000</v>
          </cell>
          <cell r="Q172">
            <v>5000000</v>
          </cell>
          <cell r="R172">
            <v>5000000</v>
          </cell>
          <cell r="S172" t="str">
            <v xml:space="preserve">                      -   </v>
          </cell>
          <cell r="T172" t="str">
            <v>A634-03</v>
          </cell>
          <cell r="W172">
            <v>0</v>
          </cell>
          <cell r="AB172" t="str">
            <v>SP 6 - Sustainable Energy</v>
          </cell>
        </row>
        <row r="173">
          <cell r="N173">
            <v>0</v>
          </cell>
          <cell r="O173">
            <v>0</v>
          </cell>
          <cell r="P173">
            <v>5500000</v>
          </cell>
          <cell r="Q173">
            <v>5500000</v>
          </cell>
          <cell r="R173">
            <v>5500000</v>
          </cell>
          <cell r="S173" t="str">
            <v xml:space="preserve">                      -   </v>
          </cell>
          <cell r="T173" t="str">
            <v>A634-03</v>
          </cell>
          <cell r="W173">
            <v>0</v>
          </cell>
          <cell r="AB173" t="str">
            <v>SP 6 - Sustainable Energy</v>
          </cell>
        </row>
        <row r="174">
          <cell r="N174">
            <v>0</v>
          </cell>
          <cell r="O174">
            <v>0</v>
          </cell>
          <cell r="P174">
            <v>5000000</v>
          </cell>
          <cell r="Q174">
            <v>5000000</v>
          </cell>
          <cell r="R174">
            <v>5000000</v>
          </cell>
          <cell r="S174" t="str">
            <v xml:space="preserve">                      -   </v>
          </cell>
          <cell r="T174" t="str">
            <v>A634-03</v>
          </cell>
          <cell r="W174">
            <v>0</v>
          </cell>
          <cell r="AB174" t="str">
            <v>SP 6 - Sustainable Energy</v>
          </cell>
        </row>
        <row r="175">
          <cell r="N175">
            <v>0</v>
          </cell>
          <cell r="O175">
            <v>0</v>
          </cell>
          <cell r="P175">
            <v>6500000</v>
          </cell>
          <cell r="Q175">
            <v>6500000</v>
          </cell>
          <cell r="R175">
            <v>6500000</v>
          </cell>
          <cell r="S175" t="str">
            <v xml:space="preserve">                      -   </v>
          </cell>
          <cell r="T175" t="str">
            <v>A634-03</v>
          </cell>
          <cell r="W175">
            <v>0</v>
          </cell>
          <cell r="AB175" t="str">
            <v>SP 6 - Sustainable Energy</v>
          </cell>
        </row>
        <row r="176">
          <cell r="N176">
            <v>0</v>
          </cell>
          <cell r="O176">
            <v>0</v>
          </cell>
          <cell r="P176">
            <v>3000000</v>
          </cell>
          <cell r="Q176">
            <v>3000000</v>
          </cell>
          <cell r="R176">
            <v>3000000</v>
          </cell>
          <cell r="S176" t="str">
            <v xml:space="preserve">                      -   </v>
          </cell>
          <cell r="T176" t="str">
            <v>A634-03</v>
          </cell>
          <cell r="W176">
            <v>0</v>
          </cell>
          <cell r="AB176" t="str">
            <v>SP 6 - Sustainable Energy</v>
          </cell>
        </row>
        <row r="177">
          <cell r="N177">
            <v>0</v>
          </cell>
          <cell r="O177">
            <v>0</v>
          </cell>
          <cell r="P177">
            <v>6000000</v>
          </cell>
          <cell r="Q177">
            <v>6000000</v>
          </cell>
          <cell r="R177">
            <v>6000000</v>
          </cell>
          <cell r="S177" t="str">
            <v xml:space="preserve">                      -   </v>
          </cell>
          <cell r="T177" t="str">
            <v>A634-03</v>
          </cell>
          <cell r="W177">
            <v>0</v>
          </cell>
          <cell r="AB177" t="str">
            <v>SP 6 - Sustainable Energy</v>
          </cell>
        </row>
        <row r="178">
          <cell r="N178">
            <v>0</v>
          </cell>
          <cell r="O178">
            <v>0</v>
          </cell>
          <cell r="P178">
            <v>6000000</v>
          </cell>
          <cell r="Q178">
            <v>6000000</v>
          </cell>
          <cell r="R178">
            <v>6000000</v>
          </cell>
          <cell r="S178" t="str">
            <v xml:space="preserve">                      -   </v>
          </cell>
          <cell r="T178" t="str">
            <v>A634-03</v>
          </cell>
          <cell r="W178">
            <v>0</v>
          </cell>
          <cell r="AB178" t="str">
            <v>SP 6 - Sustainable Energy</v>
          </cell>
        </row>
        <row r="179">
          <cell r="N179">
            <v>0</v>
          </cell>
          <cell r="O179">
            <v>0</v>
          </cell>
          <cell r="P179">
            <v>3500000</v>
          </cell>
          <cell r="Q179">
            <v>3500000</v>
          </cell>
          <cell r="R179">
            <v>3500000</v>
          </cell>
          <cell r="S179" t="str">
            <v xml:space="preserve">                      -   </v>
          </cell>
          <cell r="T179" t="str">
            <v>A634-03</v>
          </cell>
          <cell r="W179">
            <v>0</v>
          </cell>
          <cell r="AB179" t="str">
            <v>SP 6 - Sustainable Energy</v>
          </cell>
        </row>
        <row r="180">
          <cell r="N180">
            <v>0</v>
          </cell>
          <cell r="O180">
            <v>0</v>
          </cell>
          <cell r="P180">
            <v>6500000</v>
          </cell>
          <cell r="Q180">
            <v>6500000</v>
          </cell>
          <cell r="R180">
            <v>6500000</v>
          </cell>
          <cell r="S180" t="str">
            <v xml:space="preserve">                      -   </v>
          </cell>
          <cell r="T180" t="str">
            <v>A634-03</v>
          </cell>
          <cell r="W180">
            <v>0</v>
          </cell>
          <cell r="AB180" t="str">
            <v>SP 6 - Sustainable Energy</v>
          </cell>
        </row>
        <row r="181">
          <cell r="N181">
            <v>0</v>
          </cell>
          <cell r="O181">
            <v>0</v>
          </cell>
          <cell r="P181">
            <v>3500000</v>
          </cell>
          <cell r="Q181">
            <v>3500000</v>
          </cell>
          <cell r="R181">
            <v>3500000</v>
          </cell>
          <cell r="S181" t="str">
            <v xml:space="preserve">                      -   </v>
          </cell>
          <cell r="T181" t="str">
            <v>A634-03</v>
          </cell>
          <cell r="W181">
            <v>0</v>
          </cell>
          <cell r="AB181" t="str">
            <v>SP 6 - Sustainable Energy</v>
          </cell>
        </row>
        <row r="182">
          <cell r="N182">
            <v>0</v>
          </cell>
          <cell r="O182">
            <v>0</v>
          </cell>
          <cell r="P182">
            <v>7500000</v>
          </cell>
          <cell r="Q182">
            <v>7500000</v>
          </cell>
          <cell r="R182">
            <v>7500000</v>
          </cell>
          <cell r="S182" t="str">
            <v xml:space="preserve">                      -   </v>
          </cell>
          <cell r="T182" t="str">
            <v>A634-03</v>
          </cell>
          <cell r="W182">
            <v>0</v>
          </cell>
          <cell r="AB182" t="str">
            <v>SP 6 - Sustainable Energy</v>
          </cell>
        </row>
        <row r="183">
          <cell r="N183">
            <v>0</v>
          </cell>
          <cell r="O183">
            <v>0</v>
          </cell>
          <cell r="P183">
            <v>4500000</v>
          </cell>
          <cell r="Q183">
            <v>4500000</v>
          </cell>
          <cell r="R183">
            <v>4500000</v>
          </cell>
          <cell r="S183" t="str">
            <v xml:space="preserve">                      -   </v>
          </cell>
          <cell r="T183" t="str">
            <v>A634-03</v>
          </cell>
          <cell r="W183">
            <v>0</v>
          </cell>
          <cell r="AB183" t="str">
            <v>SP 6 - Sustainable Energy</v>
          </cell>
        </row>
        <row r="184">
          <cell r="N184">
            <v>0</v>
          </cell>
          <cell r="O184">
            <v>0</v>
          </cell>
          <cell r="P184">
            <v>1500000</v>
          </cell>
          <cell r="Q184">
            <v>1500000</v>
          </cell>
          <cell r="R184">
            <v>1500000</v>
          </cell>
          <cell r="S184" t="str">
            <v xml:space="preserve">                      -   </v>
          </cell>
          <cell r="T184" t="str">
            <v>A634-03</v>
          </cell>
          <cell r="W184">
            <v>0</v>
          </cell>
          <cell r="AB184" t="str">
            <v>SP 6 - Sustainable Energy</v>
          </cell>
        </row>
        <row r="185">
          <cell r="N185" t="str">
            <v xml:space="preserve">                       -   </v>
          </cell>
          <cell r="O185" t="str">
            <v xml:space="preserve">                       -   </v>
          </cell>
          <cell r="P185">
            <v>15000000</v>
          </cell>
          <cell r="Q185">
            <v>15000000</v>
          </cell>
          <cell r="R185">
            <v>15000000</v>
          </cell>
          <cell r="S185" t="str">
            <v xml:space="preserve">                      -   </v>
          </cell>
          <cell r="T185" t="str">
            <v>A214-02</v>
          </cell>
          <cell r="W185">
            <v>0</v>
          </cell>
          <cell r="AB185" t="str">
            <v>SP 2 - Water Sufficiency</v>
          </cell>
        </row>
        <row r="186">
          <cell r="N186" t="str">
            <v xml:space="preserve">                       -   </v>
          </cell>
          <cell r="O186" t="str">
            <v xml:space="preserve">                       -   </v>
          </cell>
          <cell r="P186">
            <v>1000000</v>
          </cell>
          <cell r="Q186">
            <v>1000000</v>
          </cell>
          <cell r="R186">
            <v>1000000</v>
          </cell>
          <cell r="S186" t="str">
            <v xml:space="preserve">                      -   </v>
          </cell>
          <cell r="T186" t="str">
            <v>A214-02</v>
          </cell>
          <cell r="W186">
            <v>0</v>
          </cell>
          <cell r="AB186" t="str">
            <v>SP 2 - Water Sufficiency</v>
          </cell>
        </row>
        <row r="187">
          <cell r="N187" t="str">
            <v xml:space="preserve">                       -   </v>
          </cell>
          <cell r="O187" t="str">
            <v xml:space="preserve">                       -   </v>
          </cell>
          <cell r="P187">
            <v>5000000</v>
          </cell>
          <cell r="Q187">
            <v>5000000</v>
          </cell>
          <cell r="R187">
            <v>5000000</v>
          </cell>
          <cell r="S187" t="str">
            <v xml:space="preserve">                      -   </v>
          </cell>
          <cell r="T187" t="str">
            <v>A224-02</v>
          </cell>
          <cell r="W187">
            <v>0</v>
          </cell>
          <cell r="AB187" t="str">
            <v>SP 2 - Water Sufficiency</v>
          </cell>
        </row>
        <row r="188">
          <cell r="N188" t="str">
            <v xml:space="preserve">                       -   </v>
          </cell>
          <cell r="O188" t="str">
            <v xml:space="preserve">                       -   </v>
          </cell>
          <cell r="P188">
            <v>3000000</v>
          </cell>
          <cell r="Q188">
            <v>3000000</v>
          </cell>
          <cell r="R188">
            <v>3000000</v>
          </cell>
          <cell r="S188" t="str">
            <v xml:space="preserve">                      -   </v>
          </cell>
          <cell r="T188" t="str">
            <v>A224-02</v>
          </cell>
          <cell r="W188">
            <v>0</v>
          </cell>
          <cell r="AB188" t="str">
            <v>SP 2 - Water Sufficiency</v>
          </cell>
        </row>
        <row r="189">
          <cell r="N189">
            <v>0</v>
          </cell>
          <cell r="O189">
            <v>0</v>
          </cell>
          <cell r="P189">
            <v>1000000</v>
          </cell>
          <cell r="Q189">
            <v>1000000</v>
          </cell>
          <cell r="R189">
            <v>1000000</v>
          </cell>
          <cell r="S189" t="str">
            <v xml:space="preserve">                      -   </v>
          </cell>
          <cell r="T189" t="str">
            <v>A634-06</v>
          </cell>
          <cell r="W189">
            <v>0</v>
          </cell>
          <cell r="AB189" t="e">
            <v>#N/A</v>
          </cell>
        </row>
        <row r="190">
          <cell r="N190">
            <v>0</v>
          </cell>
          <cell r="O190">
            <v>0</v>
          </cell>
          <cell r="P190">
            <v>500000</v>
          </cell>
          <cell r="Q190">
            <v>500000</v>
          </cell>
          <cell r="R190">
            <v>500000</v>
          </cell>
          <cell r="S190" t="str">
            <v xml:space="preserve">                      -   </v>
          </cell>
          <cell r="T190" t="str">
            <v>A224-03</v>
          </cell>
          <cell r="W190">
            <v>0</v>
          </cell>
          <cell r="AB190" t="str">
            <v>SP 2 - Water Sufficiency</v>
          </cell>
        </row>
        <row r="191">
          <cell r="N191">
            <v>0</v>
          </cell>
          <cell r="O191">
            <v>0</v>
          </cell>
          <cell r="P191">
            <v>400000</v>
          </cell>
          <cell r="Q191">
            <v>400000</v>
          </cell>
          <cell r="R191">
            <v>400000</v>
          </cell>
          <cell r="S191" t="str">
            <v xml:space="preserve">                      -   </v>
          </cell>
          <cell r="T191" t="str">
            <v>A224-03</v>
          </cell>
          <cell r="W191">
            <v>0</v>
          </cell>
          <cell r="AB191" t="str">
            <v>SP 2 - Water Sufficiency</v>
          </cell>
        </row>
        <row r="192">
          <cell r="N192">
            <v>0</v>
          </cell>
          <cell r="O192">
            <v>0</v>
          </cell>
          <cell r="P192">
            <v>500000</v>
          </cell>
          <cell r="Q192">
            <v>500000</v>
          </cell>
          <cell r="R192">
            <v>500000</v>
          </cell>
          <cell r="S192" t="str">
            <v xml:space="preserve">                      -   </v>
          </cell>
          <cell r="T192" t="str">
            <v>A224-03</v>
          </cell>
          <cell r="W192">
            <v>0</v>
          </cell>
          <cell r="AB192" t="str">
            <v>SP 2 - Water Sufficiency</v>
          </cell>
        </row>
        <row r="193">
          <cell r="N193">
            <v>0</v>
          </cell>
          <cell r="O193">
            <v>0</v>
          </cell>
          <cell r="P193">
            <v>500000</v>
          </cell>
          <cell r="Q193">
            <v>500000</v>
          </cell>
          <cell r="R193">
            <v>500000</v>
          </cell>
          <cell r="S193" t="str">
            <v xml:space="preserve">                      -   </v>
          </cell>
          <cell r="T193" t="str">
            <v>A224-03</v>
          </cell>
          <cell r="W193">
            <v>0</v>
          </cell>
          <cell r="AB193" t="str">
            <v>SP 2 - Water Sufficiency</v>
          </cell>
        </row>
        <row r="194">
          <cell r="N194">
            <v>0</v>
          </cell>
          <cell r="O194">
            <v>0</v>
          </cell>
          <cell r="P194">
            <v>500000</v>
          </cell>
          <cell r="Q194">
            <v>500000</v>
          </cell>
          <cell r="R194">
            <v>500000</v>
          </cell>
          <cell r="S194" t="str">
            <v xml:space="preserve">                      -   </v>
          </cell>
          <cell r="T194" t="str">
            <v>A224-03</v>
          </cell>
          <cell r="W194">
            <v>0</v>
          </cell>
          <cell r="AB194" t="str">
            <v>SP 2 - Water Sufficiency</v>
          </cell>
        </row>
        <row r="195">
          <cell r="N195">
            <v>0</v>
          </cell>
          <cell r="O195">
            <v>0</v>
          </cell>
          <cell r="P195">
            <v>500000</v>
          </cell>
          <cell r="Q195">
            <v>500000</v>
          </cell>
          <cell r="R195">
            <v>500000</v>
          </cell>
          <cell r="S195" t="str">
            <v xml:space="preserve">                      -   </v>
          </cell>
          <cell r="T195" t="str">
            <v>A224-03</v>
          </cell>
          <cell r="W195">
            <v>0</v>
          </cell>
          <cell r="AB195" t="str">
            <v>SP 2 - Water Sufficiency</v>
          </cell>
        </row>
        <row r="196">
          <cell r="N196">
            <v>0</v>
          </cell>
          <cell r="O196">
            <v>0</v>
          </cell>
          <cell r="P196">
            <v>1000000</v>
          </cell>
          <cell r="Q196">
            <v>1000000</v>
          </cell>
          <cell r="R196">
            <v>1000000</v>
          </cell>
          <cell r="S196" t="str">
            <v xml:space="preserve">                      -   </v>
          </cell>
          <cell r="T196" t="str">
            <v>A224-03</v>
          </cell>
          <cell r="W196">
            <v>0</v>
          </cell>
          <cell r="AB196" t="str">
            <v>SP 2 - Water Sufficiency</v>
          </cell>
        </row>
        <row r="197">
          <cell r="N197" t="str">
            <v xml:space="preserve">                       -   </v>
          </cell>
          <cell r="O197" t="str">
            <v xml:space="preserve">                       -   </v>
          </cell>
          <cell r="P197">
            <v>18500000</v>
          </cell>
          <cell r="Q197">
            <v>18500000</v>
          </cell>
          <cell r="R197">
            <v>18500000</v>
          </cell>
          <cell r="S197" t="str">
            <v xml:space="preserve">                      -   </v>
          </cell>
          <cell r="T197" t="str">
            <v>A424-01</v>
          </cell>
          <cell r="W197">
            <v>0</v>
          </cell>
          <cell r="AB197" t="str">
            <v>SP 4 - Human Security</v>
          </cell>
        </row>
        <row r="198">
          <cell r="N198">
            <v>0</v>
          </cell>
          <cell r="O198">
            <v>1000000</v>
          </cell>
          <cell r="P198">
            <v>0</v>
          </cell>
          <cell r="Q198">
            <v>1000000</v>
          </cell>
          <cell r="R198">
            <v>1000000</v>
          </cell>
          <cell r="S198">
            <v>0</v>
          </cell>
          <cell r="T198" t="str">
            <v>A713-02</v>
          </cell>
          <cell r="W198">
            <v>0</v>
          </cell>
          <cell r="AB198" t="str">
            <v>SP 7 - Knowledge and Capacity Development</v>
          </cell>
        </row>
        <row r="199">
          <cell r="N199">
            <v>0</v>
          </cell>
          <cell r="O199">
            <v>37000000</v>
          </cell>
          <cell r="P199">
            <v>0</v>
          </cell>
          <cell r="Q199">
            <v>37000000</v>
          </cell>
          <cell r="R199">
            <v>37000000</v>
          </cell>
          <cell r="S199">
            <v>0</v>
          </cell>
          <cell r="T199" t="str">
            <v>A411-02</v>
          </cell>
          <cell r="W199">
            <v>0</v>
          </cell>
          <cell r="AB199" t="str">
            <v>SP 4 - Human Security</v>
          </cell>
        </row>
        <row r="200">
          <cell r="N200">
            <v>0</v>
          </cell>
          <cell r="O200">
            <v>300000</v>
          </cell>
          <cell r="P200">
            <v>0</v>
          </cell>
          <cell r="Q200">
            <v>300000</v>
          </cell>
          <cell r="R200">
            <v>300000</v>
          </cell>
          <cell r="S200">
            <v>0</v>
          </cell>
          <cell r="T200" t="str">
            <v>A713-01</v>
          </cell>
          <cell r="W200">
            <v>0</v>
          </cell>
          <cell r="AB200" t="str">
            <v>SP 7 - Knowledge and Capacity Development</v>
          </cell>
        </row>
        <row r="201">
          <cell r="N201">
            <v>0</v>
          </cell>
          <cell r="O201">
            <v>350000</v>
          </cell>
          <cell r="P201">
            <v>350000</v>
          </cell>
          <cell r="Q201">
            <v>700000</v>
          </cell>
          <cell r="R201">
            <v>700000</v>
          </cell>
          <cell r="S201">
            <v>0</v>
          </cell>
          <cell r="T201" t="str">
            <v>A414-05</v>
          </cell>
          <cell r="W201">
            <v>0</v>
          </cell>
          <cell r="AB201" t="str">
            <v>SP 4 - Human Security</v>
          </cell>
        </row>
        <row r="202">
          <cell r="N202">
            <v>0</v>
          </cell>
          <cell r="O202">
            <v>350000</v>
          </cell>
          <cell r="P202">
            <v>0</v>
          </cell>
          <cell r="Q202">
            <v>350000</v>
          </cell>
          <cell r="R202">
            <v>350000</v>
          </cell>
          <cell r="S202">
            <v>0</v>
          </cell>
          <cell r="T202" t="str">
            <v>A713-04</v>
          </cell>
          <cell r="W202">
            <v>0</v>
          </cell>
          <cell r="AB202" t="str">
            <v>SP 7 - Knowledge and Capacity Development</v>
          </cell>
        </row>
        <row r="203">
          <cell r="N203">
            <v>0</v>
          </cell>
          <cell r="O203">
            <v>6000000</v>
          </cell>
          <cell r="P203">
            <v>0</v>
          </cell>
          <cell r="Q203">
            <v>6000000</v>
          </cell>
          <cell r="R203">
            <v>6000000</v>
          </cell>
          <cell r="S203">
            <v>0</v>
          </cell>
          <cell r="T203" t="str">
            <v>A713-04</v>
          </cell>
          <cell r="W203">
            <v>0</v>
          </cell>
          <cell r="AB203" t="str">
            <v>SP 7 - Knowledge and Capacity Development</v>
          </cell>
        </row>
        <row r="204">
          <cell r="N204">
            <v>0</v>
          </cell>
          <cell r="O204">
            <v>300000</v>
          </cell>
          <cell r="P204">
            <v>0</v>
          </cell>
          <cell r="Q204">
            <v>300000</v>
          </cell>
          <cell r="R204">
            <v>0</v>
          </cell>
          <cell r="S204">
            <v>300000</v>
          </cell>
          <cell r="T204" t="str">
            <v>M324-04</v>
          </cell>
          <cell r="W204">
            <v>0</v>
          </cell>
          <cell r="AB204" t="str">
            <v>SP 3 - Ecological and Environmental Stability</v>
          </cell>
        </row>
        <row r="205">
          <cell r="N205">
            <v>0</v>
          </cell>
          <cell r="O205">
            <v>6000000</v>
          </cell>
          <cell r="P205">
            <v>0</v>
          </cell>
          <cell r="Q205">
            <v>6000000</v>
          </cell>
          <cell r="R205">
            <v>0</v>
          </cell>
          <cell r="S205">
            <v>500000</v>
          </cell>
          <cell r="T205" t="str">
            <v>M314-05</v>
          </cell>
          <cell r="W205">
            <v>0</v>
          </cell>
          <cell r="AB205" t="str">
            <v>SP 3 - Ecological and Environmental Stability</v>
          </cell>
        </row>
        <row r="206">
          <cell r="N206">
            <v>0</v>
          </cell>
          <cell r="O206">
            <v>300000</v>
          </cell>
          <cell r="P206">
            <v>0</v>
          </cell>
          <cell r="Q206">
            <v>300000</v>
          </cell>
          <cell r="R206">
            <v>300000</v>
          </cell>
          <cell r="S206">
            <v>0</v>
          </cell>
          <cell r="T206" t="str">
            <v>A414-05</v>
          </cell>
          <cell r="W206">
            <v>0</v>
          </cell>
          <cell r="AB206" t="str">
            <v>SP 4 - Human Security</v>
          </cell>
        </row>
        <row r="207">
          <cell r="N207">
            <v>0</v>
          </cell>
          <cell r="O207">
            <v>300000</v>
          </cell>
          <cell r="P207">
            <v>0</v>
          </cell>
          <cell r="Q207">
            <v>300000</v>
          </cell>
          <cell r="R207">
            <v>300000</v>
          </cell>
          <cell r="S207">
            <v>0</v>
          </cell>
          <cell r="T207" t="str">
            <v>A414-04</v>
          </cell>
          <cell r="W207">
            <v>0</v>
          </cell>
          <cell r="AB207" t="str">
            <v>SP 4 - Human Security</v>
          </cell>
        </row>
        <row r="208">
          <cell r="N208">
            <v>0</v>
          </cell>
          <cell r="O208">
            <v>200000</v>
          </cell>
          <cell r="P208">
            <v>0</v>
          </cell>
          <cell r="Q208">
            <v>200000</v>
          </cell>
          <cell r="R208">
            <v>200000</v>
          </cell>
          <cell r="S208">
            <v>0</v>
          </cell>
          <cell r="T208" t="str">
            <v>A413-03</v>
          </cell>
          <cell r="W208">
            <v>0</v>
          </cell>
          <cell r="AB208" t="str">
            <v>SP 4 - Human Security</v>
          </cell>
        </row>
        <row r="209">
          <cell r="N209">
            <v>0</v>
          </cell>
          <cell r="O209">
            <v>0</v>
          </cell>
          <cell r="P209">
            <v>500000</v>
          </cell>
          <cell r="Q209">
            <v>500000</v>
          </cell>
          <cell r="R209">
            <v>500000</v>
          </cell>
          <cell r="S209">
            <v>0</v>
          </cell>
          <cell r="T209" t="str">
            <v>A424-06</v>
          </cell>
          <cell r="W209">
            <v>0</v>
          </cell>
          <cell r="AB209" t="str">
            <v>SP 4 - Human Security</v>
          </cell>
        </row>
        <row r="210">
          <cell r="W210">
            <v>0</v>
          </cell>
          <cell r="AB210" t="str">
            <v>line item not tagged</v>
          </cell>
        </row>
        <row r="211">
          <cell r="W211">
            <v>0</v>
          </cell>
          <cell r="AB211" t="str">
            <v>line item not tagged</v>
          </cell>
        </row>
        <row r="212">
          <cell r="W212">
            <v>0</v>
          </cell>
          <cell r="AB212" t="str">
            <v>line item not tagged</v>
          </cell>
        </row>
        <row r="213">
          <cell r="W213">
            <v>0</v>
          </cell>
          <cell r="AB213" t="str">
            <v>line item not tagged</v>
          </cell>
        </row>
        <row r="214">
          <cell r="W214">
            <v>0</v>
          </cell>
          <cell r="AB214" t="str">
            <v>line item not tagged</v>
          </cell>
        </row>
        <row r="215">
          <cell r="W215">
            <v>0</v>
          </cell>
          <cell r="AB215" t="str">
            <v>line item not tagged</v>
          </cell>
        </row>
        <row r="216">
          <cell r="W216">
            <v>0</v>
          </cell>
          <cell r="AB216" t="str">
            <v>line item not tagged</v>
          </cell>
        </row>
        <row r="217">
          <cell r="W217">
            <v>0</v>
          </cell>
          <cell r="AB217" t="str">
            <v>line item not tagged</v>
          </cell>
        </row>
        <row r="218">
          <cell r="W218">
            <v>0</v>
          </cell>
          <cell r="AB218" t="str">
            <v>line item not tagged</v>
          </cell>
        </row>
        <row r="219">
          <cell r="W219">
            <v>0</v>
          </cell>
          <cell r="AB219" t="str">
            <v>line item not tagged</v>
          </cell>
        </row>
        <row r="220">
          <cell r="W220">
            <v>0</v>
          </cell>
          <cell r="AB220" t="str">
            <v>line item not tagged</v>
          </cell>
        </row>
        <row r="221">
          <cell r="W221">
            <v>0</v>
          </cell>
          <cell r="AB221" t="str">
            <v>line item not tagged</v>
          </cell>
        </row>
        <row r="222">
          <cell r="W222">
            <v>0</v>
          </cell>
          <cell r="AB222" t="str">
            <v>line item not tagged</v>
          </cell>
        </row>
        <row r="223">
          <cell r="W223">
            <v>0</v>
          </cell>
          <cell r="AB223" t="str">
            <v>line item not tagged</v>
          </cell>
        </row>
        <row r="224">
          <cell r="W224">
            <v>0</v>
          </cell>
          <cell r="AB224" t="str">
            <v>line item not tagged</v>
          </cell>
        </row>
        <row r="225">
          <cell r="W225">
            <v>0</v>
          </cell>
          <cell r="AB225" t="str">
            <v>line item not tagged</v>
          </cell>
        </row>
        <row r="226">
          <cell r="W226">
            <v>0</v>
          </cell>
          <cell r="AB226" t="str">
            <v>line item not tagged</v>
          </cell>
        </row>
        <row r="227">
          <cell r="W227">
            <v>0</v>
          </cell>
          <cell r="AB227" t="str">
            <v>line item not tagged</v>
          </cell>
        </row>
        <row r="228">
          <cell r="W228">
            <v>0</v>
          </cell>
          <cell r="AB228" t="str">
            <v>line item not tagged</v>
          </cell>
        </row>
        <row r="229">
          <cell r="W229">
            <v>0</v>
          </cell>
          <cell r="AB229" t="str">
            <v>line item not tagged</v>
          </cell>
        </row>
        <row r="230">
          <cell r="W230">
            <v>0</v>
          </cell>
          <cell r="AB230" t="str">
            <v>line item not tagged</v>
          </cell>
        </row>
        <row r="231">
          <cell r="W231">
            <v>0</v>
          </cell>
          <cell r="AB231" t="str">
            <v>line item not tagged</v>
          </cell>
        </row>
        <row r="232">
          <cell r="W232">
            <v>0</v>
          </cell>
          <cell r="AB232" t="str">
            <v>line item not tagged</v>
          </cell>
        </row>
        <row r="233">
          <cell r="W233">
            <v>0</v>
          </cell>
          <cell r="AB233" t="str">
            <v>line item not tagged</v>
          </cell>
        </row>
        <row r="234">
          <cell r="W234">
            <v>0</v>
          </cell>
          <cell r="AB234" t="str">
            <v>line item not tagged</v>
          </cell>
        </row>
        <row r="235">
          <cell r="W235">
            <v>0</v>
          </cell>
          <cell r="AB235" t="str">
            <v>line item not tagged</v>
          </cell>
        </row>
        <row r="236">
          <cell r="W236">
            <v>0</v>
          </cell>
          <cell r="AB236" t="str">
            <v>line item not tagged</v>
          </cell>
        </row>
        <row r="237">
          <cell r="W237">
            <v>0</v>
          </cell>
          <cell r="AB237" t="str">
            <v>line item not tagged</v>
          </cell>
        </row>
        <row r="238">
          <cell r="W238">
            <v>0</v>
          </cell>
          <cell r="AB238" t="str">
            <v>line item not tagged</v>
          </cell>
        </row>
        <row r="239">
          <cell r="W239">
            <v>0</v>
          </cell>
          <cell r="AB239" t="str">
            <v>line item not tagged</v>
          </cell>
        </row>
        <row r="240">
          <cell r="W240">
            <v>0</v>
          </cell>
          <cell r="AB240" t="str">
            <v>line item not tagged</v>
          </cell>
        </row>
        <row r="241">
          <cell r="W241">
            <v>0</v>
          </cell>
          <cell r="AB241" t="str">
            <v>line item not tagged</v>
          </cell>
        </row>
        <row r="242">
          <cell r="W242">
            <v>0</v>
          </cell>
          <cell r="AB242" t="str">
            <v>line item not tagged</v>
          </cell>
        </row>
        <row r="243">
          <cell r="W243">
            <v>0</v>
          </cell>
          <cell r="AB243" t="str">
            <v>line item not tagged</v>
          </cell>
        </row>
        <row r="244">
          <cell r="W244">
            <v>0</v>
          </cell>
          <cell r="AB244" t="str">
            <v>line item not tagged</v>
          </cell>
        </row>
        <row r="245">
          <cell r="W245">
            <v>0</v>
          </cell>
          <cell r="AB245" t="str">
            <v>line item not tagged</v>
          </cell>
        </row>
        <row r="246">
          <cell r="W246">
            <v>0</v>
          </cell>
          <cell r="AB246" t="str">
            <v>line item not tagged</v>
          </cell>
        </row>
        <row r="247">
          <cell r="W247">
            <v>0</v>
          </cell>
          <cell r="AB247" t="str">
            <v>line item not tagged</v>
          </cell>
        </row>
        <row r="248">
          <cell r="W248">
            <v>0</v>
          </cell>
          <cell r="AB248" t="str">
            <v>line item not tagged</v>
          </cell>
        </row>
        <row r="249">
          <cell r="W249">
            <v>0</v>
          </cell>
          <cell r="AB249" t="str">
            <v>line item not tagged</v>
          </cell>
        </row>
        <row r="250">
          <cell r="W250">
            <v>0</v>
          </cell>
          <cell r="AB250" t="str">
            <v>line item not tagged</v>
          </cell>
        </row>
        <row r="251">
          <cell r="W251">
            <v>0</v>
          </cell>
          <cell r="AB251" t="str">
            <v>line item not tagged</v>
          </cell>
        </row>
        <row r="252">
          <cell r="W252">
            <v>0</v>
          </cell>
          <cell r="AB252" t="str">
            <v>line item not tagged</v>
          </cell>
        </row>
        <row r="253">
          <cell r="W253">
            <v>0</v>
          </cell>
          <cell r="AB253" t="str">
            <v>line item not tagged</v>
          </cell>
        </row>
        <row r="254">
          <cell r="W254">
            <v>0</v>
          </cell>
          <cell r="AB254" t="str">
            <v>line item not tagged</v>
          </cell>
        </row>
        <row r="255">
          <cell r="W255">
            <v>0</v>
          </cell>
          <cell r="AB255" t="str">
            <v>line item not tagged</v>
          </cell>
        </row>
        <row r="256">
          <cell r="W256">
            <v>0</v>
          </cell>
          <cell r="AB256" t="str">
            <v>line item not tagged</v>
          </cell>
        </row>
        <row r="257">
          <cell r="W257">
            <v>0</v>
          </cell>
          <cell r="AB257" t="str">
            <v>line item not tagged</v>
          </cell>
        </row>
        <row r="258">
          <cell r="W258">
            <v>0</v>
          </cell>
          <cell r="AB258" t="str">
            <v>line item not tagged</v>
          </cell>
        </row>
        <row r="259">
          <cell r="W259">
            <v>0</v>
          </cell>
          <cell r="AB259" t="str">
            <v>line item not tagged</v>
          </cell>
        </row>
        <row r="260">
          <cell r="W260">
            <v>0</v>
          </cell>
          <cell r="AB260" t="str">
            <v>line item not tagged</v>
          </cell>
        </row>
        <row r="261">
          <cell r="W261">
            <v>0</v>
          </cell>
          <cell r="AB261" t="str">
            <v>line item not tagged</v>
          </cell>
        </row>
        <row r="262">
          <cell r="W262">
            <v>0</v>
          </cell>
          <cell r="AB262" t="str">
            <v>line item not tagged</v>
          </cell>
        </row>
        <row r="263">
          <cell r="W263">
            <v>0</v>
          </cell>
          <cell r="AB263" t="str">
            <v>line item not tagged</v>
          </cell>
        </row>
        <row r="264">
          <cell r="W264">
            <v>0</v>
          </cell>
          <cell r="AB264" t="str">
            <v>line item not tagged</v>
          </cell>
        </row>
        <row r="265">
          <cell r="W265">
            <v>0</v>
          </cell>
          <cell r="AB265" t="str">
            <v>line item not tagged</v>
          </cell>
        </row>
        <row r="266">
          <cell r="W266">
            <v>0</v>
          </cell>
          <cell r="AB266" t="str">
            <v>line item not tagged</v>
          </cell>
        </row>
        <row r="267">
          <cell r="W267">
            <v>0</v>
          </cell>
          <cell r="AB267" t="str">
            <v>line item not tagged</v>
          </cell>
        </row>
        <row r="268">
          <cell r="W268">
            <v>0</v>
          </cell>
          <cell r="AB268" t="str">
            <v>line item not tagged</v>
          </cell>
        </row>
        <row r="269">
          <cell r="W269">
            <v>0</v>
          </cell>
          <cell r="AB269" t="str">
            <v>line item not tagged</v>
          </cell>
        </row>
        <row r="270">
          <cell r="W270">
            <v>0</v>
          </cell>
          <cell r="AB270" t="str">
            <v>line item not tagged</v>
          </cell>
        </row>
        <row r="271">
          <cell r="W271">
            <v>0</v>
          </cell>
          <cell r="AB271" t="str">
            <v>line item not tagged</v>
          </cell>
        </row>
        <row r="272">
          <cell r="W272">
            <v>0</v>
          </cell>
          <cell r="AB272" t="str">
            <v>line item not tagged</v>
          </cell>
        </row>
        <row r="273">
          <cell r="W273">
            <v>0</v>
          </cell>
          <cell r="AB273" t="str">
            <v>line item not tagged</v>
          </cell>
        </row>
        <row r="274">
          <cell r="W274">
            <v>0</v>
          </cell>
          <cell r="AB274" t="str">
            <v>line item not tagged</v>
          </cell>
        </row>
        <row r="275">
          <cell r="W275">
            <v>0</v>
          </cell>
          <cell r="AB275" t="str">
            <v>line item not tagged</v>
          </cell>
        </row>
        <row r="276">
          <cell r="W276">
            <v>0</v>
          </cell>
          <cell r="AB276" t="str">
            <v>line item not tagged</v>
          </cell>
        </row>
        <row r="277">
          <cell r="W277">
            <v>0</v>
          </cell>
          <cell r="AB277" t="str">
            <v>line item not tagged</v>
          </cell>
        </row>
        <row r="278">
          <cell r="W278">
            <v>0</v>
          </cell>
          <cell r="AB278" t="str">
            <v>line item not tagged</v>
          </cell>
        </row>
        <row r="279">
          <cell r="W279">
            <v>0</v>
          </cell>
          <cell r="AB279" t="str">
            <v>line item not tagged</v>
          </cell>
        </row>
        <row r="280">
          <cell r="W280">
            <v>0</v>
          </cell>
          <cell r="AB280" t="str">
            <v>line item not tagged</v>
          </cell>
        </row>
        <row r="281">
          <cell r="W281">
            <v>0</v>
          </cell>
          <cell r="AB281" t="str">
            <v>line item not tagged</v>
          </cell>
        </row>
        <row r="282">
          <cell r="W282">
            <v>0</v>
          </cell>
          <cell r="AB282" t="str">
            <v>line item not tagged</v>
          </cell>
        </row>
        <row r="283">
          <cell r="W283">
            <v>0</v>
          </cell>
          <cell r="AB283" t="str">
            <v>line item not tagged</v>
          </cell>
        </row>
        <row r="284">
          <cell r="W284">
            <v>0</v>
          </cell>
          <cell r="AB284" t="str">
            <v>line item not tagged</v>
          </cell>
        </row>
        <row r="285">
          <cell r="W285">
            <v>0</v>
          </cell>
          <cell r="AB285" t="str">
            <v>line item not tagged</v>
          </cell>
        </row>
        <row r="286">
          <cell r="W286">
            <v>0</v>
          </cell>
          <cell r="AB286" t="str">
            <v>line item not tagged</v>
          </cell>
        </row>
        <row r="287">
          <cell r="W287">
            <v>0</v>
          </cell>
          <cell r="AB287" t="str">
            <v>line item not tagged</v>
          </cell>
        </row>
        <row r="288">
          <cell r="W288">
            <v>0</v>
          </cell>
          <cell r="AB288" t="str">
            <v>line item not tagged</v>
          </cell>
        </row>
        <row r="289">
          <cell r="W289">
            <v>0</v>
          </cell>
          <cell r="AB289" t="str">
            <v>line item not tagged</v>
          </cell>
        </row>
        <row r="290">
          <cell r="W290">
            <v>0</v>
          </cell>
          <cell r="AB290" t="str">
            <v>line item not tagged</v>
          </cell>
        </row>
        <row r="291">
          <cell r="W291">
            <v>0</v>
          </cell>
          <cell r="AB291" t="str">
            <v>line item not tagged</v>
          </cell>
        </row>
        <row r="292">
          <cell r="W292">
            <v>0</v>
          </cell>
          <cell r="AB292" t="str">
            <v>line item not tagged</v>
          </cell>
        </row>
        <row r="293">
          <cell r="W293">
            <v>0</v>
          </cell>
          <cell r="AB293" t="str">
            <v>line item not tagged</v>
          </cell>
        </row>
        <row r="294">
          <cell r="W294">
            <v>0</v>
          </cell>
          <cell r="AB294" t="str">
            <v>line item not tagged</v>
          </cell>
        </row>
        <row r="295">
          <cell r="W295">
            <v>0</v>
          </cell>
          <cell r="AB295" t="str">
            <v>line item not tagged</v>
          </cell>
        </row>
        <row r="296">
          <cell r="W296">
            <v>0</v>
          </cell>
          <cell r="AB296" t="str">
            <v>line item not tagged</v>
          </cell>
        </row>
        <row r="297">
          <cell r="W297">
            <v>0</v>
          </cell>
          <cell r="AB297" t="str">
            <v>line item not tagged</v>
          </cell>
        </row>
        <row r="298">
          <cell r="W298">
            <v>0</v>
          </cell>
          <cell r="AB298" t="str">
            <v>line item not tagged</v>
          </cell>
        </row>
        <row r="299">
          <cell r="W299">
            <v>0</v>
          </cell>
          <cell r="AB299" t="str">
            <v>line item not tagged</v>
          </cell>
        </row>
        <row r="300">
          <cell r="W300">
            <v>0</v>
          </cell>
          <cell r="AB300" t="str">
            <v>line item not tagged</v>
          </cell>
        </row>
        <row r="301">
          <cell r="W301">
            <v>0</v>
          </cell>
          <cell r="AB301" t="str">
            <v>line item not tagged</v>
          </cell>
        </row>
        <row r="302">
          <cell r="W302">
            <v>0</v>
          </cell>
          <cell r="AB302" t="str">
            <v>line item not tagged</v>
          </cell>
        </row>
        <row r="303">
          <cell r="W303">
            <v>0</v>
          </cell>
          <cell r="AB303" t="str">
            <v>line item not tagged</v>
          </cell>
        </row>
        <row r="304">
          <cell r="W304">
            <v>0</v>
          </cell>
          <cell r="AB304" t="str">
            <v>line item not tagged</v>
          </cell>
        </row>
        <row r="305">
          <cell r="W305">
            <v>0</v>
          </cell>
          <cell r="AB305" t="str">
            <v>line item not tagged</v>
          </cell>
        </row>
        <row r="306">
          <cell r="W306">
            <v>0</v>
          </cell>
          <cell r="AB306" t="str">
            <v>line item not tagged</v>
          </cell>
        </row>
        <row r="307">
          <cell r="W307">
            <v>0</v>
          </cell>
          <cell r="AB307" t="str">
            <v>line item not tagged</v>
          </cell>
        </row>
        <row r="308">
          <cell r="W308">
            <v>0</v>
          </cell>
          <cell r="AB308" t="str">
            <v>line item not tagged</v>
          </cell>
        </row>
        <row r="309">
          <cell r="W309">
            <v>0</v>
          </cell>
          <cell r="AB309" t="str">
            <v>line item not tagged</v>
          </cell>
        </row>
        <row r="310">
          <cell r="W310">
            <v>0</v>
          </cell>
          <cell r="AB310" t="str">
            <v>line item not tagged</v>
          </cell>
        </row>
        <row r="311">
          <cell r="W311">
            <v>0</v>
          </cell>
          <cell r="AB311" t="str">
            <v>line item not tagged</v>
          </cell>
        </row>
        <row r="312">
          <cell r="W312">
            <v>0</v>
          </cell>
          <cell r="AB312" t="str">
            <v>line item not tagged</v>
          </cell>
        </row>
        <row r="313">
          <cell r="W313">
            <v>0</v>
          </cell>
          <cell r="AB313" t="str">
            <v>line item not tagged</v>
          </cell>
        </row>
        <row r="314">
          <cell r="W314">
            <v>0</v>
          </cell>
          <cell r="AB314" t="str">
            <v>line item not tagged</v>
          </cell>
        </row>
        <row r="315">
          <cell r="W315">
            <v>0</v>
          </cell>
          <cell r="AB315" t="str">
            <v>line item not tagged</v>
          </cell>
        </row>
        <row r="316">
          <cell r="W316">
            <v>0</v>
          </cell>
          <cell r="AB316" t="str">
            <v>line item not tagged</v>
          </cell>
        </row>
        <row r="317">
          <cell r="W317">
            <v>0</v>
          </cell>
          <cell r="AB317" t="str">
            <v>line item not tagged</v>
          </cell>
        </row>
        <row r="318">
          <cell r="W318">
            <v>0</v>
          </cell>
          <cell r="AB318" t="str">
            <v>line item not tagged</v>
          </cell>
        </row>
        <row r="319">
          <cell r="W319">
            <v>0</v>
          </cell>
          <cell r="AB319" t="str">
            <v>line item not tagged</v>
          </cell>
        </row>
        <row r="320">
          <cell r="W320">
            <v>0</v>
          </cell>
          <cell r="AB320" t="str">
            <v>line item not tagged</v>
          </cell>
        </row>
        <row r="321">
          <cell r="W321">
            <v>0</v>
          </cell>
          <cell r="AB321" t="str">
            <v>line item not tagged</v>
          </cell>
        </row>
        <row r="322">
          <cell r="W322">
            <v>0</v>
          </cell>
          <cell r="AB322" t="str">
            <v>line item not tagged</v>
          </cell>
        </row>
        <row r="323">
          <cell r="W323">
            <v>0</v>
          </cell>
          <cell r="AB323" t="str">
            <v>line item not tagged</v>
          </cell>
        </row>
        <row r="324">
          <cell r="W324">
            <v>0</v>
          </cell>
          <cell r="AB324" t="str">
            <v>line item not tagged</v>
          </cell>
        </row>
        <row r="325">
          <cell r="W325">
            <v>0</v>
          </cell>
          <cell r="AB325" t="str">
            <v>line item not tagged</v>
          </cell>
        </row>
        <row r="326">
          <cell r="W326">
            <v>0</v>
          </cell>
          <cell r="AB326" t="str">
            <v>line item not tagged</v>
          </cell>
        </row>
        <row r="327">
          <cell r="W327">
            <v>0</v>
          </cell>
          <cell r="AB327" t="str">
            <v>line item not tagged</v>
          </cell>
        </row>
        <row r="328">
          <cell r="W328">
            <v>0</v>
          </cell>
          <cell r="AB328" t="str">
            <v>line item not tagged</v>
          </cell>
        </row>
        <row r="329">
          <cell r="W329">
            <v>0</v>
          </cell>
          <cell r="AB329" t="str">
            <v>line item not tagged</v>
          </cell>
        </row>
        <row r="330">
          <cell r="W330">
            <v>0</v>
          </cell>
          <cell r="AB330" t="str">
            <v>line item not tagged</v>
          </cell>
        </row>
        <row r="331">
          <cell r="W331">
            <v>0</v>
          </cell>
          <cell r="AB331" t="str">
            <v>line item not tagged</v>
          </cell>
        </row>
        <row r="332">
          <cell r="W332">
            <v>0</v>
          </cell>
          <cell r="AB332" t="str">
            <v>line item not tagged</v>
          </cell>
        </row>
        <row r="333">
          <cell r="W333">
            <v>0</v>
          </cell>
          <cell r="AB333" t="str">
            <v>line item not tagged</v>
          </cell>
        </row>
        <row r="334">
          <cell r="W334">
            <v>0</v>
          </cell>
          <cell r="AB334" t="str">
            <v>line item not tagged</v>
          </cell>
        </row>
        <row r="335">
          <cell r="W335">
            <v>0</v>
          </cell>
          <cell r="AB335" t="str">
            <v>line item not tagged</v>
          </cell>
        </row>
        <row r="336">
          <cell r="W336">
            <v>0</v>
          </cell>
          <cell r="AB336" t="str">
            <v>line item not tagged</v>
          </cell>
        </row>
        <row r="337">
          <cell r="W337">
            <v>0</v>
          </cell>
          <cell r="AB337" t="str">
            <v>line item not tagged</v>
          </cell>
        </row>
        <row r="338">
          <cell r="W338">
            <v>0</v>
          </cell>
          <cell r="AB338" t="str">
            <v>line item not tagged</v>
          </cell>
        </row>
        <row r="339">
          <cell r="W339">
            <v>0</v>
          </cell>
          <cell r="AB339" t="str">
            <v>line item not tagged</v>
          </cell>
        </row>
        <row r="340">
          <cell r="W340">
            <v>0</v>
          </cell>
          <cell r="AB340" t="str">
            <v>line item not tagged</v>
          </cell>
        </row>
        <row r="341">
          <cell r="W341">
            <v>0</v>
          </cell>
          <cell r="AB341" t="str">
            <v>line item not tagged</v>
          </cell>
        </row>
        <row r="342">
          <cell r="W342">
            <v>0</v>
          </cell>
          <cell r="AB342" t="str">
            <v>line item not tagged</v>
          </cell>
        </row>
        <row r="343">
          <cell r="W343">
            <v>0</v>
          </cell>
          <cell r="AB343" t="str">
            <v>line item not tagged</v>
          </cell>
        </row>
        <row r="344">
          <cell r="W344">
            <v>0</v>
          </cell>
          <cell r="AB344" t="str">
            <v>line item not tagged</v>
          </cell>
        </row>
        <row r="345">
          <cell r="W345">
            <v>0</v>
          </cell>
          <cell r="AB345" t="str">
            <v>line item not tagged</v>
          </cell>
        </row>
        <row r="346">
          <cell r="W346">
            <v>0</v>
          </cell>
          <cell r="AB346" t="str">
            <v>line item not tagged</v>
          </cell>
        </row>
        <row r="347">
          <cell r="W347">
            <v>0</v>
          </cell>
          <cell r="AB347" t="str">
            <v>line item not tagged</v>
          </cell>
        </row>
        <row r="348">
          <cell r="W348">
            <v>0</v>
          </cell>
          <cell r="AB348" t="str">
            <v>line item not tagged</v>
          </cell>
        </row>
        <row r="349">
          <cell r="W349">
            <v>0</v>
          </cell>
          <cell r="AB349" t="str">
            <v>line item not tagged</v>
          </cell>
        </row>
        <row r="350">
          <cell r="W350">
            <v>0</v>
          </cell>
          <cell r="AB350" t="str">
            <v>line item not tagged</v>
          </cell>
        </row>
        <row r="351">
          <cell r="W351">
            <v>0</v>
          </cell>
          <cell r="AB351" t="str">
            <v>line item not tagged</v>
          </cell>
        </row>
        <row r="352">
          <cell r="W352">
            <v>0</v>
          </cell>
          <cell r="AB352" t="str">
            <v>line item not tagged</v>
          </cell>
        </row>
        <row r="353">
          <cell r="W353">
            <v>0</v>
          </cell>
          <cell r="AB353" t="str">
            <v>line item not tagged</v>
          </cell>
        </row>
        <row r="354">
          <cell r="W354">
            <v>0</v>
          </cell>
          <cell r="AB354" t="str">
            <v>line item not tagged</v>
          </cell>
        </row>
        <row r="355">
          <cell r="W355">
            <v>0</v>
          </cell>
          <cell r="AB355" t="str">
            <v>line item not tagged</v>
          </cell>
        </row>
        <row r="356">
          <cell r="W356">
            <v>0</v>
          </cell>
          <cell r="AB356" t="str">
            <v>line item not tagged</v>
          </cell>
        </row>
        <row r="357">
          <cell r="W357">
            <v>0</v>
          </cell>
          <cell r="AB357" t="str">
            <v>line item not tagged</v>
          </cell>
        </row>
        <row r="358">
          <cell r="W358">
            <v>0</v>
          </cell>
          <cell r="AB358" t="str">
            <v>line item not tagged</v>
          </cell>
        </row>
        <row r="359">
          <cell r="W359">
            <v>0</v>
          </cell>
          <cell r="AB359" t="str">
            <v>line item not tagged</v>
          </cell>
        </row>
        <row r="360">
          <cell r="W360">
            <v>0</v>
          </cell>
          <cell r="AB360" t="str">
            <v>line item not tagged</v>
          </cell>
        </row>
        <row r="361">
          <cell r="W361">
            <v>0</v>
          </cell>
          <cell r="AB361" t="str">
            <v>line item not tagged</v>
          </cell>
        </row>
        <row r="362">
          <cell r="W362">
            <v>0</v>
          </cell>
          <cell r="AB362" t="str">
            <v>line item not tagged</v>
          </cell>
        </row>
        <row r="363">
          <cell r="W363">
            <v>0</v>
          </cell>
          <cell r="AB363" t="str">
            <v>line item not tagged</v>
          </cell>
        </row>
        <row r="364">
          <cell r="W364">
            <v>0</v>
          </cell>
          <cell r="AB364" t="str">
            <v>line item not tagged</v>
          </cell>
        </row>
        <row r="365">
          <cell r="W365">
            <v>0</v>
          </cell>
          <cell r="AB365" t="str">
            <v>line item not tagged</v>
          </cell>
        </row>
        <row r="366">
          <cell r="W366">
            <v>0</v>
          </cell>
          <cell r="AB366" t="str">
            <v>line item not tagged</v>
          </cell>
        </row>
        <row r="367">
          <cell r="W367">
            <v>0</v>
          </cell>
          <cell r="AB367" t="str">
            <v>line item not tagged</v>
          </cell>
        </row>
        <row r="368">
          <cell r="W368">
            <v>0</v>
          </cell>
          <cell r="AB368" t="str">
            <v>line item not tagged</v>
          </cell>
        </row>
        <row r="369">
          <cell r="W369">
            <v>0</v>
          </cell>
          <cell r="AB369" t="str">
            <v>line item not tagged</v>
          </cell>
        </row>
        <row r="370">
          <cell r="W370">
            <v>0</v>
          </cell>
          <cell r="AB370" t="str">
            <v>line item not tagged</v>
          </cell>
        </row>
        <row r="371">
          <cell r="W371">
            <v>0</v>
          </cell>
          <cell r="AB371" t="str">
            <v>line item not tagged</v>
          </cell>
        </row>
        <row r="372">
          <cell r="W372">
            <v>0</v>
          </cell>
          <cell r="AB372" t="str">
            <v>line item not tagged</v>
          </cell>
        </row>
        <row r="373">
          <cell r="W373">
            <v>0</v>
          </cell>
          <cell r="AB373" t="str">
            <v>line item not tagged</v>
          </cell>
        </row>
        <row r="374">
          <cell r="W374">
            <v>0</v>
          </cell>
          <cell r="AB374" t="str">
            <v>line item not tagged</v>
          </cell>
        </row>
        <row r="375">
          <cell r="W375">
            <v>0</v>
          </cell>
          <cell r="AB375" t="str">
            <v>line item not tagged</v>
          </cell>
        </row>
        <row r="376">
          <cell r="W376">
            <v>0</v>
          </cell>
          <cell r="AB376" t="str">
            <v>line item not tagged</v>
          </cell>
        </row>
        <row r="377">
          <cell r="W377">
            <v>0</v>
          </cell>
          <cell r="AB377" t="str">
            <v>line item not tagged</v>
          </cell>
        </row>
        <row r="378">
          <cell r="W378">
            <v>0</v>
          </cell>
          <cell r="AB378" t="str">
            <v>line item not tagged</v>
          </cell>
        </row>
        <row r="379">
          <cell r="W379">
            <v>0</v>
          </cell>
          <cell r="AB379" t="str">
            <v>line item not tagged</v>
          </cell>
        </row>
        <row r="380">
          <cell r="W380">
            <v>0</v>
          </cell>
          <cell r="AB380" t="str">
            <v>line item not tagged</v>
          </cell>
        </row>
        <row r="381">
          <cell r="W381">
            <v>0</v>
          </cell>
          <cell r="AB381" t="str">
            <v>line item not tagged</v>
          </cell>
        </row>
        <row r="382">
          <cell r="W382">
            <v>0</v>
          </cell>
          <cell r="AB382" t="str">
            <v>line item not tagged</v>
          </cell>
        </row>
        <row r="383">
          <cell r="W383">
            <v>0</v>
          </cell>
          <cell r="AB383" t="str">
            <v>line item not tagged</v>
          </cell>
        </row>
        <row r="384">
          <cell r="W384">
            <v>0</v>
          </cell>
          <cell r="AB384" t="str">
            <v>line item not tagged</v>
          </cell>
        </row>
        <row r="385">
          <cell r="W385">
            <v>0</v>
          </cell>
          <cell r="AB385" t="str">
            <v>line item not tagged</v>
          </cell>
        </row>
        <row r="386">
          <cell r="W386">
            <v>0</v>
          </cell>
          <cell r="AB386" t="str">
            <v>line item not tagged</v>
          </cell>
        </row>
        <row r="387">
          <cell r="W387">
            <v>0</v>
          </cell>
          <cell r="AB387" t="str">
            <v>line item not tagged</v>
          </cell>
        </row>
        <row r="388">
          <cell r="W388">
            <v>0</v>
          </cell>
          <cell r="AB388" t="str">
            <v>line item not tagged</v>
          </cell>
        </row>
        <row r="389">
          <cell r="W389">
            <v>0</v>
          </cell>
          <cell r="AB389" t="str">
            <v>line item not tagged</v>
          </cell>
        </row>
        <row r="390">
          <cell r="W390">
            <v>0</v>
          </cell>
          <cell r="AB390" t="str">
            <v>line item not tagged</v>
          </cell>
        </row>
        <row r="391">
          <cell r="W391">
            <v>0</v>
          </cell>
          <cell r="AB391" t="str">
            <v>line item not tagged</v>
          </cell>
        </row>
        <row r="392">
          <cell r="W392">
            <v>0</v>
          </cell>
          <cell r="AB392" t="str">
            <v>line item not tagged</v>
          </cell>
        </row>
        <row r="393">
          <cell r="W393">
            <v>0</v>
          </cell>
          <cell r="AB393" t="str">
            <v>line item not tagged</v>
          </cell>
        </row>
        <row r="394">
          <cell r="W394">
            <v>0</v>
          </cell>
          <cell r="AB394" t="str">
            <v>line item not tagged</v>
          </cell>
        </row>
        <row r="395">
          <cell r="W395">
            <v>0</v>
          </cell>
          <cell r="AB395" t="str">
            <v>line item not tagged</v>
          </cell>
        </row>
        <row r="396">
          <cell r="W396">
            <v>0</v>
          </cell>
          <cell r="AB396" t="str">
            <v>line item not tagged</v>
          </cell>
        </row>
        <row r="397">
          <cell r="W397">
            <v>0</v>
          </cell>
          <cell r="AB397" t="str">
            <v>line item not tagged</v>
          </cell>
        </row>
        <row r="398">
          <cell r="W398">
            <v>0</v>
          </cell>
          <cell r="AB398" t="str">
            <v>line item not tagged</v>
          </cell>
        </row>
        <row r="399">
          <cell r="W399">
            <v>0</v>
          </cell>
          <cell r="AB399" t="str">
            <v>line item not tagged</v>
          </cell>
        </row>
        <row r="400">
          <cell r="W400">
            <v>0</v>
          </cell>
          <cell r="AB400" t="str">
            <v>line item not tagged</v>
          </cell>
        </row>
        <row r="401">
          <cell r="W401">
            <v>0</v>
          </cell>
          <cell r="AB401" t="str">
            <v>line item not tagged</v>
          </cell>
        </row>
        <row r="402">
          <cell r="W402">
            <v>0</v>
          </cell>
          <cell r="AB402" t="str">
            <v>line item not tagged</v>
          </cell>
        </row>
        <row r="403">
          <cell r="W403">
            <v>0</v>
          </cell>
          <cell r="AB403" t="str">
            <v>line item not tagged</v>
          </cell>
        </row>
        <row r="404">
          <cell r="W404">
            <v>0</v>
          </cell>
          <cell r="AB404" t="str">
            <v>line item not tagged</v>
          </cell>
        </row>
        <row r="405">
          <cell r="W405">
            <v>0</v>
          </cell>
          <cell r="AB405" t="str">
            <v>line item not tagged</v>
          </cell>
        </row>
        <row r="406">
          <cell r="W406">
            <v>0</v>
          </cell>
          <cell r="AB406" t="str">
            <v>line item not tagged</v>
          </cell>
        </row>
        <row r="407">
          <cell r="W407">
            <v>0</v>
          </cell>
          <cell r="AB407" t="str">
            <v>line item not tagged</v>
          </cell>
        </row>
        <row r="408">
          <cell r="W408">
            <v>0</v>
          </cell>
          <cell r="AB408" t="str">
            <v>line item not tagged</v>
          </cell>
        </row>
        <row r="409">
          <cell r="W409">
            <v>0</v>
          </cell>
          <cell r="AB409" t="str">
            <v>line item not tagged</v>
          </cell>
        </row>
        <row r="410">
          <cell r="W410">
            <v>0</v>
          </cell>
          <cell r="AB410" t="str">
            <v>line item not tagged</v>
          </cell>
        </row>
        <row r="411">
          <cell r="W411">
            <v>0</v>
          </cell>
          <cell r="AB411" t="str">
            <v>line item not tagged</v>
          </cell>
        </row>
        <row r="412">
          <cell r="W412">
            <v>0</v>
          </cell>
          <cell r="AB412" t="str">
            <v>line item not tagged</v>
          </cell>
        </row>
        <row r="413">
          <cell r="W413">
            <v>0</v>
          </cell>
          <cell r="AB413" t="str">
            <v>line item not tagged</v>
          </cell>
        </row>
        <row r="414">
          <cell r="W414">
            <v>0</v>
          </cell>
          <cell r="AB414" t="str">
            <v>line item not tagged</v>
          </cell>
        </row>
        <row r="415">
          <cell r="W415">
            <v>0</v>
          </cell>
          <cell r="AB415" t="str">
            <v>line item not tagged</v>
          </cell>
        </row>
        <row r="416">
          <cell r="W416">
            <v>0</v>
          </cell>
          <cell r="AB416" t="str">
            <v>line item not tagged</v>
          </cell>
        </row>
        <row r="417">
          <cell r="W417">
            <v>0</v>
          </cell>
          <cell r="AB417" t="str">
            <v>line item not tagged</v>
          </cell>
        </row>
        <row r="418">
          <cell r="W418">
            <v>0</v>
          </cell>
          <cell r="AB418" t="str">
            <v>line item not tagged</v>
          </cell>
        </row>
        <row r="419">
          <cell r="W419">
            <v>0</v>
          </cell>
          <cell r="AB419" t="str">
            <v>line item not tagged</v>
          </cell>
        </row>
        <row r="420">
          <cell r="W420">
            <v>0</v>
          </cell>
          <cell r="AB420" t="str">
            <v>line item not tagged</v>
          </cell>
        </row>
        <row r="421">
          <cell r="W421">
            <v>0</v>
          </cell>
          <cell r="AB421" t="str">
            <v>line item not tagged</v>
          </cell>
        </row>
        <row r="422">
          <cell r="W422">
            <v>0</v>
          </cell>
          <cell r="AB422" t="str">
            <v>line item not tagged</v>
          </cell>
        </row>
        <row r="423">
          <cell r="W423">
            <v>0</v>
          </cell>
          <cell r="AB423" t="str">
            <v>line item not tagged</v>
          </cell>
        </row>
        <row r="424">
          <cell r="W424">
            <v>0</v>
          </cell>
          <cell r="AB424" t="str">
            <v>line item not tagged</v>
          </cell>
        </row>
        <row r="425">
          <cell r="W425">
            <v>0</v>
          </cell>
          <cell r="AB425" t="str">
            <v>line item not tagged</v>
          </cell>
        </row>
        <row r="426">
          <cell r="W426">
            <v>0</v>
          </cell>
          <cell r="AB426" t="str">
            <v>line item not tagged</v>
          </cell>
        </row>
        <row r="427">
          <cell r="W427">
            <v>0</v>
          </cell>
          <cell r="AB427" t="str">
            <v>line item not tagged</v>
          </cell>
        </row>
        <row r="428">
          <cell r="W428">
            <v>0</v>
          </cell>
          <cell r="AB428" t="str">
            <v>line item not tagged</v>
          </cell>
        </row>
        <row r="429">
          <cell r="W429">
            <v>0</v>
          </cell>
          <cell r="AB429" t="str">
            <v>line item not tagged</v>
          </cell>
        </row>
        <row r="430">
          <cell r="W430">
            <v>0</v>
          </cell>
          <cell r="AB430" t="str">
            <v>line item not tagged</v>
          </cell>
        </row>
        <row r="431">
          <cell r="W431">
            <v>0</v>
          </cell>
          <cell r="AB431" t="str">
            <v>line item not tagged</v>
          </cell>
        </row>
        <row r="432">
          <cell r="W432">
            <v>0</v>
          </cell>
          <cell r="AB432" t="str">
            <v>line item not tagged</v>
          </cell>
        </row>
        <row r="433">
          <cell r="W433">
            <v>0</v>
          </cell>
          <cell r="AB433" t="str">
            <v>line item not tagged</v>
          </cell>
        </row>
        <row r="434">
          <cell r="W434">
            <v>0</v>
          </cell>
          <cell r="AB434" t="str">
            <v>line item not tagged</v>
          </cell>
        </row>
        <row r="435">
          <cell r="W435">
            <v>0</v>
          </cell>
          <cell r="AB435" t="str">
            <v>line item not tagged</v>
          </cell>
        </row>
        <row r="436">
          <cell r="W436">
            <v>0</v>
          </cell>
          <cell r="AB436" t="str">
            <v>line item not tagged</v>
          </cell>
        </row>
        <row r="437">
          <cell r="W437">
            <v>0</v>
          </cell>
          <cell r="AB437" t="str">
            <v>line item not tagged</v>
          </cell>
        </row>
        <row r="438">
          <cell r="W438">
            <v>0</v>
          </cell>
          <cell r="AB438" t="str">
            <v>line item not tagged</v>
          </cell>
        </row>
        <row r="439">
          <cell r="W439">
            <v>0</v>
          </cell>
          <cell r="AB439" t="str">
            <v>line item not tagged</v>
          </cell>
        </row>
        <row r="440">
          <cell r="W440">
            <v>0</v>
          </cell>
          <cell r="AB440" t="str">
            <v>line item not tagged</v>
          </cell>
        </row>
        <row r="441">
          <cell r="W441">
            <v>0</v>
          </cell>
          <cell r="AB441" t="str">
            <v>line item not tagged</v>
          </cell>
        </row>
        <row r="442">
          <cell r="W442">
            <v>0</v>
          </cell>
          <cell r="AB442" t="str">
            <v>line item not tagged</v>
          </cell>
        </row>
        <row r="443">
          <cell r="W443">
            <v>0</v>
          </cell>
          <cell r="AB443" t="str">
            <v>line item not tagged</v>
          </cell>
        </row>
        <row r="444">
          <cell r="W444">
            <v>0</v>
          </cell>
          <cell r="AB444" t="str">
            <v>line item not tagged</v>
          </cell>
        </row>
        <row r="445">
          <cell r="W445">
            <v>0</v>
          </cell>
          <cell r="AB445" t="str">
            <v>line item not tagged</v>
          </cell>
        </row>
        <row r="446">
          <cell r="W446">
            <v>0</v>
          </cell>
          <cell r="AB446" t="str">
            <v>line item not tagged</v>
          </cell>
        </row>
        <row r="447">
          <cell r="W447">
            <v>0</v>
          </cell>
          <cell r="AB447" t="str">
            <v>line item not tagged</v>
          </cell>
        </row>
        <row r="448">
          <cell r="W448">
            <v>0</v>
          </cell>
          <cell r="AB448" t="str">
            <v>line item not tagged</v>
          </cell>
        </row>
        <row r="449">
          <cell r="W449">
            <v>0</v>
          </cell>
          <cell r="AB449" t="str">
            <v>line item not tagged</v>
          </cell>
        </row>
        <row r="450">
          <cell r="W450">
            <v>0</v>
          </cell>
          <cell r="AB450" t="str">
            <v>line item not tagged</v>
          </cell>
        </row>
        <row r="451">
          <cell r="W451">
            <v>0</v>
          </cell>
          <cell r="AB451" t="str">
            <v>line item not tagged</v>
          </cell>
        </row>
        <row r="452">
          <cell r="W452">
            <v>0</v>
          </cell>
          <cell r="AB452" t="str">
            <v>line item not tagged</v>
          </cell>
        </row>
        <row r="453">
          <cell r="W453">
            <v>0</v>
          </cell>
          <cell r="AB453" t="str">
            <v>line item not tagged</v>
          </cell>
        </row>
        <row r="454">
          <cell r="W454">
            <v>0</v>
          </cell>
          <cell r="AB454" t="str">
            <v>line item not tagged</v>
          </cell>
        </row>
        <row r="455">
          <cell r="W455">
            <v>0</v>
          </cell>
          <cell r="AB455" t="str">
            <v>line item not tagged</v>
          </cell>
        </row>
        <row r="456">
          <cell r="W456">
            <v>0</v>
          </cell>
          <cell r="AB456" t="str">
            <v>line item not tagged</v>
          </cell>
        </row>
        <row r="457">
          <cell r="W457">
            <v>0</v>
          </cell>
          <cell r="AB457" t="str">
            <v>line item not tagged</v>
          </cell>
        </row>
        <row r="458">
          <cell r="W458">
            <v>0</v>
          </cell>
          <cell r="AB458" t="str">
            <v>line item not tagged</v>
          </cell>
        </row>
        <row r="459">
          <cell r="W459">
            <v>0</v>
          </cell>
          <cell r="AB459" t="str">
            <v>line item not tagged</v>
          </cell>
        </row>
        <row r="460">
          <cell r="W460">
            <v>0</v>
          </cell>
          <cell r="AB460" t="str">
            <v>line item not tagged</v>
          </cell>
        </row>
        <row r="461">
          <cell r="W461">
            <v>0</v>
          </cell>
          <cell r="AB461" t="str">
            <v>line item not tagged</v>
          </cell>
        </row>
        <row r="462">
          <cell r="W462">
            <v>0</v>
          </cell>
          <cell r="AB462" t="str">
            <v>line item not tagged</v>
          </cell>
        </row>
        <row r="463">
          <cell r="W463">
            <v>0</v>
          </cell>
          <cell r="AB463" t="str">
            <v>line item not tagged</v>
          </cell>
        </row>
        <row r="464">
          <cell r="W464">
            <v>0</v>
          </cell>
          <cell r="AB464" t="str">
            <v>line item not tagged</v>
          </cell>
        </row>
        <row r="465">
          <cell r="W465">
            <v>0</v>
          </cell>
          <cell r="AB465" t="str">
            <v>line item not tagged</v>
          </cell>
        </row>
        <row r="466">
          <cell r="W466">
            <v>0</v>
          </cell>
          <cell r="AB466" t="str">
            <v>line item not tagged</v>
          </cell>
        </row>
        <row r="467">
          <cell r="W467">
            <v>0</v>
          </cell>
          <cell r="AB467" t="str">
            <v>line item not tagged</v>
          </cell>
        </row>
        <row r="468">
          <cell r="W468">
            <v>0</v>
          </cell>
          <cell r="AB468" t="str">
            <v>line item not tagged</v>
          </cell>
        </row>
        <row r="469">
          <cell r="W469">
            <v>0</v>
          </cell>
          <cell r="AB469" t="str">
            <v>line item not tagged</v>
          </cell>
        </row>
        <row r="470">
          <cell r="W470">
            <v>0</v>
          </cell>
          <cell r="AB470" t="str">
            <v>line item not tagged</v>
          </cell>
        </row>
        <row r="471">
          <cell r="W471">
            <v>0</v>
          </cell>
          <cell r="AB471" t="str">
            <v>line item not tagged</v>
          </cell>
        </row>
        <row r="472">
          <cell r="W472">
            <v>0</v>
          </cell>
          <cell r="AB472" t="str">
            <v>line item not tagged</v>
          </cell>
        </row>
        <row r="473">
          <cell r="W473">
            <v>0</v>
          </cell>
          <cell r="AB473" t="str">
            <v>line item not tagged</v>
          </cell>
        </row>
        <row r="474">
          <cell r="W474">
            <v>0</v>
          </cell>
          <cell r="AB474" t="str">
            <v>line item not tagged</v>
          </cell>
        </row>
        <row r="475">
          <cell r="W475">
            <v>0</v>
          </cell>
          <cell r="AB475" t="str">
            <v>line item not tagged</v>
          </cell>
        </row>
        <row r="476">
          <cell r="W476">
            <v>0</v>
          </cell>
          <cell r="AB476" t="str">
            <v>line item not tagged</v>
          </cell>
        </row>
        <row r="477">
          <cell r="W477">
            <v>0</v>
          </cell>
          <cell r="AB477" t="str">
            <v>line item not tagged</v>
          </cell>
        </row>
        <row r="478">
          <cell r="W478">
            <v>0</v>
          </cell>
          <cell r="AB478" t="str">
            <v>line item not tagged</v>
          </cell>
        </row>
        <row r="479">
          <cell r="W479">
            <v>0</v>
          </cell>
          <cell r="AB479" t="str">
            <v>line item not tagged</v>
          </cell>
        </row>
        <row r="480">
          <cell r="W480">
            <v>0</v>
          </cell>
          <cell r="AB480" t="str">
            <v>line item not tagged</v>
          </cell>
        </row>
        <row r="481">
          <cell r="W481">
            <v>0</v>
          </cell>
          <cell r="AB481" t="str">
            <v>line item not tagged</v>
          </cell>
        </row>
        <row r="482">
          <cell r="W482">
            <v>0</v>
          </cell>
          <cell r="AB482" t="str">
            <v>line item not tagged</v>
          </cell>
        </row>
        <row r="483">
          <cell r="W483">
            <v>0</v>
          </cell>
          <cell r="AB483" t="str">
            <v>line item not tagged</v>
          </cell>
        </row>
        <row r="484">
          <cell r="W484">
            <v>0</v>
          </cell>
          <cell r="AB484" t="str">
            <v>line item not tagged</v>
          </cell>
        </row>
        <row r="485">
          <cell r="W485">
            <v>0</v>
          </cell>
          <cell r="AB485" t="str">
            <v>line item not tagged</v>
          </cell>
        </row>
        <row r="486">
          <cell r="W486">
            <v>0</v>
          </cell>
          <cell r="AB486" t="str">
            <v>line item not tagged</v>
          </cell>
        </row>
        <row r="487">
          <cell r="W487">
            <v>0</v>
          </cell>
          <cell r="AB487" t="str">
            <v>line item not tagged</v>
          </cell>
        </row>
        <row r="488">
          <cell r="W488">
            <v>0</v>
          </cell>
          <cell r="AB488" t="str">
            <v>line item not tagged</v>
          </cell>
        </row>
        <row r="489">
          <cell r="W489">
            <v>0</v>
          </cell>
          <cell r="AB489" t="str">
            <v>line item not tagged</v>
          </cell>
        </row>
        <row r="490">
          <cell r="W490">
            <v>0</v>
          </cell>
          <cell r="AB490" t="str">
            <v>line item not tagged</v>
          </cell>
        </row>
        <row r="491">
          <cell r="W491">
            <v>0</v>
          </cell>
          <cell r="AB491" t="str">
            <v>line item not tagged</v>
          </cell>
        </row>
        <row r="492">
          <cell r="W492">
            <v>0</v>
          </cell>
          <cell r="AB492" t="str">
            <v>line item not tagged</v>
          </cell>
        </row>
        <row r="493">
          <cell r="W493">
            <v>0</v>
          </cell>
          <cell r="AB493" t="str">
            <v>line item not tagged</v>
          </cell>
        </row>
        <row r="494">
          <cell r="W494">
            <v>0</v>
          </cell>
          <cell r="AB494" t="str">
            <v>line item not tagged</v>
          </cell>
        </row>
        <row r="495">
          <cell r="W495">
            <v>0</v>
          </cell>
          <cell r="AB495" t="str">
            <v>line item not tagged</v>
          </cell>
        </row>
        <row r="496">
          <cell r="W496">
            <v>0</v>
          </cell>
          <cell r="AB496" t="str">
            <v>line item not tagged</v>
          </cell>
        </row>
        <row r="497">
          <cell r="W497">
            <v>0</v>
          </cell>
          <cell r="AB497" t="str">
            <v>line item not tagged</v>
          </cell>
        </row>
        <row r="498">
          <cell r="W498">
            <v>0</v>
          </cell>
          <cell r="AB498" t="str">
            <v>line item not tagged</v>
          </cell>
        </row>
        <row r="499">
          <cell r="W499">
            <v>0</v>
          </cell>
          <cell r="AB499" t="str">
            <v>line item not tagged</v>
          </cell>
        </row>
        <row r="500">
          <cell r="W500">
            <v>0</v>
          </cell>
          <cell r="AB500" t="str">
            <v>line item not tagged</v>
          </cell>
        </row>
        <row r="501">
          <cell r="W501">
            <v>0</v>
          </cell>
          <cell r="AB501" t="str">
            <v>line item not tagged</v>
          </cell>
        </row>
        <row r="502">
          <cell r="W502">
            <v>0</v>
          </cell>
          <cell r="AB502" t="str">
            <v>line item not tagged</v>
          </cell>
        </row>
        <row r="503">
          <cell r="W503">
            <v>0</v>
          </cell>
          <cell r="AB503" t="str">
            <v>line item not tagged</v>
          </cell>
        </row>
        <row r="504">
          <cell r="W504">
            <v>0</v>
          </cell>
          <cell r="AB504" t="str">
            <v>line item not tagged</v>
          </cell>
        </row>
        <row r="505">
          <cell r="W505">
            <v>0</v>
          </cell>
          <cell r="AB505" t="str">
            <v>line item not tagged</v>
          </cell>
        </row>
        <row r="506">
          <cell r="W506">
            <v>0</v>
          </cell>
          <cell r="AB506" t="str">
            <v>line item not tagged</v>
          </cell>
        </row>
        <row r="507">
          <cell r="W507">
            <v>0</v>
          </cell>
          <cell r="AB507" t="str">
            <v>line item not tagged</v>
          </cell>
        </row>
        <row r="508">
          <cell r="W508">
            <v>0</v>
          </cell>
          <cell r="AB508" t="str">
            <v>line item not tagged</v>
          </cell>
        </row>
        <row r="509">
          <cell r="W509">
            <v>0</v>
          </cell>
          <cell r="AB509" t="str">
            <v>line item not tagged</v>
          </cell>
        </row>
        <row r="510">
          <cell r="W510">
            <v>0</v>
          </cell>
          <cell r="AB510" t="str">
            <v>line item not tagged</v>
          </cell>
        </row>
        <row r="511">
          <cell r="W511">
            <v>0</v>
          </cell>
          <cell r="AB511" t="str">
            <v>line item not tagged</v>
          </cell>
        </row>
        <row r="512">
          <cell r="W512">
            <v>0</v>
          </cell>
          <cell r="AB512" t="str">
            <v>line item not tagged</v>
          </cell>
        </row>
        <row r="513">
          <cell r="W513">
            <v>0</v>
          </cell>
          <cell r="AB513" t="str">
            <v>line item not tagged</v>
          </cell>
        </row>
        <row r="514">
          <cell r="W514">
            <v>0</v>
          </cell>
          <cell r="AB514" t="str">
            <v>line item not tagged</v>
          </cell>
        </row>
        <row r="515">
          <cell r="W515">
            <v>0</v>
          </cell>
          <cell r="AB515" t="str">
            <v>line item not tagged</v>
          </cell>
        </row>
        <row r="516">
          <cell r="W516">
            <v>0</v>
          </cell>
          <cell r="AB516" t="str">
            <v>line item not tagged</v>
          </cell>
        </row>
        <row r="517">
          <cell r="W517">
            <v>0</v>
          </cell>
          <cell r="AB517" t="str">
            <v>line item not tagged</v>
          </cell>
        </row>
        <row r="518">
          <cell r="W518">
            <v>0</v>
          </cell>
          <cell r="AB518" t="str">
            <v>line item not tagged</v>
          </cell>
        </row>
        <row r="519">
          <cell r="W519">
            <v>0</v>
          </cell>
          <cell r="AB519" t="str">
            <v>line item not tagged</v>
          </cell>
        </row>
        <row r="520">
          <cell r="W520">
            <v>0</v>
          </cell>
          <cell r="AB520" t="str">
            <v>line item not tagged</v>
          </cell>
        </row>
        <row r="521">
          <cell r="W521">
            <v>0</v>
          </cell>
          <cell r="AB521" t="str">
            <v>line item not tagged</v>
          </cell>
        </row>
        <row r="522">
          <cell r="W522">
            <v>0</v>
          </cell>
          <cell r="AB522" t="str">
            <v>line item not tagged</v>
          </cell>
        </row>
        <row r="523">
          <cell r="W523">
            <v>0</v>
          </cell>
          <cell r="AB523" t="str">
            <v>line item not tagged</v>
          </cell>
        </row>
        <row r="524">
          <cell r="W524">
            <v>0</v>
          </cell>
          <cell r="AB524" t="str">
            <v>line item not tagged</v>
          </cell>
        </row>
        <row r="525">
          <cell r="W525">
            <v>0</v>
          </cell>
          <cell r="AB525" t="str">
            <v>line item not tagged</v>
          </cell>
        </row>
        <row r="526">
          <cell r="W526">
            <v>0</v>
          </cell>
          <cell r="AB526" t="str">
            <v>line item not tagged</v>
          </cell>
        </row>
        <row r="527">
          <cell r="W527">
            <v>0</v>
          </cell>
          <cell r="AB527" t="str">
            <v>line item not tagged</v>
          </cell>
        </row>
        <row r="528">
          <cell r="W528">
            <v>0</v>
          </cell>
          <cell r="AB528" t="str">
            <v>line item not tagged</v>
          </cell>
        </row>
        <row r="529">
          <cell r="W529">
            <v>0</v>
          </cell>
          <cell r="AB529" t="str">
            <v>line item not tagged</v>
          </cell>
        </row>
        <row r="530">
          <cell r="W530">
            <v>0</v>
          </cell>
          <cell r="AB530" t="str">
            <v>line item not tagged</v>
          </cell>
        </row>
        <row r="531">
          <cell r="W531">
            <v>0</v>
          </cell>
          <cell r="AB531" t="str">
            <v>line item not tagged</v>
          </cell>
        </row>
        <row r="532">
          <cell r="W532">
            <v>0</v>
          </cell>
          <cell r="AB532" t="str">
            <v>line item not tagged</v>
          </cell>
        </row>
        <row r="533">
          <cell r="W533">
            <v>0</v>
          </cell>
          <cell r="AB533" t="str">
            <v>line item not tagged</v>
          </cell>
        </row>
        <row r="534">
          <cell r="W534">
            <v>0</v>
          </cell>
          <cell r="AB534" t="str">
            <v>line item not tagged</v>
          </cell>
        </row>
        <row r="535">
          <cell r="W535">
            <v>0</v>
          </cell>
          <cell r="AB535" t="str">
            <v>line item not tagged</v>
          </cell>
        </row>
        <row r="536">
          <cell r="W536">
            <v>0</v>
          </cell>
          <cell r="AB536" t="str">
            <v>line item not tagged</v>
          </cell>
        </row>
        <row r="537">
          <cell r="W537">
            <v>0</v>
          </cell>
          <cell r="AB537" t="str">
            <v>line item not tagged</v>
          </cell>
        </row>
        <row r="538">
          <cell r="W538">
            <v>0</v>
          </cell>
          <cell r="AB538" t="str">
            <v>line item not tagged</v>
          </cell>
        </row>
        <row r="539">
          <cell r="W539">
            <v>0</v>
          </cell>
          <cell r="AB539" t="str">
            <v>line item not tagged</v>
          </cell>
        </row>
        <row r="540">
          <cell r="W540">
            <v>0</v>
          </cell>
          <cell r="AB540" t="str">
            <v>line item not tagged</v>
          </cell>
        </row>
        <row r="541">
          <cell r="W541">
            <v>0</v>
          </cell>
          <cell r="AB541" t="str">
            <v>line item not tagged</v>
          </cell>
        </row>
        <row r="542">
          <cell r="W542">
            <v>0</v>
          </cell>
          <cell r="AB542" t="str">
            <v>line item not tagged</v>
          </cell>
        </row>
        <row r="543">
          <cell r="W543">
            <v>0</v>
          </cell>
          <cell r="AB543" t="str">
            <v>line item not tagged</v>
          </cell>
        </row>
        <row r="544">
          <cell r="W544">
            <v>0</v>
          </cell>
          <cell r="AB544" t="str">
            <v>line item not tagged</v>
          </cell>
        </row>
        <row r="545">
          <cell r="W545">
            <v>0</v>
          </cell>
          <cell r="AB545" t="str">
            <v>line item not tagged</v>
          </cell>
        </row>
        <row r="546">
          <cell r="W546">
            <v>0</v>
          </cell>
          <cell r="AB546" t="str">
            <v>line item not tagged</v>
          </cell>
        </row>
        <row r="547">
          <cell r="W547">
            <v>0</v>
          </cell>
          <cell r="AB547" t="str">
            <v>line item not tagged</v>
          </cell>
        </row>
        <row r="548">
          <cell r="W548">
            <v>0</v>
          </cell>
          <cell r="AB548" t="str">
            <v>line item not tagged</v>
          </cell>
        </row>
        <row r="549">
          <cell r="W549">
            <v>0</v>
          </cell>
          <cell r="AB549" t="str">
            <v>line item not tagged</v>
          </cell>
        </row>
        <row r="550">
          <cell r="W550">
            <v>0</v>
          </cell>
          <cell r="AB550" t="str">
            <v>line item not tagged</v>
          </cell>
        </row>
        <row r="551">
          <cell r="W551">
            <v>0</v>
          </cell>
          <cell r="AB551" t="str">
            <v>line item not tagged</v>
          </cell>
        </row>
        <row r="552">
          <cell r="W552">
            <v>0</v>
          </cell>
          <cell r="AB552" t="str">
            <v>line item not tagged</v>
          </cell>
        </row>
        <row r="553">
          <cell r="W553">
            <v>0</v>
          </cell>
          <cell r="AB553" t="str">
            <v>line item not tagged</v>
          </cell>
        </row>
        <row r="554">
          <cell r="W554">
            <v>0</v>
          </cell>
          <cell r="AB554" t="str">
            <v>line item not tagged</v>
          </cell>
        </row>
        <row r="555">
          <cell r="W555">
            <v>0</v>
          </cell>
          <cell r="AB555" t="str">
            <v>line item not tagged</v>
          </cell>
        </row>
        <row r="556">
          <cell r="W556">
            <v>0</v>
          </cell>
          <cell r="AB556" t="str">
            <v>line item not tagged</v>
          </cell>
        </row>
        <row r="557">
          <cell r="W557">
            <v>0</v>
          </cell>
          <cell r="AB557" t="str">
            <v>line item not tagged</v>
          </cell>
        </row>
        <row r="558">
          <cell r="W558">
            <v>0</v>
          </cell>
          <cell r="AB558" t="str">
            <v>line item not tagged</v>
          </cell>
        </row>
        <row r="559">
          <cell r="W559">
            <v>0</v>
          </cell>
          <cell r="AB559" t="str">
            <v>line item not tagged</v>
          </cell>
        </row>
        <row r="560">
          <cell r="W560">
            <v>0</v>
          </cell>
          <cell r="AB560" t="str">
            <v>line item not tagged</v>
          </cell>
        </row>
        <row r="561">
          <cell r="W561">
            <v>0</v>
          </cell>
          <cell r="AB561" t="str">
            <v>line item not tagged</v>
          </cell>
        </row>
        <row r="562">
          <cell r="W562">
            <v>0</v>
          </cell>
          <cell r="AB562" t="str">
            <v>line item not tagged</v>
          </cell>
        </row>
        <row r="563">
          <cell r="W563">
            <v>0</v>
          </cell>
          <cell r="AB563" t="str">
            <v>line item not tagged</v>
          </cell>
        </row>
        <row r="564">
          <cell r="W564">
            <v>0</v>
          </cell>
          <cell r="AB564" t="str">
            <v>line item not tagged</v>
          </cell>
        </row>
        <row r="565">
          <cell r="W565">
            <v>0</v>
          </cell>
          <cell r="AB565" t="str">
            <v>line item not tagged</v>
          </cell>
        </row>
        <row r="566">
          <cell r="W566">
            <v>0</v>
          </cell>
          <cell r="AB566" t="str">
            <v>line item not tagged</v>
          </cell>
        </row>
        <row r="567">
          <cell r="W567">
            <v>0</v>
          </cell>
          <cell r="AB567" t="str">
            <v>line item not tagged</v>
          </cell>
        </row>
        <row r="568">
          <cell r="W568">
            <v>0</v>
          </cell>
          <cell r="AB568" t="str">
            <v>line item not tagged</v>
          </cell>
        </row>
        <row r="569">
          <cell r="W569">
            <v>0</v>
          </cell>
          <cell r="AB569" t="str">
            <v>line item not tagged</v>
          </cell>
        </row>
        <row r="570">
          <cell r="W570">
            <v>0</v>
          </cell>
          <cell r="AB570" t="str">
            <v>line item not tagged</v>
          </cell>
        </row>
        <row r="571">
          <cell r="W571">
            <v>0</v>
          </cell>
          <cell r="AB571" t="str">
            <v>line item not tagged</v>
          </cell>
        </row>
        <row r="572">
          <cell r="W572">
            <v>0</v>
          </cell>
          <cell r="AB572" t="str">
            <v>line item not tagged</v>
          </cell>
        </row>
        <row r="573">
          <cell r="W573">
            <v>0</v>
          </cell>
          <cell r="AB573" t="str">
            <v>line item not tagged</v>
          </cell>
        </row>
        <row r="574">
          <cell r="W574">
            <v>0</v>
          </cell>
          <cell r="AB574" t="str">
            <v>line item not tagged</v>
          </cell>
        </row>
        <row r="575">
          <cell r="W575">
            <v>0</v>
          </cell>
          <cell r="AB575" t="str">
            <v>line item not tagged</v>
          </cell>
        </row>
        <row r="576">
          <cell r="W576">
            <v>0</v>
          </cell>
          <cell r="AB576" t="str">
            <v>line item not tagged</v>
          </cell>
        </row>
        <row r="577">
          <cell r="W577">
            <v>0</v>
          </cell>
          <cell r="AB577" t="str">
            <v>line item not tagged</v>
          </cell>
        </row>
        <row r="578">
          <cell r="W578">
            <v>0</v>
          </cell>
          <cell r="AB578" t="str">
            <v>line item not tagged</v>
          </cell>
        </row>
        <row r="579">
          <cell r="W579">
            <v>0</v>
          </cell>
          <cell r="AB579" t="str">
            <v>line item not tagged</v>
          </cell>
        </row>
        <row r="580">
          <cell r="W580">
            <v>0</v>
          </cell>
          <cell r="AB580" t="str">
            <v>line item not tagged</v>
          </cell>
        </row>
        <row r="581">
          <cell r="W581">
            <v>0</v>
          </cell>
          <cell r="AB581" t="str">
            <v>line item not tagged</v>
          </cell>
        </row>
        <row r="582">
          <cell r="W582">
            <v>0</v>
          </cell>
          <cell r="AB582" t="str">
            <v>line item not tagged</v>
          </cell>
        </row>
        <row r="583">
          <cell r="W583">
            <v>0</v>
          </cell>
          <cell r="AB583" t="str">
            <v>line item not tagged</v>
          </cell>
        </row>
        <row r="584">
          <cell r="W584">
            <v>0</v>
          </cell>
          <cell r="AB584" t="str">
            <v>line item not tagged</v>
          </cell>
        </row>
        <row r="585">
          <cell r="W585">
            <v>0</v>
          </cell>
          <cell r="AB585" t="str">
            <v>line item not tagged</v>
          </cell>
        </row>
        <row r="586">
          <cell r="W586">
            <v>0</v>
          </cell>
          <cell r="AB586" t="str">
            <v>line item not tagged</v>
          </cell>
        </row>
        <row r="587">
          <cell r="W587">
            <v>0</v>
          </cell>
          <cell r="AB587" t="str">
            <v>line item not tagged</v>
          </cell>
        </row>
        <row r="588">
          <cell r="W588">
            <v>0</v>
          </cell>
          <cell r="AB588" t="str">
            <v>line item not tagged</v>
          </cell>
        </row>
        <row r="589">
          <cell r="W589">
            <v>0</v>
          </cell>
          <cell r="AB589" t="str">
            <v>line item not tagged</v>
          </cell>
        </row>
        <row r="590">
          <cell r="W590">
            <v>0</v>
          </cell>
          <cell r="AB590" t="str">
            <v>line item not tagged</v>
          </cell>
        </row>
        <row r="591">
          <cell r="W591">
            <v>0</v>
          </cell>
          <cell r="AB591" t="str">
            <v>line item not tagged</v>
          </cell>
        </row>
        <row r="592">
          <cell r="W592">
            <v>0</v>
          </cell>
          <cell r="AB592" t="str">
            <v>line item not tagged</v>
          </cell>
        </row>
        <row r="593">
          <cell r="W593">
            <v>0</v>
          </cell>
          <cell r="AB593" t="str">
            <v>line item not tagged</v>
          </cell>
        </row>
        <row r="594">
          <cell r="W594">
            <v>0</v>
          </cell>
          <cell r="AB594" t="str">
            <v>line item not tagged</v>
          </cell>
        </row>
        <row r="595">
          <cell r="W595">
            <v>0</v>
          </cell>
          <cell r="AB595" t="str">
            <v>line item not tagged</v>
          </cell>
        </row>
        <row r="596">
          <cell r="W596">
            <v>0</v>
          </cell>
          <cell r="AB596" t="str">
            <v>line item not tagged</v>
          </cell>
        </row>
        <row r="597">
          <cell r="W597">
            <v>0</v>
          </cell>
          <cell r="AB597" t="str">
            <v>line item not tagged</v>
          </cell>
        </row>
        <row r="598">
          <cell r="W598">
            <v>0</v>
          </cell>
          <cell r="AB598" t="str">
            <v>line item not tagged</v>
          </cell>
        </row>
        <row r="599">
          <cell r="W599">
            <v>0</v>
          </cell>
          <cell r="AB599" t="str">
            <v>line item not tagged</v>
          </cell>
        </row>
        <row r="600">
          <cell r="W600">
            <v>0</v>
          </cell>
          <cell r="AB600" t="str">
            <v>line item not tagged</v>
          </cell>
        </row>
        <row r="601">
          <cell r="W601">
            <v>0</v>
          </cell>
          <cell r="AB601" t="str">
            <v>line item not tagged</v>
          </cell>
        </row>
        <row r="602">
          <cell r="W602">
            <v>0</v>
          </cell>
          <cell r="AB602" t="str">
            <v>line item not tagged</v>
          </cell>
        </row>
        <row r="603">
          <cell r="W603">
            <v>0</v>
          </cell>
          <cell r="AB603" t="str">
            <v>line item not tagged</v>
          </cell>
        </row>
        <row r="604">
          <cell r="W604">
            <v>0</v>
          </cell>
          <cell r="AB604" t="str">
            <v>line item not tagged</v>
          </cell>
        </row>
        <row r="605">
          <cell r="W605">
            <v>0</v>
          </cell>
          <cell r="AB605" t="str">
            <v>line item not tagged</v>
          </cell>
        </row>
        <row r="606">
          <cell r="W606">
            <v>0</v>
          </cell>
          <cell r="AB606" t="str">
            <v>line item not tagged</v>
          </cell>
        </row>
        <row r="607">
          <cell r="W607">
            <v>0</v>
          </cell>
          <cell r="AB607" t="str">
            <v>line item not tagged</v>
          </cell>
        </row>
        <row r="608">
          <cell r="W608">
            <v>0</v>
          </cell>
          <cell r="AB608" t="str">
            <v>line item not tagged</v>
          </cell>
        </row>
        <row r="609">
          <cell r="W609">
            <v>0</v>
          </cell>
          <cell r="AB609" t="str">
            <v>line item not tagged</v>
          </cell>
        </row>
        <row r="610">
          <cell r="W610">
            <v>0</v>
          </cell>
          <cell r="AB610" t="str">
            <v>line item not tagged</v>
          </cell>
        </row>
        <row r="611">
          <cell r="W611">
            <v>0</v>
          </cell>
          <cell r="AB611" t="str">
            <v>line item not tagged</v>
          </cell>
        </row>
        <row r="612">
          <cell r="W612">
            <v>0</v>
          </cell>
          <cell r="AB612" t="str">
            <v>line item not tagged</v>
          </cell>
        </row>
        <row r="613">
          <cell r="W613">
            <v>0</v>
          </cell>
          <cell r="AB613" t="str">
            <v>line item not tagged</v>
          </cell>
        </row>
        <row r="614">
          <cell r="W614">
            <v>0</v>
          </cell>
          <cell r="AB614" t="str">
            <v>line item not tagged</v>
          </cell>
        </row>
        <row r="615">
          <cell r="W615">
            <v>0</v>
          </cell>
          <cell r="AB615" t="str">
            <v>line item not tagged</v>
          </cell>
        </row>
        <row r="616">
          <cell r="W616">
            <v>0</v>
          </cell>
          <cell r="AB616" t="str">
            <v>line item not tagged</v>
          </cell>
        </row>
        <row r="617">
          <cell r="W617">
            <v>0</v>
          </cell>
          <cell r="AB617" t="str">
            <v>line item not tagged</v>
          </cell>
        </row>
        <row r="618">
          <cell r="W618">
            <v>0</v>
          </cell>
          <cell r="AB618" t="str">
            <v>line item not tagged</v>
          </cell>
        </row>
        <row r="619">
          <cell r="W619">
            <v>0</v>
          </cell>
          <cell r="AB619" t="str">
            <v>line item not tagged</v>
          </cell>
        </row>
        <row r="620">
          <cell r="W620">
            <v>0</v>
          </cell>
          <cell r="AB620" t="str">
            <v>line item not tagged</v>
          </cell>
        </row>
        <row r="621">
          <cell r="W621">
            <v>0</v>
          </cell>
          <cell r="AB621" t="str">
            <v>line item not tagged</v>
          </cell>
        </row>
        <row r="622">
          <cell r="W622">
            <v>0</v>
          </cell>
          <cell r="AB622" t="str">
            <v>line item not tagged</v>
          </cell>
        </row>
        <row r="623">
          <cell r="W623">
            <v>0</v>
          </cell>
          <cell r="AB623" t="str">
            <v>line item not tagged</v>
          </cell>
        </row>
        <row r="624">
          <cell r="W624">
            <v>0</v>
          </cell>
          <cell r="AB624" t="str">
            <v>line item not tagged</v>
          </cell>
        </row>
        <row r="625">
          <cell r="W625">
            <v>0</v>
          </cell>
          <cell r="AB625" t="str">
            <v>line item not tagged</v>
          </cell>
        </row>
        <row r="626">
          <cell r="W626">
            <v>0</v>
          </cell>
          <cell r="AB626" t="str">
            <v>line item not tagged</v>
          </cell>
        </row>
        <row r="627">
          <cell r="W627">
            <v>0</v>
          </cell>
          <cell r="AB627" t="str">
            <v>line item not tagged</v>
          </cell>
        </row>
        <row r="628">
          <cell r="W628">
            <v>0</v>
          </cell>
          <cell r="AB628" t="str">
            <v>line item not tagged</v>
          </cell>
        </row>
        <row r="629">
          <cell r="W629">
            <v>0</v>
          </cell>
          <cell r="AB629" t="str">
            <v>line item not tagged</v>
          </cell>
        </row>
        <row r="630">
          <cell r="W630">
            <v>0</v>
          </cell>
          <cell r="AB630" t="str">
            <v>line item not tagged</v>
          </cell>
        </row>
        <row r="631">
          <cell r="W631">
            <v>0</v>
          </cell>
          <cell r="AB631" t="str">
            <v>line item not tagged</v>
          </cell>
        </row>
        <row r="632">
          <cell r="W632">
            <v>0</v>
          </cell>
          <cell r="AB632" t="str">
            <v>line item not tagged</v>
          </cell>
        </row>
        <row r="633">
          <cell r="W633">
            <v>0</v>
          </cell>
          <cell r="AB633" t="str">
            <v>line item not tagged</v>
          </cell>
        </row>
        <row r="634">
          <cell r="W634">
            <v>0</v>
          </cell>
          <cell r="AB634" t="str">
            <v>line item not tagged</v>
          </cell>
        </row>
        <row r="635">
          <cell r="W635">
            <v>0</v>
          </cell>
          <cell r="AB635" t="str">
            <v>line item not tagged</v>
          </cell>
        </row>
        <row r="636">
          <cell r="W636">
            <v>0</v>
          </cell>
          <cell r="AB636" t="str">
            <v>line item not tagged</v>
          </cell>
        </row>
        <row r="637">
          <cell r="W637">
            <v>0</v>
          </cell>
          <cell r="AB637" t="str">
            <v>line item not tagged</v>
          </cell>
        </row>
        <row r="638">
          <cell r="W638">
            <v>0</v>
          </cell>
          <cell r="AB638" t="str">
            <v>line item not tagged</v>
          </cell>
        </row>
        <row r="639">
          <cell r="W639">
            <v>0</v>
          </cell>
          <cell r="AB639" t="str">
            <v>line item not tagged</v>
          </cell>
        </row>
        <row r="640">
          <cell r="W640">
            <v>0</v>
          </cell>
          <cell r="AB640" t="str">
            <v>line item not tagged</v>
          </cell>
        </row>
        <row r="641">
          <cell r="W641">
            <v>0</v>
          </cell>
          <cell r="AB641" t="str">
            <v>line item not tagged</v>
          </cell>
        </row>
        <row r="642">
          <cell r="W642">
            <v>0</v>
          </cell>
          <cell r="AB642" t="str">
            <v>line item not tagged</v>
          </cell>
        </row>
        <row r="643">
          <cell r="W643">
            <v>0</v>
          </cell>
          <cell r="AB643" t="str">
            <v>line item not tagged</v>
          </cell>
        </row>
        <row r="644">
          <cell r="W644">
            <v>0</v>
          </cell>
          <cell r="AB644" t="str">
            <v>line item not tagged</v>
          </cell>
        </row>
        <row r="645">
          <cell r="W645">
            <v>0</v>
          </cell>
          <cell r="AB645" t="str">
            <v>line item not tagged</v>
          </cell>
        </row>
        <row r="646">
          <cell r="W646">
            <v>0</v>
          </cell>
          <cell r="AB646" t="str">
            <v>line item not tagged</v>
          </cell>
        </row>
        <row r="647">
          <cell r="W647">
            <v>0</v>
          </cell>
          <cell r="AB647" t="str">
            <v>line item not tagged</v>
          </cell>
        </row>
        <row r="648">
          <cell r="W648">
            <v>0</v>
          </cell>
          <cell r="AB648" t="str">
            <v>line item not tagged</v>
          </cell>
        </row>
        <row r="649">
          <cell r="W649">
            <v>0</v>
          </cell>
          <cell r="AB649" t="str">
            <v>line item not tagged</v>
          </cell>
        </row>
        <row r="650">
          <cell r="W650">
            <v>0</v>
          </cell>
          <cell r="AB650" t="str">
            <v>line item not tagged</v>
          </cell>
        </row>
        <row r="651">
          <cell r="W651">
            <v>0</v>
          </cell>
          <cell r="AB651" t="str">
            <v>line item not tagged</v>
          </cell>
        </row>
        <row r="652">
          <cell r="W652">
            <v>0</v>
          </cell>
          <cell r="AB652" t="str">
            <v>line item not tagged</v>
          </cell>
        </row>
        <row r="653">
          <cell r="W653">
            <v>0</v>
          </cell>
          <cell r="AB653" t="str">
            <v>line item not tagged</v>
          </cell>
        </row>
        <row r="654">
          <cell r="W654">
            <v>0</v>
          </cell>
          <cell r="AB654" t="str">
            <v>line item not tagged</v>
          </cell>
        </row>
        <row r="655">
          <cell r="W655">
            <v>0</v>
          </cell>
          <cell r="AB655" t="str">
            <v>line item not tagged</v>
          </cell>
        </row>
        <row r="656">
          <cell r="W656">
            <v>0</v>
          </cell>
          <cell r="AB656" t="str">
            <v>line item not tagged</v>
          </cell>
        </row>
        <row r="657">
          <cell r="W657">
            <v>0</v>
          </cell>
          <cell r="AB657" t="str">
            <v>line item not tagged</v>
          </cell>
        </row>
        <row r="658">
          <cell r="W658">
            <v>0</v>
          </cell>
          <cell r="AB658" t="str">
            <v>line item not tagged</v>
          </cell>
        </row>
        <row r="659">
          <cell r="W659">
            <v>0</v>
          </cell>
          <cell r="AB659" t="str">
            <v>line item not tagged</v>
          </cell>
        </row>
        <row r="660">
          <cell r="W660">
            <v>0</v>
          </cell>
          <cell r="AB660" t="str">
            <v>line item not tagged</v>
          </cell>
        </row>
        <row r="661">
          <cell r="W661">
            <v>0</v>
          </cell>
          <cell r="AB661" t="str">
            <v>line item not tagged</v>
          </cell>
        </row>
        <row r="662">
          <cell r="W662">
            <v>0</v>
          </cell>
          <cell r="AB662" t="str">
            <v>line item not tagged</v>
          </cell>
        </row>
        <row r="663">
          <cell r="W663">
            <v>0</v>
          </cell>
          <cell r="AB663" t="str">
            <v>line item not tagged</v>
          </cell>
        </row>
        <row r="664">
          <cell r="W664">
            <v>0</v>
          </cell>
          <cell r="AB664" t="str">
            <v>line item not tagged</v>
          </cell>
        </row>
        <row r="665">
          <cell r="W665">
            <v>0</v>
          </cell>
          <cell r="AB665" t="str">
            <v>line item not tagged</v>
          </cell>
        </row>
        <row r="666">
          <cell r="W666">
            <v>0</v>
          </cell>
          <cell r="AB666" t="str">
            <v>line item not tagged</v>
          </cell>
        </row>
        <row r="667">
          <cell r="W667">
            <v>0</v>
          </cell>
          <cell r="AB667" t="str">
            <v>line item not tagged</v>
          </cell>
        </row>
        <row r="668">
          <cell r="W668">
            <v>0</v>
          </cell>
          <cell r="AB668" t="str">
            <v>line item not tagged</v>
          </cell>
        </row>
        <row r="669">
          <cell r="W669">
            <v>0</v>
          </cell>
          <cell r="AB669" t="str">
            <v>line item not tagged</v>
          </cell>
        </row>
        <row r="670">
          <cell r="W670">
            <v>0</v>
          </cell>
          <cell r="AB670" t="str">
            <v>line item not tagged</v>
          </cell>
        </row>
        <row r="671">
          <cell r="W671">
            <v>0</v>
          </cell>
          <cell r="AB671" t="str">
            <v>line item not tagged</v>
          </cell>
        </row>
        <row r="672">
          <cell r="W672">
            <v>0</v>
          </cell>
          <cell r="AB672" t="str">
            <v>line item not tagged</v>
          </cell>
        </row>
        <row r="673">
          <cell r="W673">
            <v>0</v>
          </cell>
          <cell r="AB673" t="str">
            <v>line item not tagged</v>
          </cell>
        </row>
        <row r="674">
          <cell r="W674">
            <v>0</v>
          </cell>
          <cell r="AB674" t="str">
            <v>line item not tagged</v>
          </cell>
        </row>
        <row r="675">
          <cell r="W675">
            <v>0</v>
          </cell>
          <cell r="AB675" t="str">
            <v>line item not tagged</v>
          </cell>
        </row>
        <row r="676">
          <cell r="W676">
            <v>0</v>
          </cell>
          <cell r="AB676" t="str">
            <v>line item not tagged</v>
          </cell>
        </row>
        <row r="677">
          <cell r="W677">
            <v>0</v>
          </cell>
          <cell r="AB677" t="str">
            <v>line item not tagged</v>
          </cell>
        </row>
        <row r="678">
          <cell r="W678">
            <v>0</v>
          </cell>
          <cell r="AB678" t="str">
            <v>line item not tagged</v>
          </cell>
        </row>
        <row r="679">
          <cell r="W679">
            <v>0</v>
          </cell>
          <cell r="AB679" t="str">
            <v>line item not tagged</v>
          </cell>
        </row>
        <row r="680">
          <cell r="W680">
            <v>0</v>
          </cell>
          <cell r="AB680" t="str">
            <v>line item not tagged</v>
          </cell>
        </row>
        <row r="681">
          <cell r="W681">
            <v>0</v>
          </cell>
          <cell r="AB681" t="str">
            <v>line item not tagged</v>
          </cell>
        </row>
        <row r="682">
          <cell r="W682">
            <v>0</v>
          </cell>
          <cell r="AB682" t="str">
            <v>line item not tagged</v>
          </cell>
        </row>
        <row r="683">
          <cell r="W683">
            <v>0</v>
          </cell>
          <cell r="AB683" t="str">
            <v>line item not tagged</v>
          </cell>
        </row>
        <row r="684">
          <cell r="W684">
            <v>0</v>
          </cell>
          <cell r="AB684" t="str">
            <v>line item not tagged</v>
          </cell>
        </row>
        <row r="685">
          <cell r="W685">
            <v>0</v>
          </cell>
          <cell r="AB685" t="str">
            <v>line item not tagged</v>
          </cell>
        </row>
        <row r="686">
          <cell r="W686">
            <v>0</v>
          </cell>
          <cell r="AB686" t="str">
            <v>line item not tagged</v>
          </cell>
        </row>
        <row r="687">
          <cell r="W687">
            <v>0</v>
          </cell>
          <cell r="AB687" t="str">
            <v>line item not tagged</v>
          </cell>
        </row>
        <row r="688">
          <cell r="W688">
            <v>0</v>
          </cell>
          <cell r="AB688" t="str">
            <v>line item not tagged</v>
          </cell>
        </row>
        <row r="689">
          <cell r="W689">
            <v>0</v>
          </cell>
          <cell r="AB689" t="str">
            <v>line item not tagged</v>
          </cell>
        </row>
        <row r="690">
          <cell r="W690">
            <v>0</v>
          </cell>
          <cell r="AB690" t="str">
            <v>line item not tagged</v>
          </cell>
        </row>
        <row r="691">
          <cell r="W691">
            <v>0</v>
          </cell>
          <cell r="AB691" t="str">
            <v>line item not tagged</v>
          </cell>
        </row>
        <row r="692">
          <cell r="W692">
            <v>0</v>
          </cell>
          <cell r="AB692" t="str">
            <v>line item not tagged</v>
          </cell>
        </row>
        <row r="693">
          <cell r="W693">
            <v>0</v>
          </cell>
          <cell r="AB693" t="str">
            <v>line item not tagged</v>
          </cell>
        </row>
        <row r="694">
          <cell r="W694">
            <v>0</v>
          </cell>
          <cell r="AB694" t="str">
            <v>line item not tagged</v>
          </cell>
        </row>
        <row r="695">
          <cell r="W695">
            <v>0</v>
          </cell>
          <cell r="AB695" t="str">
            <v>line item not tagged</v>
          </cell>
        </row>
        <row r="696">
          <cell r="W696">
            <v>0</v>
          </cell>
          <cell r="AB696" t="str">
            <v>line item not tagged</v>
          </cell>
        </row>
        <row r="697">
          <cell r="W697">
            <v>0</v>
          </cell>
          <cell r="AB697" t="str">
            <v>line item not tagged</v>
          </cell>
        </row>
        <row r="698">
          <cell r="W698">
            <v>0</v>
          </cell>
          <cell r="AB698" t="str">
            <v>line item not tagged</v>
          </cell>
        </row>
        <row r="699">
          <cell r="W699">
            <v>0</v>
          </cell>
          <cell r="AB699" t="str">
            <v>line item not tagged</v>
          </cell>
        </row>
        <row r="700">
          <cell r="W700">
            <v>0</v>
          </cell>
          <cell r="AB700" t="str">
            <v>line item not tagged</v>
          </cell>
        </row>
        <row r="701">
          <cell r="W701">
            <v>0</v>
          </cell>
          <cell r="AB701" t="str">
            <v>line item not tagged</v>
          </cell>
        </row>
        <row r="702">
          <cell r="W702">
            <v>0</v>
          </cell>
          <cell r="AB702" t="str">
            <v>line item not tagged</v>
          </cell>
        </row>
        <row r="703">
          <cell r="W703">
            <v>0</v>
          </cell>
          <cell r="AB703" t="str">
            <v>line item not tagged</v>
          </cell>
        </row>
        <row r="704">
          <cell r="W704">
            <v>0</v>
          </cell>
          <cell r="AB704" t="str">
            <v>line item not tagged</v>
          </cell>
        </row>
        <row r="705">
          <cell r="W705">
            <v>0</v>
          </cell>
          <cell r="AB705" t="str">
            <v>line item not tagged</v>
          </cell>
        </row>
        <row r="706">
          <cell r="W706">
            <v>0</v>
          </cell>
          <cell r="AB706" t="str">
            <v>line item not tagged</v>
          </cell>
        </row>
        <row r="707">
          <cell r="W707">
            <v>0</v>
          </cell>
          <cell r="AB707" t="str">
            <v>line item not tagged</v>
          </cell>
        </row>
        <row r="708">
          <cell r="W708">
            <v>0</v>
          </cell>
          <cell r="AB708" t="str">
            <v>line item not tagged</v>
          </cell>
        </row>
        <row r="709">
          <cell r="W709">
            <v>0</v>
          </cell>
          <cell r="AB709" t="str">
            <v>line item not tagged</v>
          </cell>
        </row>
        <row r="710">
          <cell r="W710">
            <v>0</v>
          </cell>
          <cell r="AB710" t="str">
            <v>line item not tagged</v>
          </cell>
        </row>
        <row r="711">
          <cell r="W711">
            <v>0</v>
          </cell>
          <cell r="AB711" t="str">
            <v>line item not tagged</v>
          </cell>
        </row>
        <row r="712">
          <cell r="W712">
            <v>0</v>
          </cell>
          <cell r="AB712" t="str">
            <v>line item not tagged</v>
          </cell>
        </row>
        <row r="713">
          <cell r="W713">
            <v>0</v>
          </cell>
          <cell r="AB713" t="str">
            <v>line item not tagged</v>
          </cell>
        </row>
        <row r="714">
          <cell r="W714">
            <v>0</v>
          </cell>
          <cell r="AB714" t="str">
            <v>line item not tagged</v>
          </cell>
        </row>
        <row r="715">
          <cell r="W715">
            <v>0</v>
          </cell>
          <cell r="AB715" t="str">
            <v>line item not tagged</v>
          </cell>
        </row>
        <row r="716">
          <cell r="W716">
            <v>0</v>
          </cell>
          <cell r="AB716" t="str">
            <v>line item not tagged</v>
          </cell>
        </row>
        <row r="717">
          <cell r="W717">
            <v>0</v>
          </cell>
          <cell r="AB717" t="str">
            <v>line item not tagged</v>
          </cell>
        </row>
        <row r="718">
          <cell r="W718">
            <v>0</v>
          </cell>
          <cell r="AB718" t="str">
            <v>line item not tagged</v>
          </cell>
        </row>
        <row r="719">
          <cell r="W719">
            <v>0</v>
          </cell>
          <cell r="AB719" t="str">
            <v>line item not tagged</v>
          </cell>
        </row>
        <row r="720">
          <cell r="W720">
            <v>0</v>
          </cell>
          <cell r="AB720" t="str">
            <v>line item not tagged</v>
          </cell>
        </row>
        <row r="721">
          <cell r="W721">
            <v>0</v>
          </cell>
          <cell r="AB721" t="str">
            <v>line item not tagged</v>
          </cell>
        </row>
        <row r="722">
          <cell r="W722">
            <v>0</v>
          </cell>
          <cell r="AB722" t="str">
            <v>line item not tagged</v>
          </cell>
        </row>
        <row r="723">
          <cell r="W723">
            <v>0</v>
          </cell>
          <cell r="AB723" t="str">
            <v>line item not tagged</v>
          </cell>
        </row>
        <row r="724">
          <cell r="W724">
            <v>0</v>
          </cell>
          <cell r="AB724" t="str">
            <v>line item not tagged</v>
          </cell>
        </row>
        <row r="725">
          <cell r="W725">
            <v>0</v>
          </cell>
          <cell r="AB725" t="str">
            <v>line item not tagged</v>
          </cell>
        </row>
        <row r="726">
          <cell r="W726">
            <v>0</v>
          </cell>
          <cell r="AB726" t="str">
            <v>line item not tagged</v>
          </cell>
        </row>
        <row r="727">
          <cell r="W727">
            <v>0</v>
          </cell>
          <cell r="AB727" t="str">
            <v>line item not tagged</v>
          </cell>
        </row>
        <row r="728">
          <cell r="W728">
            <v>0</v>
          </cell>
          <cell r="AB728" t="str">
            <v>line item not tagged</v>
          </cell>
        </row>
        <row r="729">
          <cell r="W729">
            <v>0</v>
          </cell>
          <cell r="AB729" t="str">
            <v>line item not tagged</v>
          </cell>
        </row>
        <row r="730">
          <cell r="W730">
            <v>0</v>
          </cell>
          <cell r="AB730" t="str">
            <v>line item not tagged</v>
          </cell>
        </row>
        <row r="731">
          <cell r="W731">
            <v>0</v>
          </cell>
          <cell r="AB731" t="str">
            <v>line item not tagged</v>
          </cell>
        </row>
        <row r="732">
          <cell r="W732">
            <v>0</v>
          </cell>
          <cell r="AB732" t="str">
            <v>line item not tagged</v>
          </cell>
        </row>
        <row r="733">
          <cell r="W733">
            <v>0</v>
          </cell>
          <cell r="AB733" t="str">
            <v>line item not tagged</v>
          </cell>
        </row>
        <row r="734">
          <cell r="W734">
            <v>0</v>
          </cell>
          <cell r="AB734" t="str">
            <v>line item not tagged</v>
          </cell>
        </row>
        <row r="735">
          <cell r="W735">
            <v>0</v>
          </cell>
          <cell r="AB735" t="str">
            <v>line item not tagged</v>
          </cell>
        </row>
        <row r="736">
          <cell r="W736">
            <v>0</v>
          </cell>
          <cell r="AB736" t="str">
            <v>line item not tagged</v>
          </cell>
        </row>
        <row r="737">
          <cell r="W737">
            <v>0</v>
          </cell>
          <cell r="AB737" t="str">
            <v>line item not tagged</v>
          </cell>
        </row>
        <row r="738">
          <cell r="W738">
            <v>0</v>
          </cell>
          <cell r="AB738" t="str">
            <v>line item not tagged</v>
          </cell>
        </row>
        <row r="739">
          <cell r="W739">
            <v>0</v>
          </cell>
          <cell r="AB739" t="str">
            <v>line item not tagged</v>
          </cell>
        </row>
        <row r="740">
          <cell r="W740">
            <v>0</v>
          </cell>
          <cell r="AB740" t="str">
            <v>line item not tagged</v>
          </cell>
        </row>
        <row r="741">
          <cell r="W741">
            <v>0</v>
          </cell>
          <cell r="AB741" t="str">
            <v>line item not tagged</v>
          </cell>
        </row>
        <row r="742">
          <cell r="W742">
            <v>0</v>
          </cell>
          <cell r="AB742" t="str">
            <v>line item not tagged</v>
          </cell>
        </row>
        <row r="743">
          <cell r="W743">
            <v>0</v>
          </cell>
          <cell r="AB743" t="str">
            <v>line item not tagged</v>
          </cell>
        </row>
        <row r="744">
          <cell r="W744">
            <v>0</v>
          </cell>
          <cell r="AB744" t="str">
            <v>line item not tagged</v>
          </cell>
        </row>
        <row r="745">
          <cell r="W745">
            <v>0</v>
          </cell>
          <cell r="AB745" t="str">
            <v>line item not tagged</v>
          </cell>
        </row>
        <row r="746">
          <cell r="W746">
            <v>0</v>
          </cell>
          <cell r="AB746" t="str">
            <v>line item not tagged</v>
          </cell>
        </row>
        <row r="747">
          <cell r="W747">
            <v>0</v>
          </cell>
          <cell r="AB747" t="str">
            <v>line item not tagged</v>
          </cell>
        </row>
        <row r="748">
          <cell r="W748">
            <v>0</v>
          </cell>
          <cell r="AB748" t="str">
            <v>line item not tagged</v>
          </cell>
        </row>
        <row r="749">
          <cell r="W749">
            <v>0</v>
          </cell>
          <cell r="AB749" t="str">
            <v>line item not tagged</v>
          </cell>
        </row>
        <row r="750">
          <cell r="W750">
            <v>0</v>
          </cell>
          <cell r="AB750" t="str">
            <v>line item not tagged</v>
          </cell>
        </row>
        <row r="751">
          <cell r="W751">
            <v>0</v>
          </cell>
          <cell r="AB751" t="str">
            <v>line item not tagged</v>
          </cell>
        </row>
        <row r="752">
          <cell r="W752">
            <v>0</v>
          </cell>
          <cell r="AB752" t="str">
            <v>line item not tagged</v>
          </cell>
        </row>
        <row r="753">
          <cell r="W753">
            <v>0</v>
          </cell>
          <cell r="AB753" t="str">
            <v>line item not tagged</v>
          </cell>
        </row>
        <row r="754">
          <cell r="W754">
            <v>0</v>
          </cell>
          <cell r="AB754" t="str">
            <v>line item not tagged</v>
          </cell>
        </row>
        <row r="755">
          <cell r="W755">
            <v>0</v>
          </cell>
          <cell r="AB755" t="str">
            <v>line item not tagged</v>
          </cell>
        </row>
        <row r="756">
          <cell r="W756">
            <v>0</v>
          </cell>
          <cell r="AB756" t="str">
            <v>line item not tagged</v>
          </cell>
        </row>
        <row r="757">
          <cell r="W757">
            <v>0</v>
          </cell>
          <cell r="AB757" t="str">
            <v>line item not tagged</v>
          </cell>
        </row>
        <row r="758">
          <cell r="W758">
            <v>0</v>
          </cell>
          <cell r="AB758" t="str">
            <v>line item not tagged</v>
          </cell>
        </row>
        <row r="759">
          <cell r="W759">
            <v>0</v>
          </cell>
          <cell r="AB759" t="str">
            <v>line item not tagged</v>
          </cell>
        </row>
        <row r="760">
          <cell r="W760">
            <v>0</v>
          </cell>
          <cell r="AB760" t="str">
            <v>line item not tagged</v>
          </cell>
        </row>
        <row r="761">
          <cell r="W761">
            <v>0</v>
          </cell>
          <cell r="AB761" t="str">
            <v>line item not tagged</v>
          </cell>
        </row>
        <row r="762">
          <cell r="W762">
            <v>0</v>
          </cell>
          <cell r="AB762" t="str">
            <v>line item not tagged</v>
          </cell>
        </row>
        <row r="763">
          <cell r="W763">
            <v>0</v>
          </cell>
          <cell r="AB763" t="str">
            <v>line item not tagged</v>
          </cell>
        </row>
        <row r="764">
          <cell r="W764">
            <v>0</v>
          </cell>
          <cell r="AB764" t="str">
            <v>line item not tagged</v>
          </cell>
        </row>
        <row r="765">
          <cell r="W765">
            <v>0</v>
          </cell>
          <cell r="AB765" t="str">
            <v>line item not tagged</v>
          </cell>
        </row>
        <row r="766">
          <cell r="W766">
            <v>0</v>
          </cell>
          <cell r="AB766" t="str">
            <v>line item not tagged</v>
          </cell>
        </row>
        <row r="767">
          <cell r="W767">
            <v>0</v>
          </cell>
          <cell r="AB767" t="str">
            <v>line item not tagged</v>
          </cell>
        </row>
        <row r="768">
          <cell r="W768">
            <v>0</v>
          </cell>
          <cell r="AB768" t="str">
            <v>line item not tagged</v>
          </cell>
        </row>
        <row r="769">
          <cell r="W769">
            <v>0</v>
          </cell>
          <cell r="AB769" t="str">
            <v>line item not tagged</v>
          </cell>
        </row>
        <row r="770">
          <cell r="W770">
            <v>0</v>
          </cell>
          <cell r="AB770" t="str">
            <v>line item not tagged</v>
          </cell>
        </row>
        <row r="771">
          <cell r="W771">
            <v>0</v>
          </cell>
          <cell r="AB771" t="str">
            <v>line item not tagged</v>
          </cell>
        </row>
        <row r="772">
          <cell r="W772">
            <v>0</v>
          </cell>
          <cell r="AB772" t="str">
            <v>line item not tagged</v>
          </cell>
        </row>
        <row r="773">
          <cell r="W773">
            <v>0</v>
          </cell>
          <cell r="AB773" t="str">
            <v>line item not tagged</v>
          </cell>
        </row>
        <row r="774">
          <cell r="W774">
            <v>0</v>
          </cell>
          <cell r="AB774" t="str">
            <v>line item not tagged</v>
          </cell>
        </row>
        <row r="775">
          <cell r="W775">
            <v>0</v>
          </cell>
          <cell r="AB775" t="str">
            <v>line item not tagged</v>
          </cell>
        </row>
        <row r="776">
          <cell r="W776">
            <v>0</v>
          </cell>
          <cell r="AB776" t="str">
            <v>line item not tagged</v>
          </cell>
        </row>
        <row r="777">
          <cell r="W777">
            <v>0</v>
          </cell>
          <cell r="AB777" t="str">
            <v>line item not tagged</v>
          </cell>
        </row>
        <row r="778">
          <cell r="W778">
            <v>0</v>
          </cell>
          <cell r="AB778" t="str">
            <v>line item not tagged</v>
          </cell>
        </row>
        <row r="779">
          <cell r="W779">
            <v>0</v>
          </cell>
          <cell r="AB779" t="str">
            <v>line item not tagged</v>
          </cell>
        </row>
        <row r="780">
          <cell r="W780">
            <v>0</v>
          </cell>
          <cell r="AB780" t="str">
            <v>line item not tagged</v>
          </cell>
        </row>
        <row r="781">
          <cell r="W781">
            <v>0</v>
          </cell>
          <cell r="AB781" t="str">
            <v>line item not tagged</v>
          </cell>
        </row>
        <row r="782">
          <cell r="W782">
            <v>0</v>
          </cell>
          <cell r="AB782" t="str">
            <v>line item not tagged</v>
          </cell>
        </row>
        <row r="783">
          <cell r="W783">
            <v>0</v>
          </cell>
          <cell r="AB783" t="str">
            <v>line item not tagged</v>
          </cell>
        </row>
        <row r="784">
          <cell r="W784">
            <v>0</v>
          </cell>
          <cell r="AB784" t="str">
            <v>line item not tagged</v>
          </cell>
        </row>
        <row r="785">
          <cell r="W785">
            <v>0</v>
          </cell>
          <cell r="AB785" t="str">
            <v>line item not tagged</v>
          </cell>
        </row>
        <row r="786">
          <cell r="W786">
            <v>0</v>
          </cell>
          <cell r="AB786" t="str">
            <v>line item not tagged</v>
          </cell>
        </row>
        <row r="787">
          <cell r="W787">
            <v>0</v>
          </cell>
          <cell r="AB787" t="str">
            <v>line item not tagged</v>
          </cell>
        </row>
        <row r="788">
          <cell r="W788">
            <v>0</v>
          </cell>
          <cell r="AB788" t="str">
            <v>line item not tagged</v>
          </cell>
        </row>
        <row r="789">
          <cell r="W789">
            <v>0</v>
          </cell>
          <cell r="AB789" t="str">
            <v>line item not tagged</v>
          </cell>
        </row>
        <row r="790">
          <cell r="W790">
            <v>0</v>
          </cell>
          <cell r="AB790" t="str">
            <v>line item not tagged</v>
          </cell>
        </row>
        <row r="791">
          <cell r="W791">
            <v>0</v>
          </cell>
          <cell r="AB791" t="str">
            <v>line item not tagged</v>
          </cell>
        </row>
        <row r="792">
          <cell r="W792">
            <v>0</v>
          </cell>
          <cell r="AB792" t="str">
            <v>line item not tagged</v>
          </cell>
        </row>
        <row r="793">
          <cell r="W793">
            <v>0</v>
          </cell>
          <cell r="AB793" t="str">
            <v>line item not tagged</v>
          </cell>
        </row>
        <row r="794">
          <cell r="W794">
            <v>0</v>
          </cell>
          <cell r="AB794" t="str">
            <v>line item not tagged</v>
          </cell>
        </row>
        <row r="795">
          <cell r="W795">
            <v>0</v>
          </cell>
          <cell r="AB795" t="str">
            <v>line item not tagged</v>
          </cell>
        </row>
        <row r="796">
          <cell r="W796">
            <v>0</v>
          </cell>
          <cell r="AB796" t="str">
            <v>line item not tagged</v>
          </cell>
        </row>
        <row r="797">
          <cell r="W797">
            <v>0</v>
          </cell>
          <cell r="AB797" t="str">
            <v>line item not tagged</v>
          </cell>
        </row>
        <row r="798">
          <cell r="W798">
            <v>0</v>
          </cell>
          <cell r="AB798" t="str">
            <v>line item not tagged</v>
          </cell>
        </row>
        <row r="799">
          <cell r="W799">
            <v>0</v>
          </cell>
          <cell r="AB799" t="str">
            <v>line item not tagged</v>
          </cell>
        </row>
        <row r="800">
          <cell r="W800">
            <v>0</v>
          </cell>
          <cell r="AB800" t="str">
            <v>line item not tagged</v>
          </cell>
        </row>
        <row r="801">
          <cell r="W801">
            <v>0</v>
          </cell>
          <cell r="AB801" t="str">
            <v>line item not tagged</v>
          </cell>
        </row>
        <row r="802">
          <cell r="W802">
            <v>0</v>
          </cell>
          <cell r="AB802" t="str">
            <v>line item not tagged</v>
          </cell>
        </row>
        <row r="803">
          <cell r="W803">
            <v>0</v>
          </cell>
          <cell r="AB803" t="str">
            <v>line item not tagged</v>
          </cell>
        </row>
        <row r="804">
          <cell r="W804">
            <v>0</v>
          </cell>
          <cell r="AB804" t="str">
            <v>line item not tagged</v>
          </cell>
        </row>
        <row r="805">
          <cell r="W805">
            <v>0</v>
          </cell>
          <cell r="AB805" t="str">
            <v>line item not tagged</v>
          </cell>
        </row>
        <row r="806">
          <cell r="W806">
            <v>0</v>
          </cell>
          <cell r="AB806" t="str">
            <v>line item not tagged</v>
          </cell>
        </row>
        <row r="807">
          <cell r="W807">
            <v>0</v>
          </cell>
          <cell r="AB807" t="str">
            <v>line item not tagged</v>
          </cell>
        </row>
        <row r="808">
          <cell r="W808">
            <v>0</v>
          </cell>
          <cell r="AB808" t="str">
            <v>line item not tagged</v>
          </cell>
        </row>
        <row r="809">
          <cell r="W809">
            <v>0</v>
          </cell>
          <cell r="AB809" t="str">
            <v>line item not tagged</v>
          </cell>
        </row>
        <row r="810">
          <cell r="W810">
            <v>0</v>
          </cell>
          <cell r="AB810" t="str">
            <v>line item not tagged</v>
          </cell>
        </row>
        <row r="811">
          <cell r="W811">
            <v>0</v>
          </cell>
          <cell r="AB811" t="str">
            <v>line item not tagged</v>
          </cell>
        </row>
        <row r="812">
          <cell r="W812">
            <v>0</v>
          </cell>
          <cell r="AB812" t="str">
            <v>line item not tagged</v>
          </cell>
        </row>
        <row r="813">
          <cell r="W813">
            <v>0</v>
          </cell>
          <cell r="AB813" t="str">
            <v>line item not tagged</v>
          </cell>
        </row>
        <row r="814">
          <cell r="W814">
            <v>0</v>
          </cell>
          <cell r="AB814" t="str">
            <v>line item not tagged</v>
          </cell>
        </row>
        <row r="815">
          <cell r="W815">
            <v>0</v>
          </cell>
          <cell r="AB815" t="str">
            <v>line item not tagged</v>
          </cell>
        </row>
        <row r="816">
          <cell r="W816">
            <v>0</v>
          </cell>
          <cell r="AB816" t="str">
            <v>line item not tagged</v>
          </cell>
        </row>
        <row r="817">
          <cell r="W817">
            <v>0</v>
          </cell>
          <cell r="AB817" t="str">
            <v>line item not tagged</v>
          </cell>
        </row>
        <row r="818">
          <cell r="W818">
            <v>0</v>
          </cell>
          <cell r="AB818" t="str">
            <v>line item not tagged</v>
          </cell>
        </row>
        <row r="819">
          <cell r="W819">
            <v>0</v>
          </cell>
          <cell r="AB819" t="str">
            <v>line item not tagged</v>
          </cell>
        </row>
        <row r="820">
          <cell r="W820">
            <v>0</v>
          </cell>
          <cell r="AB820" t="str">
            <v>line item not tagged</v>
          </cell>
        </row>
        <row r="821">
          <cell r="W821">
            <v>0</v>
          </cell>
          <cell r="AB821" t="str">
            <v>line item not tagged</v>
          </cell>
        </row>
        <row r="822">
          <cell r="W822">
            <v>0</v>
          </cell>
          <cell r="AB822" t="str">
            <v>line item not tagged</v>
          </cell>
        </row>
        <row r="823">
          <cell r="W823">
            <v>0</v>
          </cell>
          <cell r="AB823" t="str">
            <v>line item not tagged</v>
          </cell>
        </row>
        <row r="824">
          <cell r="W824">
            <v>0</v>
          </cell>
          <cell r="AB824" t="str">
            <v>line item not tagged</v>
          </cell>
        </row>
        <row r="825">
          <cell r="W825">
            <v>0</v>
          </cell>
          <cell r="AB825" t="str">
            <v>line item not tagged</v>
          </cell>
        </row>
        <row r="826">
          <cell r="W826">
            <v>0</v>
          </cell>
          <cell r="AB826" t="str">
            <v>line item not tagged</v>
          </cell>
        </row>
        <row r="827">
          <cell r="W827">
            <v>0</v>
          </cell>
          <cell r="AB827" t="str">
            <v>line item not tagged</v>
          </cell>
        </row>
        <row r="828">
          <cell r="W828">
            <v>0</v>
          </cell>
          <cell r="AB828" t="str">
            <v>line item not tagged</v>
          </cell>
        </row>
        <row r="829">
          <cell r="W829">
            <v>0</v>
          </cell>
          <cell r="AB829" t="str">
            <v>line item not tagged</v>
          </cell>
        </row>
        <row r="830">
          <cell r="W830">
            <v>0</v>
          </cell>
          <cell r="AB830" t="str">
            <v>line item not tagged</v>
          </cell>
        </row>
        <row r="831">
          <cell r="W831">
            <v>0</v>
          </cell>
          <cell r="AB831" t="str">
            <v>line item not tagged</v>
          </cell>
        </row>
        <row r="832">
          <cell r="W832">
            <v>0</v>
          </cell>
          <cell r="AB832" t="str">
            <v>line item not tagged</v>
          </cell>
        </row>
        <row r="833">
          <cell r="W833">
            <v>0</v>
          </cell>
          <cell r="AB833" t="str">
            <v>line item not tagged</v>
          </cell>
        </row>
        <row r="834">
          <cell r="W834">
            <v>0</v>
          </cell>
          <cell r="AB834" t="str">
            <v>line item not tagged</v>
          </cell>
        </row>
        <row r="835">
          <cell r="W835">
            <v>0</v>
          </cell>
          <cell r="AB835" t="str">
            <v>line item not tagged</v>
          </cell>
        </row>
        <row r="836">
          <cell r="W836">
            <v>0</v>
          </cell>
          <cell r="AB836" t="str">
            <v>line item not tagged</v>
          </cell>
        </row>
        <row r="837">
          <cell r="W837">
            <v>0</v>
          </cell>
          <cell r="AB837" t="str">
            <v>line item not tagged</v>
          </cell>
        </row>
        <row r="838">
          <cell r="W838">
            <v>0</v>
          </cell>
          <cell r="AB838" t="str">
            <v>line item not tagged</v>
          </cell>
        </row>
        <row r="839">
          <cell r="W839">
            <v>0</v>
          </cell>
          <cell r="AB839" t="str">
            <v>line item not tagged</v>
          </cell>
        </row>
        <row r="840">
          <cell r="W840">
            <v>0</v>
          </cell>
          <cell r="AB840" t="str">
            <v>line item not tagged</v>
          </cell>
        </row>
        <row r="841">
          <cell r="W841">
            <v>0</v>
          </cell>
          <cell r="AB841" t="str">
            <v>line item not tagged</v>
          </cell>
        </row>
        <row r="842">
          <cell r="W842">
            <v>0</v>
          </cell>
          <cell r="AB842" t="str">
            <v>line item not tagged</v>
          </cell>
        </row>
        <row r="843">
          <cell r="W843">
            <v>0</v>
          </cell>
          <cell r="AB843" t="str">
            <v>line item not tagged</v>
          </cell>
        </row>
        <row r="844">
          <cell r="W844">
            <v>0</v>
          </cell>
          <cell r="AB844" t="str">
            <v>line item not tagged</v>
          </cell>
        </row>
        <row r="845">
          <cell r="W845">
            <v>0</v>
          </cell>
          <cell r="AB845" t="str">
            <v>line item not tagged</v>
          </cell>
        </row>
        <row r="846">
          <cell r="W846">
            <v>0</v>
          </cell>
          <cell r="AB846" t="str">
            <v>line item not tagged</v>
          </cell>
        </row>
        <row r="847">
          <cell r="W847">
            <v>0</v>
          </cell>
          <cell r="AB847" t="str">
            <v>line item not tagged</v>
          </cell>
        </row>
        <row r="848">
          <cell r="W848">
            <v>0</v>
          </cell>
          <cell r="AB848" t="str">
            <v>line item not tagged</v>
          </cell>
        </row>
        <row r="849">
          <cell r="W849">
            <v>0</v>
          </cell>
          <cell r="AB849" t="str">
            <v>line item not tagged</v>
          </cell>
        </row>
        <row r="850">
          <cell r="W850">
            <v>0</v>
          </cell>
          <cell r="AB850" t="str">
            <v>line item not tagged</v>
          </cell>
        </row>
        <row r="851">
          <cell r="W851">
            <v>0</v>
          </cell>
          <cell r="AB851" t="str">
            <v>line item not tagged</v>
          </cell>
        </row>
        <row r="852">
          <cell r="W852">
            <v>0</v>
          </cell>
          <cell r="AB852" t="str">
            <v>line item not tagged</v>
          </cell>
        </row>
        <row r="853">
          <cell r="W853">
            <v>0</v>
          </cell>
          <cell r="AB853" t="str">
            <v>line item not tagged</v>
          </cell>
        </row>
        <row r="854">
          <cell r="W854">
            <v>0</v>
          </cell>
          <cell r="AB854" t="str">
            <v>line item not tagged</v>
          </cell>
        </row>
        <row r="855">
          <cell r="W855">
            <v>0</v>
          </cell>
          <cell r="AB855" t="str">
            <v>line item not tagged</v>
          </cell>
        </row>
        <row r="856">
          <cell r="W856">
            <v>0</v>
          </cell>
          <cell r="AB856" t="str">
            <v>line item not tagged</v>
          </cell>
        </row>
        <row r="857">
          <cell r="W857">
            <v>0</v>
          </cell>
          <cell r="AB857" t="str">
            <v>line item not tagged</v>
          </cell>
        </row>
        <row r="858">
          <cell r="W858">
            <v>0</v>
          </cell>
          <cell r="AB858" t="str">
            <v>line item not tagged</v>
          </cell>
        </row>
        <row r="859">
          <cell r="W859">
            <v>0</v>
          </cell>
          <cell r="AB859" t="str">
            <v>line item not tagged</v>
          </cell>
        </row>
        <row r="860">
          <cell r="W860">
            <v>0</v>
          </cell>
          <cell r="AB860" t="str">
            <v>line item not tagged</v>
          </cell>
        </row>
        <row r="861">
          <cell r="W861">
            <v>0</v>
          </cell>
          <cell r="AB861" t="str">
            <v>line item not tagged</v>
          </cell>
        </row>
        <row r="862">
          <cell r="W862">
            <v>0</v>
          </cell>
          <cell r="AB862" t="str">
            <v>line item not tagged</v>
          </cell>
        </row>
        <row r="863">
          <cell r="W863">
            <v>0</v>
          </cell>
          <cell r="AB863" t="str">
            <v>line item not tagged</v>
          </cell>
        </row>
        <row r="864">
          <cell r="W864">
            <v>0</v>
          </cell>
          <cell r="AB864" t="str">
            <v>line item not tagged</v>
          </cell>
        </row>
        <row r="865">
          <cell r="W865">
            <v>0</v>
          </cell>
          <cell r="AB865" t="str">
            <v>line item not tagged</v>
          </cell>
        </row>
        <row r="866">
          <cell r="W866">
            <v>0</v>
          </cell>
          <cell r="AB866" t="str">
            <v>line item not tagged</v>
          </cell>
        </row>
        <row r="867">
          <cell r="W867">
            <v>0</v>
          </cell>
          <cell r="AB867" t="str">
            <v>line item not tagged</v>
          </cell>
        </row>
        <row r="868">
          <cell r="W868">
            <v>0</v>
          </cell>
          <cell r="AB868" t="str">
            <v>line item not tagged</v>
          </cell>
        </row>
        <row r="869">
          <cell r="W869">
            <v>0</v>
          </cell>
          <cell r="AB869" t="str">
            <v>line item not tagged</v>
          </cell>
        </row>
        <row r="870">
          <cell r="W870">
            <v>0</v>
          </cell>
          <cell r="AB870" t="str">
            <v>line item not tagged</v>
          </cell>
        </row>
        <row r="871">
          <cell r="W871">
            <v>0</v>
          </cell>
          <cell r="AB871" t="str">
            <v>line item not tagged</v>
          </cell>
        </row>
        <row r="872">
          <cell r="W872">
            <v>0</v>
          </cell>
          <cell r="AB872" t="str">
            <v>line item not tagged</v>
          </cell>
        </row>
        <row r="873">
          <cell r="W873">
            <v>0</v>
          </cell>
          <cell r="AB873" t="str">
            <v>line item not tagged</v>
          </cell>
        </row>
        <row r="874">
          <cell r="W874">
            <v>0</v>
          </cell>
          <cell r="AB874" t="str">
            <v>line item not tagged</v>
          </cell>
        </row>
        <row r="875">
          <cell r="W875">
            <v>0</v>
          </cell>
          <cell r="AB875" t="str">
            <v>line item not tagged</v>
          </cell>
        </row>
        <row r="876">
          <cell r="W876">
            <v>0</v>
          </cell>
          <cell r="AB876" t="str">
            <v>line item not tagged</v>
          </cell>
        </row>
        <row r="877">
          <cell r="W877">
            <v>0</v>
          </cell>
          <cell r="AB877" t="str">
            <v>line item not tagged</v>
          </cell>
        </row>
        <row r="878">
          <cell r="W878">
            <v>0</v>
          </cell>
          <cell r="AB878" t="str">
            <v>line item not tagged</v>
          </cell>
        </row>
        <row r="879">
          <cell r="W879">
            <v>0</v>
          </cell>
          <cell r="AB879" t="str">
            <v>line item not tagged</v>
          </cell>
        </row>
        <row r="880">
          <cell r="W880">
            <v>0</v>
          </cell>
          <cell r="AB880" t="str">
            <v>line item not tagged</v>
          </cell>
        </row>
        <row r="881">
          <cell r="W881">
            <v>0</v>
          </cell>
          <cell r="AB881" t="str">
            <v>line item not tagged</v>
          </cell>
        </row>
        <row r="882">
          <cell r="W882">
            <v>0</v>
          </cell>
          <cell r="AB882" t="str">
            <v>line item not tagged</v>
          </cell>
        </row>
        <row r="883">
          <cell r="W883">
            <v>0</v>
          </cell>
          <cell r="AB883" t="str">
            <v>line item not tagged</v>
          </cell>
        </row>
        <row r="884">
          <cell r="W884">
            <v>0</v>
          </cell>
          <cell r="AB884" t="str">
            <v>line item not tagged</v>
          </cell>
        </row>
        <row r="885">
          <cell r="W885">
            <v>0</v>
          </cell>
          <cell r="AB885" t="str">
            <v>line item not tagged</v>
          </cell>
        </row>
        <row r="886">
          <cell r="W886">
            <v>0</v>
          </cell>
          <cell r="AB886" t="str">
            <v>line item not tagged</v>
          </cell>
        </row>
        <row r="887">
          <cell r="W887">
            <v>0</v>
          </cell>
          <cell r="AB887" t="str">
            <v>line item not tagged</v>
          </cell>
        </row>
        <row r="888">
          <cell r="W888">
            <v>0</v>
          </cell>
          <cell r="AB888" t="str">
            <v>line item not tagged</v>
          </cell>
        </row>
        <row r="889">
          <cell r="W889">
            <v>0</v>
          </cell>
          <cell r="AB889" t="str">
            <v>line item not tagged</v>
          </cell>
        </row>
        <row r="890">
          <cell r="W890">
            <v>0</v>
          </cell>
          <cell r="AB890" t="str">
            <v>line item not tagged</v>
          </cell>
        </row>
        <row r="891">
          <cell r="W891">
            <v>0</v>
          </cell>
          <cell r="AB891" t="str">
            <v>line item not tagged</v>
          </cell>
        </row>
        <row r="892">
          <cell r="W892">
            <v>0</v>
          </cell>
          <cell r="AB892" t="str">
            <v>line item not tagged</v>
          </cell>
        </row>
        <row r="893">
          <cell r="W893">
            <v>0</v>
          </cell>
          <cell r="AB893" t="str">
            <v>line item not tagged</v>
          </cell>
        </row>
        <row r="894">
          <cell r="W894">
            <v>0</v>
          </cell>
          <cell r="AB894" t="str">
            <v>line item not tagged</v>
          </cell>
        </row>
        <row r="895">
          <cell r="W895">
            <v>0</v>
          </cell>
          <cell r="AB895" t="str">
            <v>line item not tagged</v>
          </cell>
        </row>
        <row r="896">
          <cell r="W896">
            <v>0</v>
          </cell>
          <cell r="AB896" t="str">
            <v>line item not tagged</v>
          </cell>
        </row>
        <row r="897">
          <cell r="W897">
            <v>0</v>
          </cell>
          <cell r="AB897" t="str">
            <v>line item not tagged</v>
          </cell>
        </row>
        <row r="898">
          <cell r="W898">
            <v>0</v>
          </cell>
          <cell r="AB898" t="str">
            <v>line item not tagged</v>
          </cell>
        </row>
        <row r="899">
          <cell r="W899">
            <v>0</v>
          </cell>
          <cell r="AB899" t="str">
            <v>line item not tagged</v>
          </cell>
        </row>
        <row r="900">
          <cell r="W900">
            <v>0</v>
          </cell>
          <cell r="AB900" t="str">
            <v>line item not tagged</v>
          </cell>
        </row>
        <row r="901">
          <cell r="W901">
            <v>0</v>
          </cell>
          <cell r="AB901" t="str">
            <v>line item not tagged</v>
          </cell>
        </row>
        <row r="902">
          <cell r="W902">
            <v>0</v>
          </cell>
          <cell r="AB902" t="str">
            <v>line item not tagged</v>
          </cell>
        </row>
        <row r="903">
          <cell r="W903">
            <v>0</v>
          </cell>
          <cell r="AB903" t="str">
            <v>line item not tagged</v>
          </cell>
        </row>
        <row r="904">
          <cell r="W904">
            <v>0</v>
          </cell>
          <cell r="AB904" t="str">
            <v>line item not tagged</v>
          </cell>
        </row>
        <row r="905">
          <cell r="W905">
            <v>0</v>
          </cell>
          <cell r="AB905" t="str">
            <v>line item not tagged</v>
          </cell>
        </row>
        <row r="906">
          <cell r="W906">
            <v>0</v>
          </cell>
          <cell r="AB906" t="str">
            <v>line item not tagged</v>
          </cell>
        </row>
        <row r="907">
          <cell r="W907">
            <v>0</v>
          </cell>
          <cell r="AB907" t="str">
            <v>line item not tagged</v>
          </cell>
        </row>
        <row r="908">
          <cell r="W908">
            <v>0</v>
          </cell>
          <cell r="AB908" t="str">
            <v>line item not tagged</v>
          </cell>
        </row>
        <row r="909">
          <cell r="W909">
            <v>0</v>
          </cell>
          <cell r="AB909" t="str">
            <v>line item not tagged</v>
          </cell>
        </row>
        <row r="910">
          <cell r="W910">
            <v>0</v>
          </cell>
          <cell r="AB910" t="str">
            <v>line item not tagged</v>
          </cell>
        </row>
        <row r="911">
          <cell r="W911">
            <v>0</v>
          </cell>
          <cell r="AB911" t="str">
            <v>line item not tagged</v>
          </cell>
        </row>
        <row r="912">
          <cell r="W912">
            <v>0</v>
          </cell>
          <cell r="AB912" t="str">
            <v>line item not tagged</v>
          </cell>
        </row>
        <row r="913">
          <cell r="W913">
            <v>0</v>
          </cell>
          <cell r="AB913" t="str">
            <v>line item not tagged</v>
          </cell>
        </row>
        <row r="914">
          <cell r="W914">
            <v>0</v>
          </cell>
          <cell r="AB914" t="str">
            <v>line item not tagged</v>
          </cell>
        </row>
        <row r="915">
          <cell r="W915">
            <v>0</v>
          </cell>
          <cell r="AB915" t="str">
            <v>line item not tagged</v>
          </cell>
        </row>
        <row r="916">
          <cell r="W916">
            <v>0</v>
          </cell>
          <cell r="AB916" t="str">
            <v>line item not tagged</v>
          </cell>
        </row>
        <row r="917">
          <cell r="W917">
            <v>0</v>
          </cell>
          <cell r="AB917" t="str">
            <v>line item not tagged</v>
          </cell>
        </row>
        <row r="918">
          <cell r="W918">
            <v>0</v>
          </cell>
          <cell r="AB918" t="str">
            <v>line item not tagged</v>
          </cell>
        </row>
        <row r="919">
          <cell r="W919">
            <v>0</v>
          </cell>
          <cell r="AB919" t="str">
            <v>line item not tagged</v>
          </cell>
        </row>
        <row r="920">
          <cell r="W920">
            <v>0</v>
          </cell>
          <cell r="AB920" t="str">
            <v>line item not tagged</v>
          </cell>
        </row>
        <row r="921">
          <cell r="W921">
            <v>0</v>
          </cell>
          <cell r="AB921" t="str">
            <v>line item not tagged</v>
          </cell>
        </row>
        <row r="922">
          <cell r="W922">
            <v>0</v>
          </cell>
          <cell r="AB922" t="str">
            <v>line item not tagged</v>
          </cell>
        </row>
        <row r="923">
          <cell r="W923">
            <v>0</v>
          </cell>
          <cell r="AB923" t="str">
            <v>line item not tagged</v>
          </cell>
        </row>
        <row r="924">
          <cell r="W924">
            <v>0</v>
          </cell>
          <cell r="AB924" t="str">
            <v>line item not tagged</v>
          </cell>
        </row>
        <row r="925">
          <cell r="W925">
            <v>0</v>
          </cell>
          <cell r="AB925" t="str">
            <v>line item not tagged</v>
          </cell>
        </row>
        <row r="926">
          <cell r="W926">
            <v>0</v>
          </cell>
          <cell r="AB926" t="str">
            <v>line item not tagged</v>
          </cell>
        </row>
        <row r="927">
          <cell r="W927">
            <v>0</v>
          </cell>
          <cell r="AB927" t="str">
            <v>line item not tagged</v>
          </cell>
        </row>
        <row r="928">
          <cell r="W928">
            <v>0</v>
          </cell>
          <cell r="AB928" t="str">
            <v>line item not tagged</v>
          </cell>
        </row>
        <row r="929">
          <cell r="W929">
            <v>0</v>
          </cell>
          <cell r="AB929" t="str">
            <v>line item not tagged</v>
          </cell>
        </row>
        <row r="930">
          <cell r="W930">
            <v>0</v>
          </cell>
          <cell r="AB930" t="str">
            <v>line item not tagged</v>
          </cell>
        </row>
        <row r="931">
          <cell r="W931">
            <v>0</v>
          </cell>
          <cell r="AB931" t="str">
            <v>line item not tagged</v>
          </cell>
        </row>
        <row r="932">
          <cell r="W932">
            <v>0</v>
          </cell>
          <cell r="AB932" t="str">
            <v>line item not tagged</v>
          </cell>
        </row>
        <row r="933">
          <cell r="W933">
            <v>0</v>
          </cell>
          <cell r="AB933" t="str">
            <v>line item not tagged</v>
          </cell>
        </row>
        <row r="934">
          <cell r="W934">
            <v>0</v>
          </cell>
          <cell r="AB934" t="str">
            <v>line item not tagged</v>
          </cell>
        </row>
        <row r="935">
          <cell r="W935">
            <v>0</v>
          </cell>
          <cell r="AB935" t="str">
            <v>line item not tagged</v>
          </cell>
        </row>
        <row r="936">
          <cell r="W936">
            <v>0</v>
          </cell>
          <cell r="AB936" t="str">
            <v>line item not tagged</v>
          </cell>
        </row>
        <row r="937">
          <cell r="W937">
            <v>0</v>
          </cell>
          <cell r="AB937" t="str">
            <v>line item not tagged</v>
          </cell>
        </row>
        <row r="938">
          <cell r="W938">
            <v>0</v>
          </cell>
          <cell r="AB938" t="str">
            <v>line item not tagged</v>
          </cell>
        </row>
        <row r="939">
          <cell r="W939">
            <v>0</v>
          </cell>
          <cell r="AB939" t="str">
            <v>line item not tagged</v>
          </cell>
        </row>
        <row r="940">
          <cell r="W940">
            <v>0</v>
          </cell>
          <cell r="AB940" t="str">
            <v>line item not tagged</v>
          </cell>
        </row>
        <row r="941">
          <cell r="W941">
            <v>0</v>
          </cell>
          <cell r="AB941" t="str">
            <v>line item not tagged</v>
          </cell>
        </row>
        <row r="942">
          <cell r="W942">
            <v>0</v>
          </cell>
          <cell r="AB942" t="str">
            <v>line item not tagged</v>
          </cell>
        </row>
        <row r="943">
          <cell r="W943">
            <v>0</v>
          </cell>
          <cell r="AB943" t="str">
            <v>line item not tagged</v>
          </cell>
        </row>
        <row r="944">
          <cell r="W944">
            <v>0</v>
          </cell>
          <cell r="AB944" t="str">
            <v>line item not tagged</v>
          </cell>
        </row>
        <row r="945">
          <cell r="W945">
            <v>0</v>
          </cell>
          <cell r="AB945" t="str">
            <v>line item not tagged</v>
          </cell>
        </row>
        <row r="946">
          <cell r="W946">
            <v>0</v>
          </cell>
          <cell r="AB946" t="str">
            <v>line item not tagged</v>
          </cell>
        </row>
        <row r="947">
          <cell r="W947">
            <v>0</v>
          </cell>
          <cell r="AB947" t="str">
            <v>line item not tagged</v>
          </cell>
        </row>
        <row r="948">
          <cell r="W948">
            <v>0</v>
          </cell>
          <cell r="AB948" t="str">
            <v>line item not tagged</v>
          </cell>
        </row>
        <row r="949">
          <cell r="W949">
            <v>0</v>
          </cell>
          <cell r="AB949" t="str">
            <v>line item not tagged</v>
          </cell>
        </row>
        <row r="950">
          <cell r="W950">
            <v>0</v>
          </cell>
          <cell r="AB950" t="str">
            <v>line item not tagged</v>
          </cell>
        </row>
        <row r="951">
          <cell r="W951">
            <v>0</v>
          </cell>
          <cell r="AB951" t="str">
            <v>line item not tagged</v>
          </cell>
        </row>
        <row r="952">
          <cell r="W952">
            <v>0</v>
          </cell>
          <cell r="AB952" t="str">
            <v>line item not tagged</v>
          </cell>
        </row>
        <row r="953">
          <cell r="W953">
            <v>0</v>
          </cell>
          <cell r="AB953" t="str">
            <v>line item not tagged</v>
          </cell>
        </row>
        <row r="954">
          <cell r="W954">
            <v>0</v>
          </cell>
          <cell r="AB954" t="str">
            <v>line item not tagged</v>
          </cell>
        </row>
        <row r="955">
          <cell r="W955">
            <v>0</v>
          </cell>
          <cell r="AB955" t="str">
            <v>line item not tagged</v>
          </cell>
        </row>
        <row r="956">
          <cell r="W956">
            <v>0</v>
          </cell>
          <cell r="AB956" t="str">
            <v>line item not tagged</v>
          </cell>
        </row>
        <row r="957">
          <cell r="W957">
            <v>0</v>
          </cell>
          <cell r="AB957" t="str">
            <v>line item not tagged</v>
          </cell>
        </row>
        <row r="958">
          <cell r="W958">
            <v>0</v>
          </cell>
          <cell r="AB958" t="str">
            <v>line item not tagged</v>
          </cell>
        </row>
        <row r="959">
          <cell r="W959">
            <v>0</v>
          </cell>
          <cell r="AB959" t="str">
            <v>line item not tagged</v>
          </cell>
        </row>
        <row r="960">
          <cell r="W960">
            <v>0</v>
          </cell>
          <cell r="AB960" t="str">
            <v>line item not tagged</v>
          </cell>
        </row>
        <row r="961">
          <cell r="W961">
            <v>0</v>
          </cell>
          <cell r="AB961" t="str">
            <v>line item not tagged</v>
          </cell>
        </row>
        <row r="962">
          <cell r="W962">
            <v>0</v>
          </cell>
          <cell r="AB962" t="str">
            <v>line item not tagged</v>
          </cell>
        </row>
        <row r="963">
          <cell r="W963">
            <v>0</v>
          </cell>
          <cell r="AB963" t="str">
            <v>line item not tagged</v>
          </cell>
        </row>
        <row r="964">
          <cell r="W964">
            <v>0</v>
          </cell>
          <cell r="AB964" t="str">
            <v>line item not tagged</v>
          </cell>
        </row>
        <row r="965">
          <cell r="W965">
            <v>0</v>
          </cell>
          <cell r="AB965" t="str">
            <v>line item not tagged</v>
          </cell>
        </row>
        <row r="966">
          <cell r="W966">
            <v>0</v>
          </cell>
          <cell r="AB966" t="str">
            <v>line item not tagged</v>
          </cell>
        </row>
        <row r="967">
          <cell r="W967">
            <v>0</v>
          </cell>
          <cell r="AB967" t="str">
            <v>line item not tagged</v>
          </cell>
        </row>
        <row r="968">
          <cell r="W968">
            <v>0</v>
          </cell>
          <cell r="AB968" t="str">
            <v>line item not tagged</v>
          </cell>
        </row>
        <row r="969">
          <cell r="W969">
            <v>0</v>
          </cell>
          <cell r="AB969" t="str">
            <v>line item not tagged</v>
          </cell>
        </row>
        <row r="970">
          <cell r="W970">
            <v>0</v>
          </cell>
          <cell r="AB970" t="str">
            <v>line item not tagged</v>
          </cell>
        </row>
        <row r="971">
          <cell r="W971">
            <v>0</v>
          </cell>
          <cell r="AB971" t="str">
            <v>line item not tagged</v>
          </cell>
        </row>
        <row r="972">
          <cell r="W972">
            <v>0</v>
          </cell>
          <cell r="AB972" t="str">
            <v>line item not tagged</v>
          </cell>
        </row>
        <row r="973">
          <cell r="W973">
            <v>0</v>
          </cell>
          <cell r="AB973" t="str">
            <v>line item not tagged</v>
          </cell>
        </row>
        <row r="974">
          <cell r="W974">
            <v>0</v>
          </cell>
          <cell r="AB974" t="str">
            <v>line item not tagged</v>
          </cell>
        </row>
        <row r="975">
          <cell r="W975">
            <v>0</v>
          </cell>
          <cell r="AB975" t="str">
            <v>line item not tagged</v>
          </cell>
        </row>
        <row r="976">
          <cell r="W976">
            <v>0</v>
          </cell>
          <cell r="AB976" t="str">
            <v>line item not tagged</v>
          </cell>
        </row>
        <row r="977">
          <cell r="W977">
            <v>0</v>
          </cell>
          <cell r="AB977" t="str">
            <v>line item not tagged</v>
          </cell>
        </row>
        <row r="978">
          <cell r="W978">
            <v>0</v>
          </cell>
          <cell r="AB978" t="str">
            <v>line item not tagged</v>
          </cell>
        </row>
        <row r="979">
          <cell r="W979">
            <v>0</v>
          </cell>
          <cell r="AB979" t="str">
            <v>line item not tagged</v>
          </cell>
        </row>
        <row r="980">
          <cell r="W980">
            <v>0</v>
          </cell>
          <cell r="AB980" t="str">
            <v>line item not tagged</v>
          </cell>
        </row>
        <row r="981">
          <cell r="W981">
            <v>0</v>
          </cell>
          <cell r="AB981" t="str">
            <v>line item not tagged</v>
          </cell>
        </row>
        <row r="982">
          <cell r="W982">
            <v>0</v>
          </cell>
          <cell r="AB982" t="str">
            <v>line item not tagged</v>
          </cell>
        </row>
        <row r="983">
          <cell r="W983">
            <v>0</v>
          </cell>
          <cell r="AB983" t="str">
            <v>line item not tagged</v>
          </cell>
        </row>
        <row r="984">
          <cell r="W984">
            <v>0</v>
          </cell>
          <cell r="AB984" t="str">
            <v>line item not tagged</v>
          </cell>
        </row>
        <row r="985">
          <cell r="W985">
            <v>0</v>
          </cell>
          <cell r="AB985" t="str">
            <v>line item not tagged</v>
          </cell>
        </row>
        <row r="986">
          <cell r="W986">
            <v>0</v>
          </cell>
          <cell r="AB986" t="str">
            <v>line item not tagged</v>
          </cell>
        </row>
        <row r="987">
          <cell r="W987">
            <v>0</v>
          </cell>
          <cell r="AB987" t="str">
            <v>line item not tagged</v>
          </cell>
        </row>
        <row r="988">
          <cell r="W988">
            <v>0</v>
          </cell>
          <cell r="AB988" t="str">
            <v>line item not tagged</v>
          </cell>
        </row>
        <row r="989">
          <cell r="W989">
            <v>0</v>
          </cell>
          <cell r="AB989" t="str">
            <v>line item not tagged</v>
          </cell>
        </row>
        <row r="990">
          <cell r="W990">
            <v>0</v>
          </cell>
          <cell r="AB990" t="str">
            <v>line item not tagged</v>
          </cell>
        </row>
        <row r="991">
          <cell r="W991">
            <v>0</v>
          </cell>
          <cell r="AB991" t="str">
            <v>line item not tagged</v>
          </cell>
        </row>
        <row r="992">
          <cell r="W992">
            <v>0</v>
          </cell>
          <cell r="AB992" t="str">
            <v>line item not tagged</v>
          </cell>
        </row>
        <row r="993">
          <cell r="W993">
            <v>0</v>
          </cell>
          <cell r="AB993" t="str">
            <v>line item not tagged</v>
          </cell>
        </row>
        <row r="994">
          <cell r="W994">
            <v>0</v>
          </cell>
          <cell r="AB994" t="str">
            <v>line item not tagged</v>
          </cell>
        </row>
        <row r="995">
          <cell r="W995">
            <v>0</v>
          </cell>
          <cell r="AB995" t="str">
            <v>line item not tagged</v>
          </cell>
        </row>
        <row r="996">
          <cell r="W996">
            <v>0</v>
          </cell>
          <cell r="AB996" t="str">
            <v>line item not tagged</v>
          </cell>
        </row>
        <row r="997">
          <cell r="W997">
            <v>0</v>
          </cell>
          <cell r="AB997" t="str">
            <v>line item not tagged</v>
          </cell>
        </row>
        <row r="998">
          <cell r="W998">
            <v>0</v>
          </cell>
          <cell r="AB998" t="str">
            <v>line item not tagged</v>
          </cell>
        </row>
        <row r="999">
          <cell r="W999">
            <v>0</v>
          </cell>
          <cell r="AB999" t="str">
            <v>line item not tagged</v>
          </cell>
        </row>
        <row r="1000">
          <cell r="W1000">
            <v>0</v>
          </cell>
          <cell r="AB1000" t="str">
            <v>line item not tagged</v>
          </cell>
        </row>
        <row r="1001">
          <cell r="W1001">
            <v>0</v>
          </cell>
          <cell r="AB1001" t="str">
            <v>line item not tagged</v>
          </cell>
        </row>
        <row r="1002">
          <cell r="W1002">
            <v>0</v>
          </cell>
          <cell r="AB1002" t="str">
            <v>line item not tagged</v>
          </cell>
        </row>
        <row r="1003">
          <cell r="W1003">
            <v>0</v>
          </cell>
          <cell r="AB1003" t="str">
            <v>line item not tagged</v>
          </cell>
        </row>
        <row r="1004">
          <cell r="W1004">
            <v>0</v>
          </cell>
          <cell r="AB1004" t="str">
            <v>line item not tagged</v>
          </cell>
        </row>
        <row r="1005">
          <cell r="W1005">
            <v>0</v>
          </cell>
          <cell r="AB1005" t="str">
            <v>line item not tagged</v>
          </cell>
        </row>
        <row r="1006">
          <cell r="W1006">
            <v>0</v>
          </cell>
          <cell r="AB1006" t="str">
            <v>line item not tagged</v>
          </cell>
        </row>
        <row r="1007">
          <cell r="W1007">
            <v>0</v>
          </cell>
          <cell r="AB1007" t="str">
            <v>line item not tagged</v>
          </cell>
        </row>
        <row r="1008">
          <cell r="W1008">
            <v>0</v>
          </cell>
          <cell r="AB1008" t="str">
            <v>line item not tagged</v>
          </cell>
        </row>
        <row r="1009">
          <cell r="W1009">
            <v>0</v>
          </cell>
          <cell r="AB1009" t="str">
            <v>line item not tagged</v>
          </cell>
        </row>
        <row r="1010">
          <cell r="W1010">
            <v>0</v>
          </cell>
          <cell r="AB1010" t="str">
            <v>line item not tagged</v>
          </cell>
        </row>
        <row r="1011">
          <cell r="W1011">
            <v>0</v>
          </cell>
          <cell r="AB1011" t="str">
            <v>line item not tagged</v>
          </cell>
        </row>
        <row r="1012">
          <cell r="W1012">
            <v>0</v>
          </cell>
          <cell r="AB1012" t="str">
            <v>line item not tagged</v>
          </cell>
        </row>
        <row r="1013">
          <cell r="W1013">
            <v>0</v>
          </cell>
          <cell r="AB1013" t="str">
            <v>line item not tagged</v>
          </cell>
        </row>
        <row r="1014">
          <cell r="W1014">
            <v>0</v>
          </cell>
          <cell r="AB1014" t="str">
            <v>line item not tagged</v>
          </cell>
        </row>
        <row r="1015">
          <cell r="W1015">
            <v>0</v>
          </cell>
          <cell r="AB1015" t="str">
            <v>line item not tagged</v>
          </cell>
        </row>
        <row r="1016">
          <cell r="W1016">
            <v>0</v>
          </cell>
          <cell r="AB1016" t="str">
            <v>line item not tagged</v>
          </cell>
        </row>
        <row r="1017">
          <cell r="W1017">
            <v>0</v>
          </cell>
          <cell r="AB1017" t="str">
            <v>line item not tagged</v>
          </cell>
        </row>
        <row r="1018">
          <cell r="W1018">
            <v>0</v>
          </cell>
          <cell r="AB1018" t="str">
            <v>line item not tagged</v>
          </cell>
        </row>
        <row r="1019">
          <cell r="W1019">
            <v>0</v>
          </cell>
          <cell r="AB1019" t="str">
            <v>line item not tagged</v>
          </cell>
        </row>
        <row r="1020">
          <cell r="W1020">
            <v>0</v>
          </cell>
          <cell r="AB1020" t="str">
            <v>line item not tagged</v>
          </cell>
        </row>
        <row r="1021">
          <cell r="W1021">
            <v>0</v>
          </cell>
          <cell r="AB1021" t="str">
            <v>line item not tagged</v>
          </cell>
        </row>
        <row r="1022">
          <cell r="W1022">
            <v>0</v>
          </cell>
          <cell r="AB1022" t="str">
            <v>line item not tagged</v>
          </cell>
        </row>
        <row r="1023">
          <cell r="W1023">
            <v>0</v>
          </cell>
          <cell r="AB1023" t="str">
            <v>line item not tagged</v>
          </cell>
        </row>
        <row r="1024">
          <cell r="W1024">
            <v>0</v>
          </cell>
          <cell r="AB1024" t="str">
            <v>line item not tagged</v>
          </cell>
        </row>
        <row r="1025">
          <cell r="W1025">
            <v>0</v>
          </cell>
          <cell r="AB1025" t="str">
            <v>line item not tagged</v>
          </cell>
        </row>
        <row r="1026">
          <cell r="W1026">
            <v>0</v>
          </cell>
          <cell r="AB1026" t="str">
            <v>line item not tagged</v>
          </cell>
        </row>
        <row r="1027">
          <cell r="W1027">
            <v>0</v>
          </cell>
          <cell r="AB1027" t="str">
            <v>line item not tagged</v>
          </cell>
        </row>
        <row r="1028">
          <cell r="W1028">
            <v>0</v>
          </cell>
          <cell r="AB1028" t="str">
            <v>line item not tagged</v>
          </cell>
        </row>
        <row r="1029">
          <cell r="W1029">
            <v>0</v>
          </cell>
          <cell r="AB1029" t="str">
            <v>line item not tagged</v>
          </cell>
        </row>
        <row r="1030">
          <cell r="W1030">
            <v>0</v>
          </cell>
          <cell r="AB1030" t="str">
            <v>line item not tagged</v>
          </cell>
        </row>
        <row r="1031">
          <cell r="W1031">
            <v>0</v>
          </cell>
          <cell r="AB1031" t="str">
            <v>line item not tagged</v>
          </cell>
        </row>
        <row r="1032">
          <cell r="W1032">
            <v>0</v>
          </cell>
          <cell r="AB1032" t="str">
            <v>line item not tagged</v>
          </cell>
        </row>
        <row r="1033">
          <cell r="W1033">
            <v>0</v>
          </cell>
          <cell r="AB1033" t="str">
            <v>line item not tagged</v>
          </cell>
        </row>
        <row r="1034">
          <cell r="W1034">
            <v>0</v>
          </cell>
          <cell r="AB1034" t="str">
            <v>line item not tagged</v>
          </cell>
        </row>
        <row r="1035">
          <cell r="W1035">
            <v>0</v>
          </cell>
          <cell r="AB1035" t="str">
            <v>line item not tagged</v>
          </cell>
        </row>
        <row r="1036">
          <cell r="W1036">
            <v>0</v>
          </cell>
          <cell r="AB1036" t="str">
            <v>line item not tagged</v>
          </cell>
        </row>
        <row r="1037">
          <cell r="W1037">
            <v>0</v>
          </cell>
          <cell r="AB1037" t="str">
            <v>line item not tagged</v>
          </cell>
        </row>
        <row r="1038">
          <cell r="W1038">
            <v>0</v>
          </cell>
          <cell r="AB1038" t="str">
            <v>line item not tagged</v>
          </cell>
        </row>
        <row r="1039">
          <cell r="W1039">
            <v>0</v>
          </cell>
          <cell r="AB1039" t="str">
            <v>line item not tagged</v>
          </cell>
        </row>
        <row r="1040">
          <cell r="W1040">
            <v>0</v>
          </cell>
          <cell r="AB1040" t="str">
            <v>line item not tagged</v>
          </cell>
        </row>
        <row r="1041">
          <cell r="W1041">
            <v>0</v>
          </cell>
          <cell r="AB1041" t="str">
            <v>line item not tagged</v>
          </cell>
        </row>
        <row r="1042">
          <cell r="W1042">
            <v>0</v>
          </cell>
          <cell r="AB1042" t="str">
            <v>line item not tagged</v>
          </cell>
        </row>
        <row r="1043">
          <cell r="W1043">
            <v>0</v>
          </cell>
          <cell r="AB1043" t="str">
            <v>line item not tagged</v>
          </cell>
        </row>
        <row r="1044">
          <cell r="W1044">
            <v>0</v>
          </cell>
          <cell r="AB1044" t="str">
            <v>line item not tagged</v>
          </cell>
        </row>
        <row r="1045">
          <cell r="W1045">
            <v>0</v>
          </cell>
          <cell r="AB1045" t="str">
            <v>line item not tagged</v>
          </cell>
        </row>
        <row r="1046">
          <cell r="W1046">
            <v>0</v>
          </cell>
          <cell r="AB1046" t="str">
            <v>line item not tagged</v>
          </cell>
        </row>
        <row r="1047">
          <cell r="W1047">
            <v>0</v>
          </cell>
          <cell r="AB1047" t="str">
            <v>line item not tagged</v>
          </cell>
        </row>
        <row r="1048">
          <cell r="W1048">
            <v>0</v>
          </cell>
          <cell r="AB1048" t="str">
            <v>line item not tagged</v>
          </cell>
        </row>
        <row r="1049">
          <cell r="W1049">
            <v>0</v>
          </cell>
          <cell r="AB1049" t="str">
            <v>line item not tagged</v>
          </cell>
        </row>
        <row r="1050">
          <cell r="W1050">
            <v>0</v>
          </cell>
          <cell r="AB1050" t="str">
            <v>line item not tagged</v>
          </cell>
        </row>
        <row r="1051">
          <cell r="W1051">
            <v>0</v>
          </cell>
          <cell r="AB1051" t="str">
            <v>line item not tagged</v>
          </cell>
        </row>
        <row r="1052">
          <cell r="W1052">
            <v>0</v>
          </cell>
          <cell r="AB1052" t="str">
            <v>line item not tagged</v>
          </cell>
        </row>
        <row r="1053">
          <cell r="W1053">
            <v>0</v>
          </cell>
          <cell r="AB1053" t="str">
            <v>line item not tagged</v>
          </cell>
        </row>
        <row r="1054">
          <cell r="W1054">
            <v>0</v>
          </cell>
          <cell r="AB1054" t="str">
            <v>line item not tagged</v>
          </cell>
        </row>
        <row r="1055">
          <cell r="W1055">
            <v>0</v>
          </cell>
          <cell r="AB1055" t="str">
            <v>line item not tagged</v>
          </cell>
        </row>
        <row r="1056">
          <cell r="W1056">
            <v>0</v>
          </cell>
          <cell r="AB1056" t="str">
            <v>line item not tagged</v>
          </cell>
        </row>
        <row r="1057">
          <cell r="W1057">
            <v>0</v>
          </cell>
          <cell r="AB1057" t="str">
            <v>line item not tagged</v>
          </cell>
        </row>
        <row r="1058">
          <cell r="W1058">
            <v>0</v>
          </cell>
          <cell r="AB1058" t="str">
            <v>line item not tagged</v>
          </cell>
        </row>
        <row r="1059">
          <cell r="W1059">
            <v>0</v>
          </cell>
          <cell r="AB1059" t="str">
            <v>line item not tagged</v>
          </cell>
        </row>
        <row r="1060">
          <cell r="W1060">
            <v>0</v>
          </cell>
          <cell r="AB1060" t="str">
            <v>line item not tagged</v>
          </cell>
        </row>
        <row r="1061">
          <cell r="W1061">
            <v>0</v>
          </cell>
          <cell r="AB1061" t="str">
            <v>line item not tagged</v>
          </cell>
        </row>
        <row r="1062">
          <cell r="W1062">
            <v>0</v>
          </cell>
          <cell r="AB1062" t="str">
            <v>line item not tagged</v>
          </cell>
        </row>
        <row r="1063">
          <cell r="W1063">
            <v>0</v>
          </cell>
          <cell r="AB1063" t="str">
            <v>line item not tagged</v>
          </cell>
        </row>
        <row r="1064">
          <cell r="W1064">
            <v>0</v>
          </cell>
          <cell r="AB1064" t="str">
            <v>line item not tagged</v>
          </cell>
        </row>
        <row r="1065">
          <cell r="W1065">
            <v>0</v>
          </cell>
          <cell r="AB1065" t="str">
            <v>line item not tagged</v>
          </cell>
        </row>
        <row r="1066">
          <cell r="W1066">
            <v>0</v>
          </cell>
          <cell r="AB1066" t="str">
            <v>line item not tagged</v>
          </cell>
        </row>
        <row r="1067">
          <cell r="W1067">
            <v>0</v>
          </cell>
          <cell r="AB1067" t="str">
            <v>line item not tagged</v>
          </cell>
        </row>
        <row r="1068">
          <cell r="W1068">
            <v>0</v>
          </cell>
          <cell r="AB1068" t="str">
            <v>line item not tagged</v>
          </cell>
        </row>
        <row r="1069">
          <cell r="W1069">
            <v>0</v>
          </cell>
          <cell r="AB1069" t="str">
            <v>line item not tagged</v>
          </cell>
        </row>
        <row r="1070">
          <cell r="W1070">
            <v>0</v>
          </cell>
          <cell r="AB1070" t="str">
            <v>line item not tagged</v>
          </cell>
        </row>
        <row r="1071">
          <cell r="W1071">
            <v>0</v>
          </cell>
          <cell r="AB1071" t="str">
            <v>line item not tagged</v>
          </cell>
        </row>
        <row r="1072">
          <cell r="W1072">
            <v>0</v>
          </cell>
          <cell r="AB1072" t="str">
            <v>line item not tagged</v>
          </cell>
        </row>
        <row r="1073">
          <cell r="W1073">
            <v>0</v>
          </cell>
          <cell r="AB1073" t="str">
            <v>line item not tagged</v>
          </cell>
        </row>
        <row r="1074">
          <cell r="W1074">
            <v>0</v>
          </cell>
          <cell r="AB1074" t="str">
            <v>line item not tagged</v>
          </cell>
        </row>
        <row r="1075">
          <cell r="W1075">
            <v>0</v>
          </cell>
          <cell r="AB1075" t="str">
            <v>line item not tagged</v>
          </cell>
        </row>
        <row r="1076">
          <cell r="W1076">
            <v>0</v>
          </cell>
          <cell r="AB1076" t="str">
            <v>line item not tagged</v>
          </cell>
        </row>
        <row r="1077">
          <cell r="W1077">
            <v>0</v>
          </cell>
          <cell r="AB1077" t="str">
            <v>line item not tagged</v>
          </cell>
        </row>
        <row r="1078">
          <cell r="W1078">
            <v>0</v>
          </cell>
          <cell r="AB1078" t="str">
            <v>line item not tagged</v>
          </cell>
        </row>
        <row r="1079">
          <cell r="W1079">
            <v>0</v>
          </cell>
          <cell r="AB1079" t="str">
            <v>line item not tagged</v>
          </cell>
        </row>
        <row r="1080">
          <cell r="W1080">
            <v>0</v>
          </cell>
          <cell r="AB1080" t="str">
            <v>line item not tagged</v>
          </cell>
        </row>
        <row r="1081">
          <cell r="W1081">
            <v>0</v>
          </cell>
          <cell r="AB1081" t="str">
            <v>line item not tagged</v>
          </cell>
        </row>
        <row r="1082">
          <cell r="W1082">
            <v>0</v>
          </cell>
          <cell r="AB1082" t="str">
            <v>line item not tagged</v>
          </cell>
        </row>
        <row r="1083">
          <cell r="W1083">
            <v>0</v>
          </cell>
          <cell r="AB1083" t="str">
            <v>line item not tagged</v>
          </cell>
        </row>
        <row r="1084">
          <cell r="W1084">
            <v>0</v>
          </cell>
          <cell r="AB1084" t="str">
            <v>line item not tagged</v>
          </cell>
        </row>
        <row r="1085">
          <cell r="W1085">
            <v>0</v>
          </cell>
          <cell r="AB1085" t="str">
            <v>line item not tagged</v>
          </cell>
        </row>
        <row r="1086">
          <cell r="W1086">
            <v>0</v>
          </cell>
          <cell r="AB1086" t="str">
            <v>line item not tagged</v>
          </cell>
        </row>
        <row r="1087">
          <cell r="W1087">
            <v>0</v>
          </cell>
          <cell r="AB1087" t="str">
            <v>line item not tagged</v>
          </cell>
        </row>
        <row r="1088">
          <cell r="W1088">
            <v>0</v>
          </cell>
          <cell r="AB1088" t="str">
            <v>line item not tagged</v>
          </cell>
        </row>
        <row r="1089">
          <cell r="W1089">
            <v>0</v>
          </cell>
          <cell r="AB1089" t="str">
            <v>line item not tagged</v>
          </cell>
        </row>
        <row r="1090">
          <cell r="W1090">
            <v>0</v>
          </cell>
          <cell r="AB1090" t="str">
            <v>line item not tagged</v>
          </cell>
        </row>
        <row r="1091">
          <cell r="W1091">
            <v>0</v>
          </cell>
          <cell r="AB1091" t="str">
            <v>line item not tagged</v>
          </cell>
        </row>
        <row r="1092">
          <cell r="W1092">
            <v>0</v>
          </cell>
          <cell r="AB1092" t="str">
            <v>line item not tagged</v>
          </cell>
        </row>
        <row r="1093">
          <cell r="W1093">
            <v>0</v>
          </cell>
          <cell r="AB1093" t="str">
            <v>line item not tagged</v>
          </cell>
        </row>
        <row r="1094">
          <cell r="W1094">
            <v>0</v>
          </cell>
          <cell r="AB1094" t="str">
            <v>line item not tagged</v>
          </cell>
        </row>
        <row r="1095">
          <cell r="W1095">
            <v>0</v>
          </cell>
          <cell r="AB1095" t="str">
            <v>line item not tagged</v>
          </cell>
        </row>
        <row r="1096">
          <cell r="W1096">
            <v>0</v>
          </cell>
          <cell r="AB1096" t="str">
            <v>line item not tagged</v>
          </cell>
        </row>
        <row r="1097">
          <cell r="W1097">
            <v>0</v>
          </cell>
          <cell r="AB1097" t="str">
            <v>line item not tagged</v>
          </cell>
        </row>
        <row r="1098">
          <cell r="W1098">
            <v>0</v>
          </cell>
          <cell r="AB1098" t="str">
            <v>line item not tagged</v>
          </cell>
        </row>
        <row r="1099">
          <cell r="W1099">
            <v>0</v>
          </cell>
          <cell r="AB1099" t="str">
            <v>line item not tagged</v>
          </cell>
        </row>
        <row r="1100">
          <cell r="W1100">
            <v>0</v>
          </cell>
          <cell r="AB1100" t="str">
            <v>line item not tagged</v>
          </cell>
        </row>
        <row r="1101">
          <cell r="W1101">
            <v>0</v>
          </cell>
          <cell r="AB1101" t="str">
            <v>line item not tagged</v>
          </cell>
        </row>
        <row r="1102">
          <cell r="W1102">
            <v>0</v>
          </cell>
          <cell r="AB1102" t="str">
            <v>line item not tagged</v>
          </cell>
        </row>
        <row r="1103">
          <cell r="W1103">
            <v>0</v>
          </cell>
          <cell r="AB1103" t="str">
            <v>line item not tagged</v>
          </cell>
        </row>
        <row r="1104">
          <cell r="W1104">
            <v>0</v>
          </cell>
          <cell r="AB1104" t="str">
            <v>line item not tagged</v>
          </cell>
        </row>
        <row r="1105">
          <cell r="W1105">
            <v>0</v>
          </cell>
          <cell r="AB1105" t="str">
            <v>line item not tagged</v>
          </cell>
        </row>
        <row r="1106">
          <cell r="W1106">
            <v>0</v>
          </cell>
          <cell r="AB1106" t="str">
            <v>line item not tagged</v>
          </cell>
        </row>
        <row r="1107">
          <cell r="W1107">
            <v>0</v>
          </cell>
          <cell r="AB1107" t="str">
            <v>line item not tagged</v>
          </cell>
        </row>
        <row r="1108">
          <cell r="W1108">
            <v>0</v>
          </cell>
          <cell r="AB1108" t="str">
            <v>line item not tagged</v>
          </cell>
        </row>
        <row r="1109">
          <cell r="W1109">
            <v>0</v>
          </cell>
          <cell r="AB1109" t="str">
            <v>line item not tagged</v>
          </cell>
        </row>
        <row r="1110">
          <cell r="W1110">
            <v>0</v>
          </cell>
          <cell r="AB1110" t="str">
            <v>line item not tagged</v>
          </cell>
        </row>
        <row r="1111">
          <cell r="W1111">
            <v>0</v>
          </cell>
          <cell r="AB1111" t="str">
            <v>line item not tagged</v>
          </cell>
        </row>
        <row r="1112">
          <cell r="W1112">
            <v>0</v>
          </cell>
          <cell r="AB1112" t="str">
            <v>line item not tagged</v>
          </cell>
        </row>
        <row r="1113">
          <cell r="W1113">
            <v>0</v>
          </cell>
          <cell r="AB1113" t="str">
            <v>line item not tagged</v>
          </cell>
        </row>
        <row r="1114">
          <cell r="W1114">
            <v>0</v>
          </cell>
          <cell r="AB1114" t="str">
            <v>line item not tagged</v>
          </cell>
        </row>
        <row r="1115">
          <cell r="W1115">
            <v>0</v>
          </cell>
          <cell r="AB1115" t="str">
            <v>line item not tagged</v>
          </cell>
        </row>
        <row r="1116">
          <cell r="W1116">
            <v>0</v>
          </cell>
          <cell r="AB1116" t="str">
            <v>line item not tagged</v>
          </cell>
        </row>
        <row r="1117">
          <cell r="W1117">
            <v>0</v>
          </cell>
          <cell r="AB1117" t="str">
            <v>line item not tagged</v>
          </cell>
        </row>
        <row r="1118">
          <cell r="W1118">
            <v>0</v>
          </cell>
          <cell r="AB1118" t="str">
            <v>line item not tagged</v>
          </cell>
        </row>
        <row r="1119">
          <cell r="W1119">
            <v>0</v>
          </cell>
          <cell r="AB1119" t="str">
            <v>line item not tagged</v>
          </cell>
        </row>
        <row r="1120">
          <cell r="W1120">
            <v>0</v>
          </cell>
          <cell r="AB1120" t="str">
            <v>line item not tagged</v>
          </cell>
        </row>
        <row r="1121">
          <cell r="W1121">
            <v>0</v>
          </cell>
          <cell r="AB1121" t="str">
            <v>line item not tagged</v>
          </cell>
        </row>
        <row r="1122">
          <cell r="W1122">
            <v>0</v>
          </cell>
          <cell r="AB1122" t="str">
            <v>line item not tagged</v>
          </cell>
        </row>
        <row r="1123">
          <cell r="W1123">
            <v>0</v>
          </cell>
          <cell r="AB1123" t="str">
            <v>line item not tagged</v>
          </cell>
        </row>
        <row r="1124">
          <cell r="W1124">
            <v>0</v>
          </cell>
          <cell r="AB1124" t="str">
            <v>line item not tagged</v>
          </cell>
        </row>
        <row r="1125">
          <cell r="W1125">
            <v>0</v>
          </cell>
          <cell r="AB1125" t="str">
            <v>line item not tagged</v>
          </cell>
        </row>
        <row r="1126">
          <cell r="W1126">
            <v>0</v>
          </cell>
          <cell r="AB1126" t="str">
            <v>line item not tagged</v>
          </cell>
        </row>
        <row r="1127">
          <cell r="W1127">
            <v>0</v>
          </cell>
          <cell r="AB1127" t="str">
            <v>line item not tagged</v>
          </cell>
        </row>
        <row r="1128">
          <cell r="W1128">
            <v>0</v>
          </cell>
          <cell r="AB1128" t="str">
            <v>line item not tagged</v>
          </cell>
        </row>
        <row r="1129">
          <cell r="W1129">
            <v>0</v>
          </cell>
          <cell r="AB1129" t="str">
            <v>line item not tagged</v>
          </cell>
        </row>
        <row r="1130">
          <cell r="W1130">
            <v>0</v>
          </cell>
          <cell r="AB1130" t="str">
            <v>line item not tagged</v>
          </cell>
        </row>
        <row r="1131">
          <cell r="W1131">
            <v>0</v>
          </cell>
          <cell r="AB1131" t="str">
            <v>line item not tagged</v>
          </cell>
        </row>
        <row r="1132">
          <cell r="W1132">
            <v>0</v>
          </cell>
          <cell r="AB1132" t="str">
            <v>line item not tagged</v>
          </cell>
        </row>
        <row r="1133">
          <cell r="W1133">
            <v>0</v>
          </cell>
          <cell r="AB1133" t="str">
            <v>line item not tagged</v>
          </cell>
        </row>
        <row r="1134">
          <cell r="W1134">
            <v>0</v>
          </cell>
          <cell r="AB1134" t="str">
            <v>line item not tagged</v>
          </cell>
        </row>
        <row r="1135">
          <cell r="W1135">
            <v>0</v>
          </cell>
          <cell r="AB1135" t="str">
            <v>line item not tagged</v>
          </cell>
        </row>
        <row r="1136">
          <cell r="W1136">
            <v>0</v>
          </cell>
          <cell r="AB1136" t="str">
            <v>line item not tagged</v>
          </cell>
        </row>
        <row r="1137">
          <cell r="W1137">
            <v>0</v>
          </cell>
          <cell r="AB1137" t="str">
            <v>line item not tagged</v>
          </cell>
        </row>
        <row r="1138">
          <cell r="W1138">
            <v>0</v>
          </cell>
          <cell r="AB1138" t="str">
            <v>line item not tagged</v>
          </cell>
        </row>
        <row r="1139">
          <cell r="W1139">
            <v>0</v>
          </cell>
          <cell r="AB1139" t="str">
            <v>line item not tagged</v>
          </cell>
        </row>
        <row r="1140">
          <cell r="W1140">
            <v>0</v>
          </cell>
          <cell r="AB1140" t="str">
            <v>line item not tagged</v>
          </cell>
        </row>
        <row r="1141">
          <cell r="W1141">
            <v>0</v>
          </cell>
          <cell r="AB1141" t="str">
            <v>line item not tagged</v>
          </cell>
        </row>
        <row r="1142">
          <cell r="W1142">
            <v>0</v>
          </cell>
          <cell r="AB1142" t="str">
            <v>line item not tagged</v>
          </cell>
        </row>
        <row r="1143">
          <cell r="W1143">
            <v>0</v>
          </cell>
          <cell r="AB1143" t="str">
            <v>line item not tagged</v>
          </cell>
        </row>
        <row r="1144">
          <cell r="W1144">
            <v>0</v>
          </cell>
          <cell r="AB1144" t="str">
            <v>line item not tagged</v>
          </cell>
        </row>
        <row r="1145">
          <cell r="W1145">
            <v>0</v>
          </cell>
          <cell r="AB1145" t="str">
            <v>line item not tagged</v>
          </cell>
        </row>
        <row r="1146">
          <cell r="W1146">
            <v>0</v>
          </cell>
          <cell r="AB1146" t="str">
            <v>line item not tagged</v>
          </cell>
        </row>
        <row r="1147">
          <cell r="W1147">
            <v>0</v>
          </cell>
          <cell r="AB1147" t="str">
            <v>line item not tagged</v>
          </cell>
        </row>
        <row r="1148">
          <cell r="W1148">
            <v>0</v>
          </cell>
          <cell r="AB1148" t="str">
            <v>line item not tagged</v>
          </cell>
        </row>
        <row r="1149">
          <cell r="W1149">
            <v>0</v>
          </cell>
          <cell r="AB1149" t="str">
            <v>line item not tagged</v>
          </cell>
        </row>
        <row r="1150">
          <cell r="W1150">
            <v>0</v>
          </cell>
          <cell r="AB1150" t="str">
            <v>line item not tagged</v>
          </cell>
        </row>
        <row r="1151">
          <cell r="W1151">
            <v>0</v>
          </cell>
          <cell r="AB1151" t="str">
            <v>line item not tagged</v>
          </cell>
        </row>
        <row r="1152">
          <cell r="W1152">
            <v>0</v>
          </cell>
          <cell r="AB1152" t="str">
            <v>line item not tagged</v>
          </cell>
        </row>
        <row r="1153">
          <cell r="W1153">
            <v>0</v>
          </cell>
          <cell r="AB1153" t="str">
            <v>line item not tagged</v>
          </cell>
        </row>
        <row r="1154">
          <cell r="W1154">
            <v>0</v>
          </cell>
          <cell r="AB1154" t="str">
            <v>line item not tagged</v>
          </cell>
        </row>
        <row r="1155">
          <cell r="W1155">
            <v>0</v>
          </cell>
          <cell r="AB1155" t="str">
            <v>line item not tagged</v>
          </cell>
        </row>
        <row r="1156">
          <cell r="W1156">
            <v>0</v>
          </cell>
          <cell r="AB1156" t="str">
            <v>line item not tagged</v>
          </cell>
        </row>
        <row r="1157">
          <cell r="W1157">
            <v>0</v>
          </cell>
          <cell r="AB1157" t="str">
            <v>line item not tagged</v>
          </cell>
        </row>
        <row r="1158">
          <cell r="W1158">
            <v>0</v>
          </cell>
          <cell r="AB1158" t="str">
            <v>line item not tagged</v>
          </cell>
        </row>
        <row r="1159">
          <cell r="W1159">
            <v>0</v>
          </cell>
          <cell r="AB1159" t="str">
            <v>line item not tagged</v>
          </cell>
        </row>
        <row r="1160">
          <cell r="W1160">
            <v>0</v>
          </cell>
          <cell r="AB1160" t="str">
            <v>line item not tagged</v>
          </cell>
        </row>
        <row r="1161">
          <cell r="W1161">
            <v>0</v>
          </cell>
          <cell r="AB1161" t="str">
            <v>line item not tagged</v>
          </cell>
        </row>
        <row r="1162">
          <cell r="W1162">
            <v>0</v>
          </cell>
          <cell r="AB1162" t="str">
            <v>line item not tagged</v>
          </cell>
        </row>
        <row r="1163">
          <cell r="W1163">
            <v>0</v>
          </cell>
          <cell r="AB1163" t="str">
            <v>line item not tagged</v>
          </cell>
        </row>
        <row r="1164">
          <cell r="W1164">
            <v>0</v>
          </cell>
          <cell r="AB1164" t="str">
            <v>line item not tagged</v>
          </cell>
        </row>
        <row r="1165">
          <cell r="W1165">
            <v>0</v>
          </cell>
          <cell r="AB1165" t="str">
            <v>line item not tagged</v>
          </cell>
        </row>
        <row r="1166">
          <cell r="W1166">
            <v>0</v>
          </cell>
          <cell r="AB1166" t="str">
            <v>line item not tagged</v>
          </cell>
        </row>
        <row r="1167">
          <cell r="W1167">
            <v>0</v>
          </cell>
          <cell r="AB1167" t="str">
            <v>line item not tagged</v>
          </cell>
        </row>
        <row r="1168">
          <cell r="W1168">
            <v>0</v>
          </cell>
          <cell r="AB1168" t="str">
            <v>line item not tagged</v>
          </cell>
        </row>
        <row r="1169">
          <cell r="W1169">
            <v>0</v>
          </cell>
          <cell r="AB1169" t="str">
            <v>line item not tagged</v>
          </cell>
        </row>
        <row r="1170">
          <cell r="W1170">
            <v>0</v>
          </cell>
          <cell r="AB1170" t="str">
            <v>line item not tagged</v>
          </cell>
        </row>
        <row r="1171">
          <cell r="W1171">
            <v>0</v>
          </cell>
          <cell r="AB1171" t="str">
            <v>line item not tagged</v>
          </cell>
        </row>
        <row r="1172">
          <cell r="W1172">
            <v>0</v>
          </cell>
          <cell r="AB1172" t="str">
            <v>line item not tagged</v>
          </cell>
        </row>
        <row r="1173">
          <cell r="W1173">
            <v>0</v>
          </cell>
          <cell r="AB1173" t="str">
            <v>line item not tagged</v>
          </cell>
        </row>
        <row r="1174">
          <cell r="W1174">
            <v>0</v>
          </cell>
          <cell r="AB1174" t="str">
            <v>line item not tagged</v>
          </cell>
        </row>
        <row r="1175">
          <cell r="W1175">
            <v>0</v>
          </cell>
          <cell r="AB1175" t="str">
            <v>line item not tagged</v>
          </cell>
        </row>
        <row r="1176">
          <cell r="W1176">
            <v>0</v>
          </cell>
          <cell r="AB1176" t="str">
            <v>line item not tagged</v>
          </cell>
        </row>
        <row r="1177">
          <cell r="W1177">
            <v>0</v>
          </cell>
          <cell r="AB1177" t="str">
            <v>line item not tagged</v>
          </cell>
        </row>
        <row r="1178">
          <cell r="W1178">
            <v>0</v>
          </cell>
          <cell r="AB1178" t="str">
            <v>line item not tagged</v>
          </cell>
        </row>
        <row r="1179">
          <cell r="W1179">
            <v>0</v>
          </cell>
          <cell r="AB1179" t="str">
            <v>line item not tagged</v>
          </cell>
        </row>
        <row r="1180">
          <cell r="W1180">
            <v>0</v>
          </cell>
          <cell r="AB1180" t="str">
            <v>line item not tagged</v>
          </cell>
        </row>
        <row r="1181">
          <cell r="W1181">
            <v>0</v>
          </cell>
          <cell r="AB1181" t="str">
            <v>line item not tagged</v>
          </cell>
        </row>
        <row r="1182">
          <cell r="W1182">
            <v>0</v>
          </cell>
          <cell r="AB1182" t="str">
            <v>line item not tagged</v>
          </cell>
        </row>
        <row r="1183">
          <cell r="W1183">
            <v>0</v>
          </cell>
          <cell r="AB1183" t="str">
            <v>line item not tagged</v>
          </cell>
        </row>
        <row r="1184">
          <cell r="W1184">
            <v>0</v>
          </cell>
          <cell r="AB1184" t="str">
            <v>line item not tagged</v>
          </cell>
        </row>
        <row r="1185">
          <cell r="W1185">
            <v>0</v>
          </cell>
          <cell r="AB1185" t="str">
            <v>line item not tagged</v>
          </cell>
        </row>
        <row r="1186">
          <cell r="W1186">
            <v>0</v>
          </cell>
          <cell r="AB1186" t="str">
            <v>line item not tagged</v>
          </cell>
        </row>
        <row r="1187">
          <cell r="W1187">
            <v>0</v>
          </cell>
          <cell r="AB1187" t="str">
            <v>line item not tagged</v>
          </cell>
        </row>
        <row r="1188">
          <cell r="W1188">
            <v>0</v>
          </cell>
          <cell r="AB1188" t="str">
            <v>line item not tagged</v>
          </cell>
        </row>
        <row r="1189">
          <cell r="W1189">
            <v>0</v>
          </cell>
          <cell r="AB1189" t="str">
            <v>line item not tagged</v>
          </cell>
        </row>
        <row r="1190">
          <cell r="W1190">
            <v>0</v>
          </cell>
          <cell r="AB1190" t="str">
            <v>line item not tagged</v>
          </cell>
        </row>
        <row r="1191">
          <cell r="W1191">
            <v>0</v>
          </cell>
          <cell r="AB1191" t="str">
            <v>line item not tagged</v>
          </cell>
        </row>
        <row r="1192">
          <cell r="W1192">
            <v>0</v>
          </cell>
          <cell r="AB1192" t="str">
            <v>line item not tagged</v>
          </cell>
        </row>
        <row r="1193">
          <cell r="W1193">
            <v>0</v>
          </cell>
          <cell r="AB1193" t="str">
            <v>line item not tagged</v>
          </cell>
        </row>
        <row r="1194">
          <cell r="W1194">
            <v>0</v>
          </cell>
          <cell r="AB1194" t="str">
            <v>line item not tagged</v>
          </cell>
        </row>
        <row r="1195">
          <cell r="W1195">
            <v>0</v>
          </cell>
          <cell r="AB1195" t="str">
            <v>line item not tagged</v>
          </cell>
        </row>
        <row r="1196">
          <cell r="W1196">
            <v>0</v>
          </cell>
          <cell r="AB1196" t="str">
            <v>line item not tagged</v>
          </cell>
        </row>
        <row r="1197">
          <cell r="W1197">
            <v>0</v>
          </cell>
          <cell r="AB1197" t="str">
            <v>line item not tagged</v>
          </cell>
        </row>
        <row r="1198">
          <cell r="W1198">
            <v>0</v>
          </cell>
          <cell r="AB1198" t="str">
            <v>line item not tagged</v>
          </cell>
        </row>
        <row r="1199">
          <cell r="W1199">
            <v>0</v>
          </cell>
          <cell r="AB1199" t="str">
            <v>line item not tagged</v>
          </cell>
        </row>
        <row r="1200">
          <cell r="W1200">
            <v>0</v>
          </cell>
          <cell r="AB1200" t="str">
            <v>line item not tagged</v>
          </cell>
        </row>
        <row r="1201">
          <cell r="W1201">
            <v>0</v>
          </cell>
          <cell r="AB1201" t="str">
            <v>line item not tagged</v>
          </cell>
        </row>
        <row r="1202">
          <cell r="W1202">
            <v>0</v>
          </cell>
          <cell r="AB1202" t="str">
            <v>line item not tagged</v>
          </cell>
        </row>
        <row r="1203">
          <cell r="W1203">
            <v>0</v>
          </cell>
          <cell r="AB1203" t="str">
            <v>line item not tagged</v>
          </cell>
        </row>
        <row r="1204">
          <cell r="W1204">
            <v>0</v>
          </cell>
          <cell r="AB1204" t="str">
            <v>line item not tagged</v>
          </cell>
        </row>
        <row r="1205">
          <cell r="W1205">
            <v>0</v>
          </cell>
          <cell r="AB1205" t="str">
            <v>line item not tagged</v>
          </cell>
        </row>
        <row r="1206">
          <cell r="W1206">
            <v>0</v>
          </cell>
          <cell r="AB1206" t="str">
            <v>line item not tagged</v>
          </cell>
        </row>
        <row r="1207">
          <cell r="W1207">
            <v>0</v>
          </cell>
          <cell r="AB1207" t="str">
            <v>line item not tagged</v>
          </cell>
        </row>
        <row r="1208">
          <cell r="W1208">
            <v>0</v>
          </cell>
          <cell r="AB1208" t="str">
            <v>line item not tagged</v>
          </cell>
        </row>
        <row r="1209">
          <cell r="W1209">
            <v>0</v>
          </cell>
          <cell r="AB1209" t="str">
            <v>line item not tagged</v>
          </cell>
        </row>
        <row r="1210">
          <cell r="W1210">
            <v>0</v>
          </cell>
          <cell r="AB1210" t="str">
            <v>line item not tagged</v>
          </cell>
        </row>
        <row r="1211">
          <cell r="W1211">
            <v>0</v>
          </cell>
          <cell r="AB1211" t="str">
            <v>line item not tagged</v>
          </cell>
        </row>
        <row r="1212">
          <cell r="W1212">
            <v>0</v>
          </cell>
          <cell r="AB1212" t="str">
            <v>line item not tagged</v>
          </cell>
        </row>
        <row r="1213">
          <cell r="W1213">
            <v>0</v>
          </cell>
          <cell r="AB1213" t="str">
            <v>line item not tagged</v>
          </cell>
        </row>
        <row r="1214">
          <cell r="W1214">
            <v>0</v>
          </cell>
          <cell r="AB1214" t="str">
            <v>line item not tagged</v>
          </cell>
        </row>
        <row r="1215">
          <cell r="W1215">
            <v>0</v>
          </cell>
          <cell r="AB1215" t="str">
            <v>line item not tagged</v>
          </cell>
        </row>
        <row r="1216">
          <cell r="W1216">
            <v>0</v>
          </cell>
          <cell r="AB1216" t="str">
            <v>line item not tagged</v>
          </cell>
        </row>
        <row r="1217">
          <cell r="W1217">
            <v>0</v>
          </cell>
          <cell r="AB1217" t="str">
            <v>line item not tagged</v>
          </cell>
        </row>
        <row r="1218">
          <cell r="W1218">
            <v>0</v>
          </cell>
          <cell r="AB1218" t="str">
            <v>line item not tagged</v>
          </cell>
        </row>
        <row r="1219">
          <cell r="W1219">
            <v>0</v>
          </cell>
          <cell r="AB1219" t="str">
            <v>line item not tagged</v>
          </cell>
        </row>
        <row r="1220">
          <cell r="W1220">
            <v>0</v>
          </cell>
          <cell r="AB1220" t="str">
            <v>line item not tagged</v>
          </cell>
        </row>
        <row r="1221">
          <cell r="W1221">
            <v>0</v>
          </cell>
          <cell r="AB1221" t="str">
            <v>line item not tagged</v>
          </cell>
        </row>
        <row r="1222">
          <cell r="W1222">
            <v>0</v>
          </cell>
          <cell r="AB1222" t="str">
            <v>line item not tagged</v>
          </cell>
        </row>
        <row r="1223">
          <cell r="W1223">
            <v>0</v>
          </cell>
          <cell r="AB1223" t="str">
            <v>line item not tagged</v>
          </cell>
        </row>
        <row r="1224">
          <cell r="W1224">
            <v>0</v>
          </cell>
          <cell r="AB1224" t="str">
            <v>line item not tagged</v>
          </cell>
        </row>
        <row r="1225">
          <cell r="W1225">
            <v>0</v>
          </cell>
          <cell r="AB1225" t="str">
            <v>line item not tagged</v>
          </cell>
        </row>
        <row r="1226">
          <cell r="W1226">
            <v>0</v>
          </cell>
          <cell r="AB1226" t="str">
            <v>line item not tagged</v>
          </cell>
        </row>
        <row r="1227">
          <cell r="W1227">
            <v>0</v>
          </cell>
          <cell r="AB1227" t="str">
            <v>line item not tagged</v>
          </cell>
        </row>
        <row r="1228">
          <cell r="W1228">
            <v>0</v>
          </cell>
          <cell r="AB1228" t="str">
            <v>line item not tagged</v>
          </cell>
        </row>
        <row r="1229">
          <cell r="W1229">
            <v>0</v>
          </cell>
          <cell r="AB1229" t="str">
            <v>line item not tagged</v>
          </cell>
        </row>
        <row r="1230">
          <cell r="W1230">
            <v>0</v>
          </cell>
          <cell r="AB1230" t="str">
            <v>line item not tagged</v>
          </cell>
        </row>
        <row r="1231">
          <cell r="W1231">
            <v>0</v>
          </cell>
          <cell r="AB1231" t="str">
            <v>line item not tagged</v>
          </cell>
        </row>
        <row r="1232">
          <cell r="W1232">
            <v>0</v>
          </cell>
          <cell r="AB1232" t="str">
            <v>line item not tagged</v>
          </cell>
        </row>
        <row r="1233">
          <cell r="W1233">
            <v>0</v>
          </cell>
          <cell r="AB1233" t="str">
            <v>line item not tagged</v>
          </cell>
        </row>
        <row r="1234">
          <cell r="W1234">
            <v>0</v>
          </cell>
          <cell r="AB1234" t="str">
            <v>line item not tagged</v>
          </cell>
        </row>
        <row r="1235">
          <cell r="W1235">
            <v>0</v>
          </cell>
          <cell r="AB1235" t="str">
            <v>line item not tagged</v>
          </cell>
        </row>
        <row r="1236">
          <cell r="W1236">
            <v>0</v>
          </cell>
          <cell r="AB1236" t="str">
            <v>line item not tagged</v>
          </cell>
        </row>
        <row r="1237">
          <cell r="W1237">
            <v>0</v>
          </cell>
          <cell r="AB1237" t="str">
            <v>line item not tagged</v>
          </cell>
        </row>
        <row r="1238">
          <cell r="W1238">
            <v>0</v>
          </cell>
          <cell r="AB1238" t="str">
            <v>line item not tagged</v>
          </cell>
        </row>
        <row r="1239">
          <cell r="W1239">
            <v>0</v>
          </cell>
          <cell r="AB1239" t="str">
            <v>line item not tagged</v>
          </cell>
        </row>
        <row r="1240">
          <cell r="W1240">
            <v>0</v>
          </cell>
          <cell r="AB1240" t="str">
            <v>line item not tagged</v>
          </cell>
        </row>
        <row r="1241">
          <cell r="W1241">
            <v>0</v>
          </cell>
          <cell r="AB1241" t="str">
            <v>line item not tagged</v>
          </cell>
        </row>
        <row r="1242">
          <cell r="W1242">
            <v>0</v>
          </cell>
          <cell r="AB1242" t="str">
            <v>line item not tagged</v>
          </cell>
        </row>
        <row r="1243">
          <cell r="W1243">
            <v>0</v>
          </cell>
          <cell r="AB1243" t="str">
            <v>line item not tagged</v>
          </cell>
        </row>
        <row r="1244">
          <cell r="W1244">
            <v>0</v>
          </cell>
          <cell r="AB1244" t="str">
            <v>line item not tagged</v>
          </cell>
        </row>
        <row r="1245">
          <cell r="W1245">
            <v>0</v>
          </cell>
          <cell r="AB1245" t="str">
            <v>line item not tagged</v>
          </cell>
        </row>
        <row r="1246">
          <cell r="W1246">
            <v>0</v>
          </cell>
          <cell r="AB1246" t="str">
            <v>line item not tagged</v>
          </cell>
        </row>
        <row r="1247">
          <cell r="W1247">
            <v>0</v>
          </cell>
          <cell r="AB1247" t="str">
            <v>line item not tagged</v>
          </cell>
        </row>
        <row r="1248">
          <cell r="W1248">
            <v>0</v>
          </cell>
          <cell r="AB1248" t="str">
            <v>line item not tagged</v>
          </cell>
        </row>
        <row r="1249">
          <cell r="W1249">
            <v>0</v>
          </cell>
          <cell r="AB1249" t="str">
            <v>line item not tagged</v>
          </cell>
        </row>
        <row r="1250">
          <cell r="W1250">
            <v>0</v>
          </cell>
          <cell r="AB1250" t="str">
            <v>line item not tagged</v>
          </cell>
        </row>
        <row r="1251">
          <cell r="W1251">
            <v>0</v>
          </cell>
          <cell r="AB1251" t="str">
            <v>line item not tagged</v>
          </cell>
        </row>
        <row r="1252">
          <cell r="W1252">
            <v>0</v>
          </cell>
          <cell r="AB1252" t="str">
            <v>line item not tagged</v>
          </cell>
        </row>
        <row r="1253">
          <cell r="W1253">
            <v>0</v>
          </cell>
          <cell r="AB1253" t="str">
            <v>line item not tagged</v>
          </cell>
        </row>
        <row r="1254">
          <cell r="W1254">
            <v>0</v>
          </cell>
          <cell r="AB1254" t="str">
            <v>line item not tagged</v>
          </cell>
        </row>
        <row r="1255">
          <cell r="W1255">
            <v>0</v>
          </cell>
          <cell r="AB1255" t="str">
            <v>line item not tagged</v>
          </cell>
        </row>
        <row r="1256">
          <cell r="W1256">
            <v>0</v>
          </cell>
          <cell r="AB1256" t="str">
            <v>line item not tagged</v>
          </cell>
        </row>
        <row r="1257">
          <cell r="W1257">
            <v>0</v>
          </cell>
          <cell r="AB1257" t="str">
            <v>line item not tagged</v>
          </cell>
        </row>
        <row r="1258">
          <cell r="W1258">
            <v>0</v>
          </cell>
          <cell r="AB1258" t="str">
            <v>line item not tagged</v>
          </cell>
        </row>
        <row r="1259">
          <cell r="W1259">
            <v>0</v>
          </cell>
          <cell r="AB1259" t="str">
            <v>line item not tagged</v>
          </cell>
        </row>
        <row r="1260">
          <cell r="W1260">
            <v>0</v>
          </cell>
          <cell r="AB1260" t="str">
            <v>line item not tagged</v>
          </cell>
        </row>
        <row r="1261">
          <cell r="W1261">
            <v>0</v>
          </cell>
          <cell r="AB1261" t="str">
            <v>line item not tagged</v>
          </cell>
        </row>
        <row r="1262">
          <cell r="W1262">
            <v>0</v>
          </cell>
          <cell r="AB1262" t="str">
            <v>line item not tagged</v>
          </cell>
        </row>
        <row r="1263">
          <cell r="W1263">
            <v>0</v>
          </cell>
          <cell r="AB1263" t="str">
            <v>line item not tagged</v>
          </cell>
        </row>
        <row r="1264">
          <cell r="W1264">
            <v>0</v>
          </cell>
          <cell r="AB1264" t="str">
            <v>line item not tagged</v>
          </cell>
        </row>
        <row r="1265">
          <cell r="W1265">
            <v>0</v>
          </cell>
          <cell r="AB1265" t="str">
            <v>line item not tagged</v>
          </cell>
        </row>
        <row r="1266">
          <cell r="W1266">
            <v>0</v>
          </cell>
          <cell r="AB1266" t="str">
            <v>line item not tagged</v>
          </cell>
        </row>
        <row r="1267">
          <cell r="W1267">
            <v>0</v>
          </cell>
          <cell r="AB1267" t="str">
            <v>line item not tagged</v>
          </cell>
        </row>
        <row r="1268">
          <cell r="W1268">
            <v>0</v>
          </cell>
          <cell r="AB1268" t="str">
            <v>line item not tagged</v>
          </cell>
        </row>
        <row r="1269">
          <cell r="W1269">
            <v>0</v>
          </cell>
          <cell r="AB1269" t="str">
            <v>line item not tagged</v>
          </cell>
        </row>
        <row r="1270">
          <cell r="W1270">
            <v>0</v>
          </cell>
          <cell r="AB1270" t="str">
            <v>line item not tagged</v>
          </cell>
        </row>
        <row r="1271">
          <cell r="W1271">
            <v>0</v>
          </cell>
          <cell r="AB1271" t="str">
            <v>line item not tagged</v>
          </cell>
        </row>
        <row r="1272">
          <cell r="W1272">
            <v>0</v>
          </cell>
          <cell r="AB1272" t="str">
            <v>line item not tagged</v>
          </cell>
        </row>
        <row r="1273">
          <cell r="W1273">
            <v>0</v>
          </cell>
          <cell r="AB1273" t="str">
            <v>line item not tagged</v>
          </cell>
        </row>
        <row r="1274">
          <cell r="W1274">
            <v>0</v>
          </cell>
          <cell r="AB1274" t="str">
            <v>line item not tagged</v>
          </cell>
        </row>
        <row r="1275">
          <cell r="W1275">
            <v>0</v>
          </cell>
          <cell r="AB1275" t="str">
            <v>line item not tagged</v>
          </cell>
        </row>
        <row r="1276">
          <cell r="W1276">
            <v>0</v>
          </cell>
          <cell r="AB1276" t="str">
            <v>line item not tagged</v>
          </cell>
        </row>
        <row r="1277">
          <cell r="W1277">
            <v>0</v>
          </cell>
          <cell r="AB1277" t="str">
            <v>line item not tagged</v>
          </cell>
        </row>
        <row r="1278">
          <cell r="W1278">
            <v>0</v>
          </cell>
          <cell r="AB1278" t="str">
            <v>line item not tagged</v>
          </cell>
        </row>
        <row r="1279">
          <cell r="W1279">
            <v>0</v>
          </cell>
          <cell r="AB1279" t="str">
            <v>line item not tagged</v>
          </cell>
        </row>
        <row r="1280">
          <cell r="W1280">
            <v>0</v>
          </cell>
          <cell r="AB1280" t="str">
            <v>line item not tagged</v>
          </cell>
        </row>
        <row r="1281">
          <cell r="W1281">
            <v>0</v>
          </cell>
          <cell r="AB1281" t="str">
            <v>line item not tagged</v>
          </cell>
        </row>
        <row r="1282">
          <cell r="W1282">
            <v>0</v>
          </cell>
          <cell r="AB1282" t="str">
            <v>line item not tagged</v>
          </cell>
        </row>
        <row r="1283">
          <cell r="W1283">
            <v>0</v>
          </cell>
          <cell r="AB1283" t="str">
            <v>line item not tagged</v>
          </cell>
        </row>
        <row r="1284">
          <cell r="W1284">
            <v>0</v>
          </cell>
          <cell r="AB1284" t="str">
            <v>line item not tagged</v>
          </cell>
        </row>
        <row r="1285">
          <cell r="W1285">
            <v>0</v>
          </cell>
          <cell r="AB1285" t="str">
            <v>line item not tagged</v>
          </cell>
        </row>
        <row r="1286">
          <cell r="W1286">
            <v>0</v>
          </cell>
          <cell r="AB1286" t="str">
            <v>line item not tagged</v>
          </cell>
        </row>
        <row r="1287">
          <cell r="W1287">
            <v>0</v>
          </cell>
          <cell r="AB1287" t="str">
            <v>line item not tagged</v>
          </cell>
        </row>
        <row r="1288">
          <cell r="W1288">
            <v>0</v>
          </cell>
          <cell r="AB1288" t="str">
            <v>line item not tagged</v>
          </cell>
        </row>
        <row r="1289">
          <cell r="W1289">
            <v>0</v>
          </cell>
          <cell r="AB1289" t="str">
            <v>line item not tagged</v>
          </cell>
        </row>
        <row r="1290">
          <cell r="W1290">
            <v>0</v>
          </cell>
          <cell r="AB1290" t="str">
            <v>line item not tagged</v>
          </cell>
        </row>
        <row r="1291">
          <cell r="W1291">
            <v>0</v>
          </cell>
          <cell r="AB1291" t="str">
            <v>line item not tagged</v>
          </cell>
        </row>
        <row r="1292">
          <cell r="W1292">
            <v>0</v>
          </cell>
          <cell r="AB1292" t="str">
            <v>line item not tagged</v>
          </cell>
        </row>
        <row r="1293">
          <cell r="W1293">
            <v>0</v>
          </cell>
          <cell r="AB1293" t="str">
            <v>line item not tagged</v>
          </cell>
        </row>
        <row r="1294">
          <cell r="W1294">
            <v>0</v>
          </cell>
          <cell r="AB1294" t="str">
            <v>line item not tagged</v>
          </cell>
        </row>
        <row r="1295">
          <cell r="W1295">
            <v>0</v>
          </cell>
          <cell r="AB1295" t="str">
            <v>line item not tagged</v>
          </cell>
        </row>
        <row r="1296">
          <cell r="W1296">
            <v>0</v>
          </cell>
          <cell r="AB1296" t="str">
            <v>line item not tagged</v>
          </cell>
        </row>
        <row r="1297">
          <cell r="W1297">
            <v>0</v>
          </cell>
          <cell r="AB1297" t="str">
            <v>line item not tagged</v>
          </cell>
        </row>
        <row r="1298">
          <cell r="W1298">
            <v>0</v>
          </cell>
          <cell r="AB1298" t="str">
            <v>line item not tagged</v>
          </cell>
        </row>
        <row r="1299">
          <cell r="W1299">
            <v>0</v>
          </cell>
          <cell r="AB1299" t="str">
            <v>line item not tagged</v>
          </cell>
        </row>
        <row r="1300">
          <cell r="W1300">
            <v>0</v>
          </cell>
          <cell r="AB1300" t="str">
            <v>line item not tagged</v>
          </cell>
        </row>
        <row r="1301">
          <cell r="W1301">
            <v>0</v>
          </cell>
          <cell r="AB1301" t="str">
            <v>line item not tagged</v>
          </cell>
        </row>
        <row r="1302">
          <cell r="W1302">
            <v>0</v>
          </cell>
          <cell r="AB1302" t="str">
            <v>line item not tagged</v>
          </cell>
        </row>
        <row r="1303">
          <cell r="W1303">
            <v>0</v>
          </cell>
          <cell r="AB1303" t="str">
            <v>line item not tagged</v>
          </cell>
        </row>
        <row r="1304">
          <cell r="W1304">
            <v>0</v>
          </cell>
          <cell r="AB1304" t="str">
            <v>line item not tagged</v>
          </cell>
        </row>
        <row r="1305">
          <cell r="W1305">
            <v>0</v>
          </cell>
          <cell r="AB1305" t="str">
            <v>line item not tagged</v>
          </cell>
        </row>
        <row r="1306">
          <cell r="W1306">
            <v>0</v>
          </cell>
          <cell r="AB1306" t="str">
            <v>line item not tagged</v>
          </cell>
        </row>
        <row r="1307">
          <cell r="W1307">
            <v>0</v>
          </cell>
          <cell r="AB1307" t="str">
            <v>line item not tagged</v>
          </cell>
        </row>
        <row r="1308">
          <cell r="W1308">
            <v>0</v>
          </cell>
          <cell r="AB1308" t="str">
            <v>line item not tagged</v>
          </cell>
        </row>
        <row r="1309">
          <cell r="W1309">
            <v>0</v>
          </cell>
          <cell r="AB1309" t="str">
            <v>line item not tagged</v>
          </cell>
        </row>
        <row r="1310">
          <cell r="W1310">
            <v>0</v>
          </cell>
          <cell r="AB1310" t="str">
            <v>line item not tagged</v>
          </cell>
        </row>
        <row r="1311">
          <cell r="W1311">
            <v>0</v>
          </cell>
          <cell r="AB1311" t="str">
            <v>line item not tagged</v>
          </cell>
        </row>
        <row r="1312">
          <cell r="W1312">
            <v>0</v>
          </cell>
          <cell r="AB1312" t="str">
            <v>line item not tagged</v>
          </cell>
        </row>
        <row r="1313">
          <cell r="W1313">
            <v>0</v>
          </cell>
          <cell r="AB1313" t="str">
            <v>line item not tagged</v>
          </cell>
        </row>
        <row r="1314">
          <cell r="W1314">
            <v>0</v>
          </cell>
          <cell r="AB1314" t="str">
            <v>line item not tagged</v>
          </cell>
        </row>
        <row r="1315">
          <cell r="W1315">
            <v>0</v>
          </cell>
          <cell r="AB1315" t="str">
            <v>line item not tagged</v>
          </cell>
        </row>
        <row r="1316">
          <cell r="W1316">
            <v>0</v>
          </cell>
          <cell r="AB1316" t="str">
            <v>line item not tagged</v>
          </cell>
        </row>
        <row r="1317">
          <cell r="W1317">
            <v>0</v>
          </cell>
          <cell r="AB1317" t="str">
            <v>line item not tagged</v>
          </cell>
        </row>
        <row r="1318">
          <cell r="W1318">
            <v>0</v>
          </cell>
          <cell r="AB1318" t="str">
            <v>line item not tagged</v>
          </cell>
        </row>
        <row r="1319">
          <cell r="W1319">
            <v>0</v>
          </cell>
          <cell r="AB1319" t="str">
            <v>line item not tagged</v>
          </cell>
        </row>
        <row r="1320">
          <cell r="W1320">
            <v>0</v>
          </cell>
          <cell r="AB1320" t="str">
            <v>line item not tagged</v>
          </cell>
        </row>
        <row r="1321">
          <cell r="W1321">
            <v>0</v>
          </cell>
          <cell r="AB1321" t="str">
            <v>line item not tagged</v>
          </cell>
        </row>
        <row r="1322">
          <cell r="W1322">
            <v>0</v>
          </cell>
          <cell r="AB1322" t="str">
            <v>line item not tagged</v>
          </cell>
        </row>
        <row r="1323">
          <cell r="W1323">
            <v>0</v>
          </cell>
          <cell r="AB1323" t="str">
            <v>line item not tagged</v>
          </cell>
        </row>
        <row r="1324">
          <cell r="W1324">
            <v>0</v>
          </cell>
          <cell r="AB1324" t="str">
            <v>line item not tagged</v>
          </cell>
        </row>
        <row r="1325">
          <cell r="W1325">
            <v>0</v>
          </cell>
          <cell r="AB1325" t="str">
            <v>line item not tagged</v>
          </cell>
        </row>
        <row r="1326">
          <cell r="W1326">
            <v>0</v>
          </cell>
          <cell r="AB1326" t="str">
            <v>line item not tagged</v>
          </cell>
        </row>
        <row r="1327">
          <cell r="W1327">
            <v>0</v>
          </cell>
          <cell r="AB1327" t="str">
            <v>line item not tagged</v>
          </cell>
        </row>
        <row r="1328">
          <cell r="W1328">
            <v>0</v>
          </cell>
          <cell r="AB1328" t="str">
            <v>line item not tagged</v>
          </cell>
        </row>
        <row r="1329">
          <cell r="W1329">
            <v>0</v>
          </cell>
          <cell r="AB1329" t="str">
            <v>line item not tagged</v>
          </cell>
        </row>
        <row r="1330">
          <cell r="W1330">
            <v>0</v>
          </cell>
          <cell r="AB1330" t="str">
            <v>line item not tagged</v>
          </cell>
        </row>
        <row r="1331">
          <cell r="W1331">
            <v>0</v>
          </cell>
          <cell r="AB1331" t="str">
            <v>line item not tagged</v>
          </cell>
        </row>
        <row r="1332">
          <cell r="W1332">
            <v>0</v>
          </cell>
          <cell r="AB1332" t="str">
            <v>line item not tagged</v>
          </cell>
        </row>
        <row r="1333">
          <cell r="W1333">
            <v>0</v>
          </cell>
          <cell r="AB1333" t="str">
            <v>line item not tagged</v>
          </cell>
        </row>
        <row r="1334">
          <cell r="W1334">
            <v>0</v>
          </cell>
          <cell r="AB1334" t="str">
            <v>line item not tagged</v>
          </cell>
        </row>
        <row r="1335">
          <cell r="W1335">
            <v>0</v>
          </cell>
          <cell r="AB1335" t="str">
            <v>line item not tagged</v>
          </cell>
        </row>
        <row r="1336">
          <cell r="W1336">
            <v>0</v>
          </cell>
          <cell r="AB1336" t="str">
            <v>line item not tagged</v>
          </cell>
        </row>
        <row r="1337">
          <cell r="W1337">
            <v>0</v>
          </cell>
          <cell r="AB1337" t="str">
            <v>line item not tagged</v>
          </cell>
        </row>
        <row r="1338">
          <cell r="W1338">
            <v>0</v>
          </cell>
          <cell r="AB1338" t="str">
            <v>line item not tagged</v>
          </cell>
        </row>
        <row r="1339">
          <cell r="W1339">
            <v>0</v>
          </cell>
          <cell r="AB1339" t="str">
            <v>line item not tagged</v>
          </cell>
        </row>
        <row r="1340">
          <cell r="W1340">
            <v>0</v>
          </cell>
          <cell r="AB1340" t="str">
            <v>line item not tagged</v>
          </cell>
        </row>
        <row r="1341">
          <cell r="W1341">
            <v>0</v>
          </cell>
          <cell r="AB1341" t="str">
            <v>line item not tagged</v>
          </cell>
        </row>
        <row r="1342">
          <cell r="W1342">
            <v>0</v>
          </cell>
          <cell r="AB1342" t="str">
            <v>line item not tagged</v>
          </cell>
        </row>
        <row r="1343">
          <cell r="W1343">
            <v>0</v>
          </cell>
          <cell r="AB1343" t="str">
            <v>line item not tagged</v>
          </cell>
        </row>
        <row r="1344">
          <cell r="W1344">
            <v>0</v>
          </cell>
          <cell r="AB1344" t="str">
            <v>line item not tagged</v>
          </cell>
        </row>
        <row r="1345">
          <cell r="W1345">
            <v>0</v>
          </cell>
          <cell r="AB1345" t="str">
            <v>line item not tagged</v>
          </cell>
        </row>
        <row r="1346">
          <cell r="W1346">
            <v>0</v>
          </cell>
          <cell r="AB1346" t="str">
            <v>line item not tagged</v>
          </cell>
        </row>
        <row r="1347">
          <cell r="W1347">
            <v>0</v>
          </cell>
          <cell r="AB1347" t="str">
            <v>line item not tagged</v>
          </cell>
        </row>
        <row r="1348">
          <cell r="W1348">
            <v>0</v>
          </cell>
          <cell r="AB1348" t="str">
            <v>line item not tagged</v>
          </cell>
        </row>
        <row r="1349">
          <cell r="W1349">
            <v>0</v>
          </cell>
          <cell r="AB1349" t="str">
            <v>line item not tagged</v>
          </cell>
        </row>
        <row r="1350">
          <cell r="W1350">
            <v>0</v>
          </cell>
          <cell r="AB1350" t="str">
            <v>line item not tagged</v>
          </cell>
        </row>
        <row r="1351">
          <cell r="W1351">
            <v>0</v>
          </cell>
          <cell r="AB1351" t="str">
            <v>line item not tagged</v>
          </cell>
        </row>
        <row r="1352">
          <cell r="W1352">
            <v>0</v>
          </cell>
          <cell r="AB1352" t="str">
            <v>line item not tagged</v>
          </cell>
        </row>
        <row r="1353">
          <cell r="W1353">
            <v>0</v>
          </cell>
          <cell r="AB1353" t="str">
            <v>line item not tagged</v>
          </cell>
        </row>
        <row r="1354">
          <cell r="W1354">
            <v>0</v>
          </cell>
          <cell r="AB1354" t="str">
            <v>line item not tagged</v>
          </cell>
        </row>
        <row r="1355">
          <cell r="W1355">
            <v>0</v>
          </cell>
          <cell r="AB1355" t="str">
            <v>line item not tagged</v>
          </cell>
        </row>
        <row r="1356">
          <cell r="W1356">
            <v>0</v>
          </cell>
          <cell r="AB1356" t="str">
            <v>line item not tagged</v>
          </cell>
        </row>
        <row r="1357">
          <cell r="W1357">
            <v>0</v>
          </cell>
          <cell r="AB1357" t="str">
            <v>line item not tagged</v>
          </cell>
        </row>
        <row r="1358">
          <cell r="W1358">
            <v>0</v>
          </cell>
          <cell r="AB1358" t="str">
            <v>line item not tagged</v>
          </cell>
        </row>
        <row r="1359">
          <cell r="W1359">
            <v>0</v>
          </cell>
          <cell r="AB1359" t="str">
            <v>line item not tagged</v>
          </cell>
        </row>
        <row r="1360">
          <cell r="W1360">
            <v>0</v>
          </cell>
          <cell r="AB1360" t="str">
            <v>line item not tagged</v>
          </cell>
        </row>
        <row r="1361">
          <cell r="W1361">
            <v>0</v>
          </cell>
          <cell r="AB1361" t="str">
            <v>line item not tagged</v>
          </cell>
        </row>
        <row r="1362">
          <cell r="W1362">
            <v>0</v>
          </cell>
          <cell r="AB1362" t="str">
            <v>line item not tagged</v>
          </cell>
        </row>
        <row r="1363">
          <cell r="W1363">
            <v>0</v>
          </cell>
          <cell r="AB1363" t="str">
            <v>line item not tagged</v>
          </cell>
        </row>
        <row r="1364">
          <cell r="W1364">
            <v>0</v>
          </cell>
          <cell r="AB1364" t="str">
            <v>line item not tagged</v>
          </cell>
        </row>
        <row r="1365">
          <cell r="W1365">
            <v>0</v>
          </cell>
          <cell r="AB1365" t="str">
            <v>line item not tagged</v>
          </cell>
        </row>
        <row r="1366">
          <cell r="W1366">
            <v>0</v>
          </cell>
          <cell r="AB1366" t="str">
            <v>line item not tagged</v>
          </cell>
        </row>
        <row r="1367">
          <cell r="W1367">
            <v>0</v>
          </cell>
          <cell r="AB1367" t="str">
            <v>line item not tagged</v>
          </cell>
        </row>
        <row r="1368">
          <cell r="W1368">
            <v>0</v>
          </cell>
          <cell r="AB1368" t="str">
            <v>line item not tagged</v>
          </cell>
        </row>
        <row r="1369">
          <cell r="W1369">
            <v>0</v>
          </cell>
          <cell r="AB1369" t="str">
            <v>line item not tagged</v>
          </cell>
        </row>
        <row r="1370">
          <cell r="W1370">
            <v>0</v>
          </cell>
          <cell r="AB1370" t="str">
            <v>line item not tagged</v>
          </cell>
        </row>
        <row r="1371">
          <cell r="W1371">
            <v>0</v>
          </cell>
          <cell r="AB1371" t="str">
            <v>line item not tagged</v>
          </cell>
        </row>
        <row r="1372">
          <cell r="W1372">
            <v>0</v>
          </cell>
          <cell r="AB1372" t="str">
            <v>line item not tagged</v>
          </cell>
        </row>
        <row r="1373">
          <cell r="W1373">
            <v>0</v>
          </cell>
          <cell r="AB1373" t="str">
            <v>line item not tagged</v>
          </cell>
        </row>
        <row r="1374">
          <cell r="W1374">
            <v>0</v>
          </cell>
          <cell r="AB1374" t="str">
            <v>line item not tagged</v>
          </cell>
        </row>
        <row r="1375">
          <cell r="W1375">
            <v>0</v>
          </cell>
          <cell r="AB1375" t="str">
            <v>line item not tagged</v>
          </cell>
        </row>
        <row r="1376">
          <cell r="W1376">
            <v>0</v>
          </cell>
          <cell r="AB1376" t="str">
            <v>line item not tagged</v>
          </cell>
        </row>
        <row r="1377">
          <cell r="W1377">
            <v>0</v>
          </cell>
          <cell r="AB1377" t="str">
            <v>line item not tagged</v>
          </cell>
        </row>
        <row r="1378">
          <cell r="W1378">
            <v>0</v>
          </cell>
          <cell r="AB1378" t="str">
            <v>line item not tagged</v>
          </cell>
        </row>
        <row r="1379">
          <cell r="W1379">
            <v>0</v>
          </cell>
          <cell r="AB1379" t="str">
            <v>line item not tagged</v>
          </cell>
        </row>
        <row r="1380">
          <cell r="W1380">
            <v>0</v>
          </cell>
          <cell r="AB1380" t="str">
            <v>line item not tagged</v>
          </cell>
        </row>
        <row r="1381">
          <cell r="W1381">
            <v>0</v>
          </cell>
          <cell r="AB1381" t="str">
            <v>line item not tagged</v>
          </cell>
        </row>
        <row r="1382">
          <cell r="W1382">
            <v>0</v>
          </cell>
          <cell r="AB1382" t="str">
            <v>line item not tagged</v>
          </cell>
        </row>
        <row r="1383">
          <cell r="W1383">
            <v>0</v>
          </cell>
          <cell r="AB1383" t="str">
            <v>line item not tagged</v>
          </cell>
        </row>
        <row r="1384">
          <cell r="W1384">
            <v>0</v>
          </cell>
          <cell r="AB1384" t="str">
            <v>line item not tagged</v>
          </cell>
        </row>
        <row r="1385">
          <cell r="W1385">
            <v>0</v>
          </cell>
          <cell r="AB1385" t="str">
            <v>line item not tagged</v>
          </cell>
        </row>
        <row r="1386">
          <cell r="W1386">
            <v>0</v>
          </cell>
          <cell r="AB1386" t="str">
            <v>line item not tagged</v>
          </cell>
        </row>
        <row r="1387">
          <cell r="W1387">
            <v>0</v>
          </cell>
          <cell r="AB1387" t="str">
            <v>line item not tagged</v>
          </cell>
        </row>
        <row r="1388">
          <cell r="W1388">
            <v>0</v>
          </cell>
          <cell r="AB1388" t="str">
            <v>line item not tagged</v>
          </cell>
        </row>
        <row r="1389">
          <cell r="W1389">
            <v>0</v>
          </cell>
          <cell r="AB1389" t="str">
            <v>line item not tagged</v>
          </cell>
        </row>
        <row r="1390">
          <cell r="W1390">
            <v>0</v>
          </cell>
          <cell r="AB1390" t="str">
            <v>line item not tagged</v>
          </cell>
        </row>
        <row r="1391">
          <cell r="W1391">
            <v>0</v>
          </cell>
          <cell r="AB1391" t="str">
            <v>line item not tagged</v>
          </cell>
        </row>
        <row r="1392">
          <cell r="W1392">
            <v>0</v>
          </cell>
          <cell r="AB1392" t="str">
            <v>line item not tagged</v>
          </cell>
        </row>
        <row r="1393">
          <cell r="W1393">
            <v>0</v>
          </cell>
          <cell r="AB1393" t="str">
            <v>line item not tagged</v>
          </cell>
        </row>
        <row r="1394">
          <cell r="W1394">
            <v>0</v>
          </cell>
          <cell r="AB1394" t="str">
            <v>line item not tagged</v>
          </cell>
        </row>
        <row r="1395">
          <cell r="W1395">
            <v>0</v>
          </cell>
          <cell r="AB1395" t="str">
            <v>line item not tagged</v>
          </cell>
        </row>
        <row r="1396">
          <cell r="W1396">
            <v>0</v>
          </cell>
          <cell r="AB1396" t="str">
            <v>line item not tagged</v>
          </cell>
        </row>
        <row r="1397">
          <cell r="W1397">
            <v>0</v>
          </cell>
          <cell r="AB1397" t="str">
            <v>line item not tagged</v>
          </cell>
        </row>
        <row r="1398">
          <cell r="W1398">
            <v>0</v>
          </cell>
          <cell r="AB1398" t="str">
            <v>line item not tagged</v>
          </cell>
        </row>
        <row r="1399">
          <cell r="W1399">
            <v>0</v>
          </cell>
          <cell r="AB1399" t="str">
            <v>line item not tagged</v>
          </cell>
        </row>
        <row r="1400">
          <cell r="W1400">
            <v>0</v>
          </cell>
          <cell r="AB1400" t="str">
            <v>line item not tagged</v>
          </cell>
        </row>
        <row r="1401">
          <cell r="W1401">
            <v>0</v>
          </cell>
          <cell r="AB1401" t="str">
            <v>line item not tagged</v>
          </cell>
        </row>
        <row r="1402">
          <cell r="W1402">
            <v>0</v>
          </cell>
          <cell r="AB1402" t="str">
            <v>line item not tagged</v>
          </cell>
        </row>
        <row r="1403">
          <cell r="W1403">
            <v>0</v>
          </cell>
          <cell r="AB1403" t="str">
            <v>line item not tagged</v>
          </cell>
        </row>
        <row r="1404">
          <cell r="W1404">
            <v>0</v>
          </cell>
          <cell r="AB1404" t="str">
            <v>line item not tagged</v>
          </cell>
        </row>
        <row r="1405">
          <cell r="W1405">
            <v>0</v>
          </cell>
          <cell r="AB1405" t="str">
            <v>line item not tagged</v>
          </cell>
        </row>
        <row r="1406">
          <cell r="W1406">
            <v>0</v>
          </cell>
          <cell r="AB1406" t="str">
            <v>line item not tagged</v>
          </cell>
        </row>
        <row r="1407">
          <cell r="W1407">
            <v>0</v>
          </cell>
          <cell r="AB1407" t="str">
            <v>line item not tagged</v>
          </cell>
        </row>
        <row r="1408">
          <cell r="W1408">
            <v>0</v>
          </cell>
          <cell r="AB1408" t="str">
            <v>line item not tagged</v>
          </cell>
        </row>
        <row r="1409">
          <cell r="W1409">
            <v>0</v>
          </cell>
          <cell r="AB1409" t="str">
            <v>line item not tagged</v>
          </cell>
        </row>
        <row r="1410">
          <cell r="W1410">
            <v>0</v>
          </cell>
          <cell r="AB1410" t="str">
            <v>line item not tagged</v>
          </cell>
        </row>
        <row r="1411">
          <cell r="W1411">
            <v>0</v>
          </cell>
          <cell r="AB1411" t="str">
            <v>line item not tagged</v>
          </cell>
        </row>
        <row r="1412">
          <cell r="W1412">
            <v>0</v>
          </cell>
          <cell r="AB1412" t="str">
            <v>line item not tagged</v>
          </cell>
        </row>
        <row r="1413">
          <cell r="W1413">
            <v>0</v>
          </cell>
          <cell r="AB1413" t="str">
            <v>line item not tagged</v>
          </cell>
        </row>
        <row r="1414">
          <cell r="W1414">
            <v>0</v>
          </cell>
          <cell r="AB1414" t="str">
            <v>line item not tagged</v>
          </cell>
        </row>
        <row r="1415">
          <cell r="W1415">
            <v>0</v>
          </cell>
          <cell r="AB1415" t="str">
            <v>line item not tagged</v>
          </cell>
        </row>
        <row r="1416">
          <cell r="W1416">
            <v>0</v>
          </cell>
          <cell r="AB1416" t="str">
            <v>line item not tagged</v>
          </cell>
        </row>
        <row r="1417">
          <cell r="W1417">
            <v>0</v>
          </cell>
          <cell r="AB1417" t="str">
            <v>line item not tagged</v>
          </cell>
        </row>
        <row r="1418">
          <cell r="W1418">
            <v>0</v>
          </cell>
          <cell r="AB1418" t="str">
            <v>line item not tagged</v>
          </cell>
        </row>
        <row r="1419">
          <cell r="W1419">
            <v>0</v>
          </cell>
          <cell r="AB1419" t="str">
            <v>line item not tagged</v>
          </cell>
        </row>
        <row r="1420">
          <cell r="W1420">
            <v>0</v>
          </cell>
          <cell r="AB1420" t="str">
            <v>line item not tagged</v>
          </cell>
        </row>
        <row r="1421">
          <cell r="W1421">
            <v>0</v>
          </cell>
          <cell r="AB1421" t="str">
            <v>line item not tagged</v>
          </cell>
        </row>
        <row r="1422">
          <cell r="W1422">
            <v>0</v>
          </cell>
          <cell r="AB1422" t="str">
            <v>line item not tagged</v>
          </cell>
        </row>
        <row r="1423">
          <cell r="W1423">
            <v>0</v>
          </cell>
          <cell r="AB1423" t="str">
            <v>line item not tagged</v>
          </cell>
        </row>
        <row r="1424">
          <cell r="W1424">
            <v>0</v>
          </cell>
          <cell r="AB1424" t="str">
            <v>line item not tagged</v>
          </cell>
        </row>
        <row r="1425">
          <cell r="W1425">
            <v>0</v>
          </cell>
          <cell r="AB1425" t="str">
            <v>line item not tagged</v>
          </cell>
        </row>
        <row r="1426">
          <cell r="W1426">
            <v>0</v>
          </cell>
          <cell r="AB1426" t="str">
            <v>line item not tagged</v>
          </cell>
        </row>
        <row r="1427">
          <cell r="W1427">
            <v>0</v>
          </cell>
          <cell r="AB1427" t="str">
            <v>line item not tagged</v>
          </cell>
        </row>
        <row r="1428">
          <cell r="W1428">
            <v>0</v>
          </cell>
          <cell r="AB1428" t="str">
            <v>line item not tagged</v>
          </cell>
        </row>
        <row r="1429">
          <cell r="W1429">
            <v>0</v>
          </cell>
          <cell r="AB1429" t="str">
            <v>line item not tagged</v>
          </cell>
        </row>
        <row r="1430">
          <cell r="W1430">
            <v>0</v>
          </cell>
          <cell r="AB1430" t="str">
            <v>line item not tagged</v>
          </cell>
        </row>
        <row r="1431">
          <cell r="W1431">
            <v>0</v>
          </cell>
          <cell r="AB1431" t="str">
            <v>line item not tagged</v>
          </cell>
        </row>
        <row r="1432">
          <cell r="W1432">
            <v>0</v>
          </cell>
          <cell r="AB1432" t="str">
            <v>line item not tagged</v>
          </cell>
        </row>
        <row r="1433">
          <cell r="W1433">
            <v>0</v>
          </cell>
          <cell r="AB1433" t="str">
            <v>line item not tagged</v>
          </cell>
        </row>
        <row r="1434">
          <cell r="W1434">
            <v>0</v>
          </cell>
          <cell r="AB1434" t="str">
            <v>line item not tagged</v>
          </cell>
        </row>
        <row r="1435">
          <cell r="W1435">
            <v>0</v>
          </cell>
          <cell r="AB1435" t="str">
            <v>line item not tagged</v>
          </cell>
        </row>
        <row r="1436">
          <cell r="W1436">
            <v>0</v>
          </cell>
          <cell r="AB1436" t="str">
            <v>line item not tagged</v>
          </cell>
        </row>
        <row r="1437">
          <cell r="W1437">
            <v>0</v>
          </cell>
          <cell r="AB1437" t="str">
            <v>line item not tagged</v>
          </cell>
        </row>
        <row r="1438">
          <cell r="W1438">
            <v>0</v>
          </cell>
          <cell r="AB1438" t="str">
            <v>line item not tagged</v>
          </cell>
        </row>
        <row r="1439">
          <cell r="W1439">
            <v>0</v>
          </cell>
          <cell r="AB1439" t="str">
            <v>line item not tagged</v>
          </cell>
        </row>
        <row r="1440">
          <cell r="W1440">
            <v>0</v>
          </cell>
          <cell r="AB1440" t="str">
            <v>line item not tagged</v>
          </cell>
        </row>
        <row r="1441">
          <cell r="W1441">
            <v>0</v>
          </cell>
          <cell r="AB1441" t="str">
            <v>line item not tagged</v>
          </cell>
        </row>
        <row r="1442">
          <cell r="W1442">
            <v>0</v>
          </cell>
          <cell r="AB1442" t="str">
            <v>line item not tagged</v>
          </cell>
        </row>
        <row r="1443">
          <cell r="W1443">
            <v>0</v>
          </cell>
          <cell r="AB1443" t="str">
            <v>line item not tagged</v>
          </cell>
        </row>
        <row r="1444">
          <cell r="W1444">
            <v>0</v>
          </cell>
          <cell r="AB1444" t="str">
            <v>line item not tagged</v>
          </cell>
        </row>
        <row r="1445">
          <cell r="W1445">
            <v>0</v>
          </cell>
          <cell r="AB1445" t="str">
            <v>line item not tagged</v>
          </cell>
        </row>
        <row r="1446">
          <cell r="W1446">
            <v>0</v>
          </cell>
          <cell r="AB1446" t="str">
            <v>line item not tagged</v>
          </cell>
        </row>
        <row r="1447">
          <cell r="W1447">
            <v>0</v>
          </cell>
          <cell r="AB1447" t="str">
            <v>line item not tagged</v>
          </cell>
        </row>
        <row r="1448">
          <cell r="W1448">
            <v>0</v>
          </cell>
          <cell r="AB1448" t="str">
            <v>line item not tagged</v>
          </cell>
        </row>
        <row r="1449">
          <cell r="W1449">
            <v>0</v>
          </cell>
          <cell r="AB1449" t="str">
            <v>line item not tagged</v>
          </cell>
        </row>
        <row r="1450">
          <cell r="W1450">
            <v>0</v>
          </cell>
          <cell r="AB1450" t="str">
            <v>line item not tagged</v>
          </cell>
        </row>
        <row r="1451">
          <cell r="W1451">
            <v>0</v>
          </cell>
          <cell r="AB1451" t="str">
            <v>line item not tagged</v>
          </cell>
        </row>
        <row r="1452">
          <cell r="W1452">
            <v>0</v>
          </cell>
          <cell r="AB1452" t="str">
            <v>line item not tagged</v>
          </cell>
        </row>
        <row r="1453">
          <cell r="W1453">
            <v>0</v>
          </cell>
          <cell r="AB1453" t="str">
            <v>line item not tagged</v>
          </cell>
        </row>
        <row r="1454">
          <cell r="W1454">
            <v>0</v>
          </cell>
          <cell r="AB1454" t="str">
            <v>line item not tagged</v>
          </cell>
        </row>
        <row r="1455">
          <cell r="W1455">
            <v>0</v>
          </cell>
          <cell r="AB1455" t="str">
            <v>line item not tagged</v>
          </cell>
        </row>
        <row r="1456">
          <cell r="W1456">
            <v>0</v>
          </cell>
          <cell r="AB1456" t="str">
            <v>line item not tagged</v>
          </cell>
        </row>
        <row r="1457">
          <cell r="W1457">
            <v>0</v>
          </cell>
          <cell r="AB1457" t="str">
            <v>line item not tagged</v>
          </cell>
        </row>
        <row r="1458">
          <cell r="W1458">
            <v>0</v>
          </cell>
          <cell r="AB1458" t="str">
            <v>line item not tagged</v>
          </cell>
        </row>
        <row r="1459">
          <cell r="W1459">
            <v>0</v>
          </cell>
          <cell r="AB1459" t="str">
            <v>line item not tagged</v>
          </cell>
        </row>
        <row r="1460">
          <cell r="W1460">
            <v>0</v>
          </cell>
          <cell r="AB1460" t="str">
            <v>line item not tagged</v>
          </cell>
        </row>
        <row r="1461">
          <cell r="W1461">
            <v>0</v>
          </cell>
          <cell r="AB1461" t="str">
            <v>line item not tagged</v>
          </cell>
        </row>
        <row r="1462">
          <cell r="W1462">
            <v>0</v>
          </cell>
          <cell r="AB1462" t="str">
            <v>line item not tagged</v>
          </cell>
        </row>
        <row r="1463">
          <cell r="W1463">
            <v>0</v>
          </cell>
          <cell r="AB1463" t="str">
            <v>line item not tagged</v>
          </cell>
        </row>
        <row r="1464">
          <cell r="W1464">
            <v>0</v>
          </cell>
          <cell r="AB1464" t="str">
            <v>line item not tagged</v>
          </cell>
        </row>
        <row r="1465">
          <cell r="W1465">
            <v>0</v>
          </cell>
          <cell r="AB1465" t="str">
            <v>line item not tagged</v>
          </cell>
        </row>
        <row r="1466">
          <cell r="W1466">
            <v>0</v>
          </cell>
          <cell r="AB1466" t="str">
            <v>line item not tagged</v>
          </cell>
        </row>
        <row r="1467">
          <cell r="W1467">
            <v>0</v>
          </cell>
          <cell r="AB1467" t="str">
            <v>line item not tagged</v>
          </cell>
        </row>
        <row r="1468">
          <cell r="W1468">
            <v>0</v>
          </cell>
          <cell r="AB1468" t="str">
            <v>line item not tagged</v>
          </cell>
        </row>
        <row r="1469">
          <cell r="W1469">
            <v>0</v>
          </cell>
          <cell r="AB1469" t="str">
            <v>line item not tagged</v>
          </cell>
        </row>
        <row r="1470">
          <cell r="W1470">
            <v>0</v>
          </cell>
          <cell r="AB1470" t="str">
            <v>line item not tagged</v>
          </cell>
        </row>
        <row r="1471">
          <cell r="W1471">
            <v>0</v>
          </cell>
          <cell r="AB1471" t="str">
            <v>line item not tagged</v>
          </cell>
        </row>
        <row r="1472">
          <cell r="W1472">
            <v>0</v>
          </cell>
          <cell r="AB1472" t="str">
            <v>line item not tagged</v>
          </cell>
        </row>
        <row r="1473">
          <cell r="W1473">
            <v>0</v>
          </cell>
          <cell r="AB1473" t="str">
            <v>line item not tagged</v>
          </cell>
        </row>
        <row r="1474">
          <cell r="W1474">
            <v>0</v>
          </cell>
          <cell r="AB1474" t="str">
            <v>line item not tagged</v>
          </cell>
        </row>
        <row r="1475">
          <cell r="W1475">
            <v>0</v>
          </cell>
          <cell r="AB1475" t="str">
            <v>line item not tagged</v>
          </cell>
        </row>
        <row r="1476">
          <cell r="W1476">
            <v>0</v>
          </cell>
          <cell r="AB1476" t="str">
            <v>line item not tagged</v>
          </cell>
        </row>
        <row r="1477">
          <cell r="W1477">
            <v>0</v>
          </cell>
          <cell r="AB1477" t="str">
            <v>line item not tagged</v>
          </cell>
        </row>
        <row r="1478">
          <cell r="W1478">
            <v>0</v>
          </cell>
          <cell r="AB1478" t="str">
            <v>line item not tagged</v>
          </cell>
        </row>
        <row r="1479">
          <cell r="W1479">
            <v>0</v>
          </cell>
          <cell r="AB1479" t="str">
            <v>line item not tagged</v>
          </cell>
        </row>
        <row r="1480">
          <cell r="W1480">
            <v>0</v>
          </cell>
          <cell r="AB1480" t="str">
            <v>line item not tagged</v>
          </cell>
        </row>
        <row r="1481">
          <cell r="W1481">
            <v>0</v>
          </cell>
          <cell r="AB1481" t="str">
            <v>line item not tagged</v>
          </cell>
        </row>
        <row r="1482">
          <cell r="W1482">
            <v>0</v>
          </cell>
          <cell r="AB1482" t="str">
            <v>line item not tagged</v>
          </cell>
        </row>
        <row r="1483">
          <cell r="W1483">
            <v>0</v>
          </cell>
          <cell r="AB1483" t="str">
            <v>line item not tagged</v>
          </cell>
        </row>
        <row r="1484">
          <cell r="W1484">
            <v>0</v>
          </cell>
          <cell r="AB1484" t="str">
            <v>line item not tagged</v>
          </cell>
        </row>
        <row r="1485">
          <cell r="W1485">
            <v>0</v>
          </cell>
          <cell r="AB1485" t="str">
            <v>line item not tagged</v>
          </cell>
        </row>
        <row r="1486">
          <cell r="W1486">
            <v>0</v>
          </cell>
          <cell r="AB1486" t="str">
            <v>line item not tagged</v>
          </cell>
        </row>
        <row r="1487">
          <cell r="W1487">
            <v>0</v>
          </cell>
          <cell r="AB1487" t="str">
            <v>line item not tagged</v>
          </cell>
        </row>
        <row r="1488">
          <cell r="W1488">
            <v>0</v>
          </cell>
          <cell r="AB1488" t="str">
            <v>line item not tagged</v>
          </cell>
        </row>
        <row r="1489">
          <cell r="W1489">
            <v>0</v>
          </cell>
          <cell r="AB1489" t="str">
            <v>line item not tagged</v>
          </cell>
        </row>
        <row r="1490">
          <cell r="W1490">
            <v>0</v>
          </cell>
          <cell r="AB1490" t="str">
            <v>line item not tagged</v>
          </cell>
        </row>
        <row r="1491">
          <cell r="W1491">
            <v>0</v>
          </cell>
          <cell r="AB1491" t="str">
            <v>line item not tagged</v>
          </cell>
        </row>
        <row r="1492">
          <cell r="W1492">
            <v>0</v>
          </cell>
          <cell r="AB1492" t="str">
            <v>line item not tagged</v>
          </cell>
        </row>
        <row r="1493">
          <cell r="W1493">
            <v>0</v>
          </cell>
          <cell r="AB1493" t="str">
            <v>line item not tagged</v>
          </cell>
        </row>
        <row r="1494">
          <cell r="W1494">
            <v>0</v>
          </cell>
          <cell r="AB1494" t="str">
            <v>line item not tagged</v>
          </cell>
        </row>
        <row r="1495">
          <cell r="W1495">
            <v>0</v>
          </cell>
          <cell r="AB1495" t="str">
            <v>line item not tagged</v>
          </cell>
        </row>
        <row r="1496">
          <cell r="W1496">
            <v>0</v>
          </cell>
          <cell r="AB1496" t="str">
            <v>line item not tagged</v>
          </cell>
        </row>
        <row r="1497">
          <cell r="W1497">
            <v>0</v>
          </cell>
          <cell r="AB1497" t="str">
            <v>line item not tagged</v>
          </cell>
        </row>
        <row r="1498">
          <cell r="W1498">
            <v>0</v>
          </cell>
          <cell r="AB1498" t="str">
            <v>line item not tagged</v>
          </cell>
        </row>
        <row r="1499">
          <cell r="W1499">
            <v>0</v>
          </cell>
          <cell r="AB1499" t="str">
            <v>line item not tagged</v>
          </cell>
        </row>
        <row r="1500">
          <cell r="W1500">
            <v>0</v>
          </cell>
          <cell r="AB1500" t="str">
            <v>line item not tagged</v>
          </cell>
        </row>
        <row r="1501">
          <cell r="W1501">
            <v>0</v>
          </cell>
          <cell r="AB1501" t="str">
            <v>line item not tagged</v>
          </cell>
        </row>
        <row r="1502">
          <cell r="W1502">
            <v>0</v>
          </cell>
          <cell r="AB1502" t="str">
            <v>line item not tagged</v>
          </cell>
        </row>
        <row r="1503">
          <cell r="W1503">
            <v>0</v>
          </cell>
          <cell r="AB1503" t="str">
            <v>line item not tagged</v>
          </cell>
        </row>
        <row r="1504">
          <cell r="W1504">
            <v>0</v>
          </cell>
          <cell r="AB1504" t="str">
            <v>line item not tagged</v>
          </cell>
        </row>
        <row r="1505">
          <cell r="W1505">
            <v>0</v>
          </cell>
          <cell r="AB1505" t="str">
            <v>line item not tagged</v>
          </cell>
        </row>
        <row r="1506">
          <cell r="W1506">
            <v>0</v>
          </cell>
          <cell r="AB1506" t="str">
            <v>line item not tagged</v>
          </cell>
        </row>
        <row r="1507">
          <cell r="W1507">
            <v>0</v>
          </cell>
          <cell r="AB1507" t="str">
            <v>line item not tagged</v>
          </cell>
        </row>
        <row r="1508">
          <cell r="W1508">
            <v>0</v>
          </cell>
          <cell r="AB1508" t="str">
            <v>line item not tagged</v>
          </cell>
        </row>
        <row r="1509">
          <cell r="W1509">
            <v>0</v>
          </cell>
          <cell r="AB1509" t="str">
            <v>line item not tagged</v>
          </cell>
        </row>
        <row r="1510">
          <cell r="W1510">
            <v>0</v>
          </cell>
          <cell r="AB1510" t="str">
            <v>line item not tagged</v>
          </cell>
        </row>
        <row r="1511">
          <cell r="W1511">
            <v>0</v>
          </cell>
          <cell r="AB1511" t="str">
            <v>line item not tagged</v>
          </cell>
        </row>
        <row r="1512">
          <cell r="W1512">
            <v>0</v>
          </cell>
          <cell r="AB1512" t="str">
            <v>line item not tagged</v>
          </cell>
        </row>
        <row r="1513">
          <cell r="W1513">
            <v>0</v>
          </cell>
          <cell r="AB1513" t="str">
            <v>line item not tagged</v>
          </cell>
        </row>
        <row r="1514">
          <cell r="W1514">
            <v>0</v>
          </cell>
          <cell r="AB1514" t="str">
            <v>line item not tagged</v>
          </cell>
        </row>
        <row r="1515">
          <cell r="W1515">
            <v>0</v>
          </cell>
          <cell r="AB1515" t="str">
            <v>line item not tagged</v>
          </cell>
        </row>
        <row r="1516">
          <cell r="W1516">
            <v>0</v>
          </cell>
          <cell r="AB1516" t="str">
            <v>line item not tagged</v>
          </cell>
        </row>
        <row r="1517">
          <cell r="W1517">
            <v>0</v>
          </cell>
          <cell r="AB1517" t="str">
            <v>line item not tagged</v>
          </cell>
        </row>
        <row r="1518">
          <cell r="W1518">
            <v>0</v>
          </cell>
          <cell r="AB1518" t="str">
            <v>line item not tagged</v>
          </cell>
        </row>
        <row r="1519">
          <cell r="W1519">
            <v>0</v>
          </cell>
          <cell r="AB1519" t="str">
            <v>line item not tagged</v>
          </cell>
        </row>
        <row r="1520">
          <cell r="W1520">
            <v>0</v>
          </cell>
          <cell r="AB1520" t="str">
            <v>line item not tagged</v>
          </cell>
        </row>
        <row r="1521">
          <cell r="W1521">
            <v>0</v>
          </cell>
          <cell r="AB1521" t="str">
            <v>line item not tagged</v>
          </cell>
        </row>
        <row r="1522">
          <cell r="W1522">
            <v>0</v>
          </cell>
          <cell r="AB1522" t="str">
            <v>line item not tagged</v>
          </cell>
        </row>
        <row r="1523">
          <cell r="W1523">
            <v>0</v>
          </cell>
          <cell r="AB1523" t="str">
            <v>line item not tagged</v>
          </cell>
        </row>
        <row r="1524">
          <cell r="W1524">
            <v>0</v>
          </cell>
          <cell r="AB1524" t="str">
            <v>line item not tagged</v>
          </cell>
        </row>
        <row r="1525">
          <cell r="W1525">
            <v>0</v>
          </cell>
          <cell r="AB1525" t="str">
            <v>line item not tagged</v>
          </cell>
        </row>
        <row r="1526">
          <cell r="W1526">
            <v>0</v>
          </cell>
          <cell r="AB1526" t="str">
            <v>line item not tagged</v>
          </cell>
        </row>
        <row r="1527">
          <cell r="W1527">
            <v>0</v>
          </cell>
          <cell r="AB1527" t="str">
            <v>line item not tagged</v>
          </cell>
        </row>
        <row r="1528">
          <cell r="W1528">
            <v>0</v>
          </cell>
          <cell r="AB1528" t="str">
            <v>line item not tagged</v>
          </cell>
        </row>
        <row r="1529">
          <cell r="W1529">
            <v>0</v>
          </cell>
          <cell r="AB1529" t="str">
            <v>line item not tagged</v>
          </cell>
        </row>
        <row r="1530">
          <cell r="W1530">
            <v>0</v>
          </cell>
          <cell r="AB1530" t="str">
            <v>line item not tagged</v>
          </cell>
        </row>
        <row r="1531">
          <cell r="W1531">
            <v>0</v>
          </cell>
          <cell r="AB1531" t="str">
            <v>line item not tagged</v>
          </cell>
        </row>
        <row r="1532">
          <cell r="W1532">
            <v>0</v>
          </cell>
          <cell r="AB1532" t="str">
            <v>line item not tagged</v>
          </cell>
        </row>
        <row r="1533">
          <cell r="W1533">
            <v>0</v>
          </cell>
          <cell r="AB1533" t="str">
            <v>line item not tagged</v>
          </cell>
        </row>
        <row r="1534">
          <cell r="W1534">
            <v>0</v>
          </cell>
          <cell r="AB1534" t="str">
            <v>line item not tagged</v>
          </cell>
        </row>
        <row r="1535">
          <cell r="W1535">
            <v>0</v>
          </cell>
          <cell r="AB1535" t="str">
            <v>line item not tagged</v>
          </cell>
        </row>
        <row r="1536">
          <cell r="W1536">
            <v>0</v>
          </cell>
          <cell r="AB1536" t="str">
            <v>line item not tagged</v>
          </cell>
        </row>
        <row r="1537">
          <cell r="W1537">
            <v>0</v>
          </cell>
          <cell r="AB1537" t="str">
            <v>line item not tagged</v>
          </cell>
        </row>
        <row r="1538">
          <cell r="W1538">
            <v>0</v>
          </cell>
          <cell r="AB1538" t="str">
            <v>line item not tagged</v>
          </cell>
        </row>
        <row r="1539">
          <cell r="W1539">
            <v>0</v>
          </cell>
          <cell r="AB1539" t="str">
            <v>line item not tagged</v>
          </cell>
        </row>
        <row r="1540">
          <cell r="W1540">
            <v>0</v>
          </cell>
          <cell r="AB1540" t="str">
            <v>line item not tagged</v>
          </cell>
        </row>
        <row r="1541">
          <cell r="W1541">
            <v>0</v>
          </cell>
          <cell r="AB1541" t="str">
            <v>line item not tagged</v>
          </cell>
        </row>
        <row r="1542">
          <cell r="W1542">
            <v>0</v>
          </cell>
          <cell r="AB1542" t="str">
            <v>line item not tagged</v>
          </cell>
        </row>
        <row r="1543">
          <cell r="W1543">
            <v>0</v>
          </cell>
          <cell r="AB1543" t="str">
            <v>line item not tagged</v>
          </cell>
        </row>
        <row r="1544">
          <cell r="W1544">
            <v>0</v>
          </cell>
          <cell r="AB1544" t="str">
            <v>line item not tagged</v>
          </cell>
        </row>
        <row r="1545">
          <cell r="W1545">
            <v>0</v>
          </cell>
          <cell r="AB1545" t="str">
            <v>line item not tagged</v>
          </cell>
        </row>
        <row r="1546">
          <cell r="W1546">
            <v>0</v>
          </cell>
          <cell r="AB1546" t="str">
            <v>line item not tagged</v>
          </cell>
        </row>
        <row r="1547">
          <cell r="W1547">
            <v>0</v>
          </cell>
          <cell r="AB1547" t="str">
            <v>line item not tagged</v>
          </cell>
        </row>
        <row r="1548">
          <cell r="W1548">
            <v>0</v>
          </cell>
          <cell r="AB1548" t="str">
            <v>line item not tagged</v>
          </cell>
        </row>
        <row r="1549">
          <cell r="W1549">
            <v>0</v>
          </cell>
          <cell r="AB1549" t="str">
            <v>line item not tagged</v>
          </cell>
        </row>
        <row r="1550">
          <cell r="W1550">
            <v>0</v>
          </cell>
          <cell r="AB1550" t="str">
            <v>line item not tagged</v>
          </cell>
        </row>
        <row r="1551">
          <cell r="W1551">
            <v>0</v>
          </cell>
          <cell r="AB1551" t="str">
            <v>line item not tagged</v>
          </cell>
        </row>
        <row r="1552">
          <cell r="W1552">
            <v>0</v>
          </cell>
          <cell r="AB1552" t="str">
            <v>line item not tagged</v>
          </cell>
        </row>
        <row r="1553">
          <cell r="W1553">
            <v>0</v>
          </cell>
          <cell r="AB1553" t="str">
            <v>line item not tagged</v>
          </cell>
        </row>
        <row r="1554">
          <cell r="W1554">
            <v>0</v>
          </cell>
          <cell r="AB1554" t="str">
            <v>line item not tagged</v>
          </cell>
        </row>
        <row r="1555">
          <cell r="W1555">
            <v>0</v>
          </cell>
          <cell r="AB1555" t="str">
            <v>line item not tagged</v>
          </cell>
        </row>
        <row r="1556">
          <cell r="W1556">
            <v>0</v>
          </cell>
          <cell r="AB1556" t="str">
            <v>line item not tagged</v>
          </cell>
        </row>
        <row r="1557">
          <cell r="W1557">
            <v>0</v>
          </cell>
          <cell r="AB1557" t="str">
            <v>line item not tagged</v>
          </cell>
        </row>
        <row r="1558">
          <cell r="W1558">
            <v>0</v>
          </cell>
          <cell r="AB1558" t="str">
            <v>line item not tagged</v>
          </cell>
        </row>
        <row r="1559">
          <cell r="W1559">
            <v>0</v>
          </cell>
          <cell r="AB1559" t="str">
            <v>line item not tagged</v>
          </cell>
        </row>
        <row r="1560">
          <cell r="W1560">
            <v>0</v>
          </cell>
          <cell r="AB1560" t="str">
            <v>line item not tagged</v>
          </cell>
        </row>
        <row r="1561">
          <cell r="W1561">
            <v>0</v>
          </cell>
          <cell r="AB1561" t="str">
            <v>line item not tagged</v>
          </cell>
        </row>
        <row r="1562">
          <cell r="W1562">
            <v>0</v>
          </cell>
          <cell r="AB1562" t="str">
            <v>line item not tagged</v>
          </cell>
        </row>
        <row r="1563">
          <cell r="W1563">
            <v>0</v>
          </cell>
          <cell r="AB1563" t="str">
            <v>line item not tagged</v>
          </cell>
        </row>
        <row r="1564">
          <cell r="W1564">
            <v>0</v>
          </cell>
          <cell r="AB1564" t="str">
            <v>line item not tagged</v>
          </cell>
        </row>
        <row r="1565">
          <cell r="W1565">
            <v>0</v>
          </cell>
          <cell r="AB1565" t="str">
            <v>line item not tagged</v>
          </cell>
        </row>
        <row r="1566">
          <cell r="W1566">
            <v>0</v>
          </cell>
          <cell r="AB1566" t="str">
            <v>line item not tagged</v>
          </cell>
        </row>
        <row r="1567">
          <cell r="W1567">
            <v>0</v>
          </cell>
          <cell r="AB1567" t="str">
            <v>line item not tagged</v>
          </cell>
        </row>
        <row r="1568">
          <cell r="W1568">
            <v>0</v>
          </cell>
          <cell r="AB1568" t="str">
            <v>line item not tagged</v>
          </cell>
        </row>
        <row r="1569">
          <cell r="W1569">
            <v>0</v>
          </cell>
          <cell r="AB1569" t="str">
            <v>line item not tagged</v>
          </cell>
        </row>
        <row r="1570">
          <cell r="W1570">
            <v>0</v>
          </cell>
          <cell r="AB1570" t="str">
            <v>line item not tagged</v>
          </cell>
        </row>
        <row r="1571">
          <cell r="W1571">
            <v>0</v>
          </cell>
          <cell r="AB1571" t="str">
            <v>line item not tagged</v>
          </cell>
        </row>
        <row r="1572">
          <cell r="W1572">
            <v>0</v>
          </cell>
          <cell r="AB1572" t="str">
            <v>line item not tagged</v>
          </cell>
        </row>
        <row r="1573">
          <cell r="W1573">
            <v>0</v>
          </cell>
          <cell r="AB1573" t="str">
            <v>line item not tagged</v>
          </cell>
        </row>
        <row r="1574">
          <cell r="W1574">
            <v>0</v>
          </cell>
          <cell r="AB1574" t="str">
            <v>line item not tagged</v>
          </cell>
        </row>
        <row r="1575">
          <cell r="W1575">
            <v>0</v>
          </cell>
          <cell r="AB1575" t="str">
            <v>line item not tagged</v>
          </cell>
        </row>
        <row r="1576">
          <cell r="W1576">
            <v>0</v>
          </cell>
          <cell r="AB1576" t="str">
            <v>line item not tagged</v>
          </cell>
        </row>
        <row r="1577">
          <cell r="W1577">
            <v>0</v>
          </cell>
          <cell r="AB1577" t="str">
            <v>line item not tagged</v>
          </cell>
        </row>
        <row r="1578">
          <cell r="W1578">
            <v>0</v>
          </cell>
          <cell r="AB1578" t="str">
            <v>line item not tagged</v>
          </cell>
        </row>
        <row r="1579">
          <cell r="W1579">
            <v>0</v>
          </cell>
          <cell r="AB1579" t="str">
            <v>line item not tagged</v>
          </cell>
        </row>
        <row r="1580">
          <cell r="W1580">
            <v>0</v>
          </cell>
          <cell r="AB1580" t="str">
            <v>line item not tagged</v>
          </cell>
        </row>
        <row r="1581">
          <cell r="W1581">
            <v>0</v>
          </cell>
          <cell r="AB1581" t="str">
            <v>line item not tagged</v>
          </cell>
        </row>
        <row r="1582">
          <cell r="W1582">
            <v>0</v>
          </cell>
          <cell r="AB1582" t="str">
            <v>line item not tagged</v>
          </cell>
        </row>
        <row r="1583">
          <cell r="W1583">
            <v>0</v>
          </cell>
          <cell r="AB1583" t="str">
            <v>line item not tagged</v>
          </cell>
        </row>
        <row r="1584">
          <cell r="W1584">
            <v>0</v>
          </cell>
          <cell r="AB1584" t="str">
            <v>line item not tagged</v>
          </cell>
        </row>
        <row r="1585">
          <cell r="W1585">
            <v>0</v>
          </cell>
          <cell r="AB1585" t="str">
            <v>line item not tagged</v>
          </cell>
        </row>
        <row r="1586">
          <cell r="W1586">
            <v>0</v>
          </cell>
          <cell r="AB1586" t="str">
            <v>line item not tagged</v>
          </cell>
        </row>
        <row r="1587">
          <cell r="W1587">
            <v>0</v>
          </cell>
          <cell r="AB1587" t="str">
            <v>line item not tagged</v>
          </cell>
        </row>
        <row r="1588">
          <cell r="W1588">
            <v>0</v>
          </cell>
          <cell r="AB1588" t="str">
            <v>line item not tagged</v>
          </cell>
        </row>
        <row r="1589">
          <cell r="W1589">
            <v>0</v>
          </cell>
          <cell r="AB1589" t="str">
            <v>line item not tagged</v>
          </cell>
        </row>
        <row r="1590">
          <cell r="W1590">
            <v>0</v>
          </cell>
          <cell r="AB1590" t="str">
            <v>line item not tagged</v>
          </cell>
        </row>
        <row r="1591">
          <cell r="W1591">
            <v>0</v>
          </cell>
          <cell r="AB1591" t="str">
            <v>line item not tagged</v>
          </cell>
        </row>
        <row r="1592">
          <cell r="W1592">
            <v>0</v>
          </cell>
          <cell r="AB1592" t="str">
            <v>line item not tagged</v>
          </cell>
        </row>
        <row r="1593">
          <cell r="W1593">
            <v>0</v>
          </cell>
          <cell r="AB1593" t="str">
            <v>line item not tagged</v>
          </cell>
        </row>
        <row r="1594">
          <cell r="W1594">
            <v>0</v>
          </cell>
          <cell r="AB1594" t="str">
            <v>line item not tagged</v>
          </cell>
        </row>
        <row r="1595">
          <cell r="W1595">
            <v>0</v>
          </cell>
          <cell r="AB1595" t="str">
            <v>line item not tagged</v>
          </cell>
        </row>
        <row r="1596">
          <cell r="W1596">
            <v>0</v>
          </cell>
          <cell r="AB1596" t="str">
            <v>line item not tagged</v>
          </cell>
        </row>
        <row r="1597">
          <cell r="W1597">
            <v>0</v>
          </cell>
          <cell r="AB1597" t="str">
            <v>line item not tagged</v>
          </cell>
        </row>
        <row r="1598">
          <cell r="W1598">
            <v>0</v>
          </cell>
          <cell r="AB1598" t="str">
            <v>line item not tagged</v>
          </cell>
        </row>
        <row r="1599">
          <cell r="W1599">
            <v>0</v>
          </cell>
          <cell r="AB1599" t="str">
            <v>line item not tagged</v>
          </cell>
        </row>
        <row r="1600">
          <cell r="W1600">
            <v>0</v>
          </cell>
          <cell r="AB1600" t="str">
            <v>line item not tagged</v>
          </cell>
        </row>
        <row r="1601">
          <cell r="W1601">
            <v>0</v>
          </cell>
          <cell r="AB1601" t="str">
            <v>line item not tagged</v>
          </cell>
        </row>
        <row r="1602">
          <cell r="W1602">
            <v>0</v>
          </cell>
          <cell r="AB1602" t="str">
            <v>line item not tagged</v>
          </cell>
        </row>
        <row r="1603">
          <cell r="W1603">
            <v>0</v>
          </cell>
          <cell r="AB1603" t="str">
            <v>line item not tagged</v>
          </cell>
        </row>
        <row r="1604">
          <cell r="W1604">
            <v>0</v>
          </cell>
          <cell r="AB1604" t="str">
            <v>line item not tagged</v>
          </cell>
        </row>
        <row r="1605">
          <cell r="W1605">
            <v>0</v>
          </cell>
          <cell r="AB1605" t="str">
            <v>line item not tagged</v>
          </cell>
        </row>
        <row r="1606">
          <cell r="W1606">
            <v>0</v>
          </cell>
          <cell r="AB1606" t="str">
            <v>line item not tagged</v>
          </cell>
        </row>
        <row r="1607">
          <cell r="W1607">
            <v>0</v>
          </cell>
          <cell r="AB1607" t="str">
            <v>line item not tagged</v>
          </cell>
        </row>
        <row r="1608">
          <cell r="W1608">
            <v>0</v>
          </cell>
          <cell r="AB1608" t="str">
            <v>line item not tagged</v>
          </cell>
        </row>
        <row r="1609">
          <cell r="W1609">
            <v>0</v>
          </cell>
          <cell r="AB1609" t="str">
            <v>line item not tagged</v>
          </cell>
        </row>
        <row r="1610">
          <cell r="W1610">
            <v>0</v>
          </cell>
          <cell r="AB1610" t="str">
            <v>line item not tagged</v>
          </cell>
        </row>
        <row r="1611">
          <cell r="W1611">
            <v>0</v>
          </cell>
          <cell r="AB1611" t="str">
            <v>line item not tagged</v>
          </cell>
        </row>
        <row r="1612">
          <cell r="W1612">
            <v>0</v>
          </cell>
          <cell r="AB1612" t="str">
            <v>line item not tagged</v>
          </cell>
        </row>
        <row r="1613">
          <cell r="W1613">
            <v>0</v>
          </cell>
          <cell r="AB1613" t="str">
            <v>line item not tagged</v>
          </cell>
        </row>
        <row r="1614">
          <cell r="W1614">
            <v>0</v>
          </cell>
          <cell r="AB1614" t="str">
            <v>line item not tagged</v>
          </cell>
        </row>
        <row r="1615">
          <cell r="W1615">
            <v>0</v>
          </cell>
          <cell r="AB1615" t="str">
            <v>line item not tagged</v>
          </cell>
        </row>
        <row r="1616">
          <cell r="W1616">
            <v>0</v>
          </cell>
          <cell r="AB1616" t="str">
            <v>line item not tagged</v>
          </cell>
        </row>
        <row r="1617">
          <cell r="W1617">
            <v>0</v>
          </cell>
          <cell r="AB1617" t="str">
            <v>line item not tagged</v>
          </cell>
        </row>
        <row r="1618">
          <cell r="W1618">
            <v>0</v>
          </cell>
          <cell r="AB1618" t="str">
            <v>line item not tagged</v>
          </cell>
        </row>
        <row r="1619">
          <cell r="W1619">
            <v>0</v>
          </cell>
          <cell r="AB1619" t="str">
            <v>line item not tagged</v>
          </cell>
        </row>
        <row r="1620">
          <cell r="W1620">
            <v>0</v>
          </cell>
          <cell r="AB1620" t="str">
            <v>line item not tagged</v>
          </cell>
        </row>
        <row r="1621">
          <cell r="W1621">
            <v>0</v>
          </cell>
          <cell r="AB1621" t="str">
            <v>line item not tagged</v>
          </cell>
        </row>
        <row r="1622">
          <cell r="W1622">
            <v>0</v>
          </cell>
          <cell r="AB1622" t="str">
            <v>line item not tagged</v>
          </cell>
        </row>
        <row r="1623">
          <cell r="W1623">
            <v>0</v>
          </cell>
          <cell r="AB1623" t="str">
            <v>line item not tagged</v>
          </cell>
        </row>
        <row r="1624">
          <cell r="W1624">
            <v>0</v>
          </cell>
          <cell r="AB1624" t="str">
            <v>line item not tagged</v>
          </cell>
        </row>
        <row r="1625">
          <cell r="W1625">
            <v>0</v>
          </cell>
          <cell r="AB1625" t="str">
            <v>line item not tagged</v>
          </cell>
        </row>
        <row r="1626">
          <cell r="W1626">
            <v>0</v>
          </cell>
          <cell r="AB1626" t="str">
            <v>line item not tagged</v>
          </cell>
        </row>
        <row r="1627">
          <cell r="W1627">
            <v>0</v>
          </cell>
          <cell r="AB1627" t="str">
            <v>line item not tagged</v>
          </cell>
        </row>
        <row r="1628">
          <cell r="W1628">
            <v>0</v>
          </cell>
          <cell r="AB1628" t="str">
            <v>line item not tagged</v>
          </cell>
        </row>
        <row r="1629">
          <cell r="W1629">
            <v>0</v>
          </cell>
          <cell r="AB1629" t="str">
            <v>line item not tagged</v>
          </cell>
        </row>
        <row r="1630">
          <cell r="W1630">
            <v>0</v>
          </cell>
          <cell r="AB1630" t="str">
            <v>line item not tagged</v>
          </cell>
        </row>
        <row r="1631">
          <cell r="W1631">
            <v>0</v>
          </cell>
          <cell r="AB1631" t="str">
            <v>line item not tagged</v>
          </cell>
        </row>
        <row r="1632">
          <cell r="W1632">
            <v>0</v>
          </cell>
          <cell r="AB1632" t="str">
            <v>line item not tagged</v>
          </cell>
        </row>
        <row r="1633">
          <cell r="W1633">
            <v>0</v>
          </cell>
          <cell r="AB1633" t="str">
            <v>line item not tagged</v>
          </cell>
        </row>
        <row r="1634">
          <cell r="W1634">
            <v>0</v>
          </cell>
          <cell r="AB1634" t="str">
            <v>line item not tagged</v>
          </cell>
        </row>
        <row r="1635">
          <cell r="W1635">
            <v>0</v>
          </cell>
          <cell r="AB1635" t="str">
            <v>line item not tagged</v>
          </cell>
        </row>
        <row r="1636">
          <cell r="W1636">
            <v>0</v>
          </cell>
          <cell r="AB1636" t="str">
            <v>line item not tagged</v>
          </cell>
        </row>
        <row r="1637">
          <cell r="W1637">
            <v>0</v>
          </cell>
          <cell r="AB1637" t="str">
            <v>line item not tagged</v>
          </cell>
        </row>
        <row r="1638">
          <cell r="W1638">
            <v>0</v>
          </cell>
          <cell r="AB1638" t="str">
            <v>line item not tagged</v>
          </cell>
        </row>
        <row r="1639">
          <cell r="W1639">
            <v>0</v>
          </cell>
          <cell r="AB1639" t="str">
            <v>line item not tagged</v>
          </cell>
        </row>
        <row r="1640">
          <cell r="W1640">
            <v>0</v>
          </cell>
          <cell r="AB1640" t="str">
            <v>line item not tagged</v>
          </cell>
        </row>
        <row r="1641">
          <cell r="W1641">
            <v>0</v>
          </cell>
          <cell r="AB1641" t="str">
            <v>line item not tagged</v>
          </cell>
        </row>
        <row r="1642">
          <cell r="W1642">
            <v>0</v>
          </cell>
          <cell r="AB1642" t="str">
            <v>line item not tagged</v>
          </cell>
        </row>
        <row r="1643">
          <cell r="W1643">
            <v>0</v>
          </cell>
          <cell r="AB1643" t="str">
            <v>line item not tagged</v>
          </cell>
        </row>
        <row r="1644">
          <cell r="W1644">
            <v>0</v>
          </cell>
          <cell r="AB1644" t="str">
            <v>line item not tagged</v>
          </cell>
        </row>
        <row r="1645">
          <cell r="W1645">
            <v>0</v>
          </cell>
          <cell r="AB1645" t="str">
            <v>line item not tagged</v>
          </cell>
        </row>
        <row r="1646">
          <cell r="W1646">
            <v>0</v>
          </cell>
          <cell r="AB1646" t="str">
            <v>line item not tagged</v>
          </cell>
        </row>
        <row r="1647">
          <cell r="W1647">
            <v>0</v>
          </cell>
          <cell r="AB1647" t="str">
            <v>line item not tagged</v>
          </cell>
        </row>
        <row r="1648">
          <cell r="W1648">
            <v>0</v>
          </cell>
          <cell r="AB1648" t="str">
            <v>line item not tagged</v>
          </cell>
        </row>
        <row r="1649">
          <cell r="W1649">
            <v>0</v>
          </cell>
          <cell r="AB1649" t="str">
            <v>line item not tagged</v>
          </cell>
        </row>
        <row r="1650">
          <cell r="W1650">
            <v>0</v>
          </cell>
          <cell r="AB1650" t="str">
            <v>line item not tagged</v>
          </cell>
        </row>
        <row r="1651">
          <cell r="W1651">
            <v>0</v>
          </cell>
          <cell r="AB1651" t="str">
            <v>line item not tagged</v>
          </cell>
        </row>
        <row r="1652">
          <cell r="W1652">
            <v>0</v>
          </cell>
          <cell r="AB1652" t="str">
            <v>line item not tagged</v>
          </cell>
        </row>
        <row r="1653">
          <cell r="W1653">
            <v>0</v>
          </cell>
          <cell r="AB1653" t="str">
            <v>line item not tagged</v>
          </cell>
        </row>
        <row r="1654">
          <cell r="W1654">
            <v>0</v>
          </cell>
          <cell r="AB1654" t="str">
            <v>line item not tagged</v>
          </cell>
        </row>
        <row r="1655">
          <cell r="W1655">
            <v>0</v>
          </cell>
          <cell r="AB1655" t="str">
            <v>line item not tagged</v>
          </cell>
        </row>
        <row r="1656">
          <cell r="W1656">
            <v>0</v>
          </cell>
          <cell r="AB1656" t="str">
            <v>line item not tagged</v>
          </cell>
        </row>
        <row r="1657">
          <cell r="W1657">
            <v>0</v>
          </cell>
          <cell r="AB1657" t="str">
            <v>line item not tagged</v>
          </cell>
        </row>
        <row r="1658">
          <cell r="W1658">
            <v>0</v>
          </cell>
          <cell r="AB1658" t="str">
            <v>line item not tagged</v>
          </cell>
        </row>
        <row r="1659">
          <cell r="W1659">
            <v>0</v>
          </cell>
          <cell r="AB1659" t="str">
            <v>line item not tagged</v>
          </cell>
        </row>
        <row r="1660">
          <cell r="W1660">
            <v>0</v>
          </cell>
          <cell r="AB1660" t="str">
            <v>line item not tagged</v>
          </cell>
        </row>
        <row r="1661">
          <cell r="W1661">
            <v>0</v>
          </cell>
          <cell r="AB1661" t="str">
            <v>line item not tagged</v>
          </cell>
        </row>
        <row r="1662">
          <cell r="W1662">
            <v>0</v>
          </cell>
          <cell r="AB1662" t="str">
            <v>line item not tagged</v>
          </cell>
        </row>
        <row r="1663">
          <cell r="W1663">
            <v>0</v>
          </cell>
          <cell r="AB1663" t="str">
            <v>line item not tagged</v>
          </cell>
        </row>
        <row r="1664">
          <cell r="W1664">
            <v>0</v>
          </cell>
          <cell r="AB1664" t="str">
            <v>line item not tagged</v>
          </cell>
        </row>
        <row r="1665">
          <cell r="W1665">
            <v>0</v>
          </cell>
          <cell r="AB1665" t="str">
            <v>line item not tagged</v>
          </cell>
        </row>
        <row r="1666">
          <cell r="W1666">
            <v>0</v>
          </cell>
          <cell r="AB1666" t="str">
            <v>line item not tagged</v>
          </cell>
        </row>
        <row r="1667">
          <cell r="W1667">
            <v>0</v>
          </cell>
          <cell r="AB1667" t="str">
            <v>line item not tagged</v>
          </cell>
        </row>
        <row r="1668">
          <cell r="W1668">
            <v>0</v>
          </cell>
          <cell r="AB1668" t="str">
            <v>line item not tagged</v>
          </cell>
        </row>
        <row r="1669">
          <cell r="W1669">
            <v>0</v>
          </cell>
          <cell r="AB1669" t="str">
            <v>line item not tagged</v>
          </cell>
        </row>
        <row r="1670">
          <cell r="W1670">
            <v>0</v>
          </cell>
          <cell r="AB1670" t="str">
            <v>line item not tagged</v>
          </cell>
        </row>
        <row r="1671">
          <cell r="W1671">
            <v>0</v>
          </cell>
          <cell r="AB1671" t="str">
            <v>line item not tagged</v>
          </cell>
        </row>
        <row r="1672">
          <cell r="W1672">
            <v>0</v>
          </cell>
          <cell r="AB1672" t="str">
            <v>line item not tagged</v>
          </cell>
        </row>
        <row r="1673">
          <cell r="W1673">
            <v>0</v>
          </cell>
          <cell r="AB1673" t="str">
            <v>line item not tagged</v>
          </cell>
        </row>
        <row r="1674">
          <cell r="W1674">
            <v>0</v>
          </cell>
          <cell r="AB1674" t="str">
            <v>line item not tagged</v>
          </cell>
        </row>
        <row r="1675">
          <cell r="W1675">
            <v>0</v>
          </cell>
          <cell r="AB1675" t="str">
            <v>line item not tagged</v>
          </cell>
        </row>
        <row r="1676">
          <cell r="W1676">
            <v>0</v>
          </cell>
          <cell r="AB1676" t="str">
            <v>line item not tagged</v>
          </cell>
        </row>
        <row r="1677">
          <cell r="W1677">
            <v>0</v>
          </cell>
          <cell r="AB1677" t="str">
            <v>line item not tagged</v>
          </cell>
        </row>
        <row r="1678">
          <cell r="W1678">
            <v>0</v>
          </cell>
          <cell r="AB1678" t="str">
            <v>line item not tagged</v>
          </cell>
        </row>
        <row r="1679">
          <cell r="W1679">
            <v>0</v>
          </cell>
          <cell r="AB1679" t="str">
            <v>line item not tagged</v>
          </cell>
        </row>
        <row r="1680">
          <cell r="W1680">
            <v>0</v>
          </cell>
          <cell r="AB1680" t="str">
            <v>line item not tagged</v>
          </cell>
        </row>
        <row r="1681">
          <cell r="W1681">
            <v>0</v>
          </cell>
          <cell r="AB1681" t="str">
            <v>line item not tagged</v>
          </cell>
        </row>
        <row r="1682">
          <cell r="W1682">
            <v>0</v>
          </cell>
          <cell r="AB1682" t="str">
            <v>line item not tagged</v>
          </cell>
        </row>
        <row r="1683">
          <cell r="W1683">
            <v>0</v>
          </cell>
          <cell r="AB1683" t="str">
            <v>line item not tagged</v>
          </cell>
        </row>
        <row r="1684">
          <cell r="W1684">
            <v>0</v>
          </cell>
          <cell r="AB1684" t="str">
            <v>line item not tagged</v>
          </cell>
        </row>
        <row r="1685">
          <cell r="W1685">
            <v>0</v>
          </cell>
          <cell r="AB1685" t="str">
            <v>line item not tagged</v>
          </cell>
        </row>
        <row r="1686">
          <cell r="W1686">
            <v>0</v>
          </cell>
          <cell r="AB1686" t="str">
            <v>line item not tagged</v>
          </cell>
        </row>
        <row r="1687">
          <cell r="W1687">
            <v>0</v>
          </cell>
          <cell r="AB1687" t="str">
            <v>line item not tagged</v>
          </cell>
        </row>
        <row r="1688">
          <cell r="W1688">
            <v>0</v>
          </cell>
          <cell r="AB1688" t="str">
            <v>line item not tagged</v>
          </cell>
        </row>
        <row r="1689">
          <cell r="W1689">
            <v>0</v>
          </cell>
          <cell r="AB1689" t="str">
            <v>line item not tagged</v>
          </cell>
        </row>
        <row r="1690">
          <cell r="W1690">
            <v>0</v>
          </cell>
          <cell r="AB1690" t="str">
            <v>line item not tagged</v>
          </cell>
        </row>
        <row r="1691">
          <cell r="W1691">
            <v>0</v>
          </cell>
          <cell r="AB1691" t="str">
            <v>line item not tagged</v>
          </cell>
        </row>
        <row r="1692">
          <cell r="W1692">
            <v>0</v>
          </cell>
          <cell r="AB1692" t="str">
            <v>line item not tagged</v>
          </cell>
        </row>
        <row r="1693">
          <cell r="W1693">
            <v>0</v>
          </cell>
          <cell r="AB1693" t="str">
            <v>line item not tagged</v>
          </cell>
        </row>
        <row r="1694">
          <cell r="W1694">
            <v>0</v>
          </cell>
          <cell r="AB1694" t="str">
            <v>line item not tagged</v>
          </cell>
        </row>
        <row r="1695">
          <cell r="W1695">
            <v>0</v>
          </cell>
          <cell r="AB1695" t="str">
            <v>line item not tagged</v>
          </cell>
        </row>
        <row r="1696">
          <cell r="W1696">
            <v>0</v>
          </cell>
          <cell r="AB1696" t="str">
            <v>line item not tagged</v>
          </cell>
        </row>
        <row r="1697">
          <cell r="W1697">
            <v>0</v>
          </cell>
          <cell r="AB1697" t="str">
            <v>line item not tagged</v>
          </cell>
        </row>
        <row r="1698">
          <cell r="W1698">
            <v>0</v>
          </cell>
          <cell r="AB1698" t="str">
            <v>line item not tagged</v>
          </cell>
        </row>
        <row r="1699">
          <cell r="W1699">
            <v>0</v>
          </cell>
          <cell r="AB1699" t="str">
            <v>line item not tagged</v>
          </cell>
        </row>
        <row r="1700">
          <cell r="W1700">
            <v>0</v>
          </cell>
          <cell r="AB1700" t="str">
            <v>line item not tagged</v>
          </cell>
        </row>
        <row r="1701">
          <cell r="W1701">
            <v>0</v>
          </cell>
          <cell r="AB1701" t="str">
            <v>line item not tagged</v>
          </cell>
        </row>
        <row r="1702">
          <cell r="W1702">
            <v>0</v>
          </cell>
          <cell r="AB1702" t="str">
            <v>line item not tagged</v>
          </cell>
        </row>
        <row r="1703">
          <cell r="W1703">
            <v>0</v>
          </cell>
          <cell r="AB1703" t="str">
            <v>line item not tagged</v>
          </cell>
        </row>
        <row r="1704">
          <cell r="W1704">
            <v>0</v>
          </cell>
          <cell r="AB1704" t="str">
            <v>line item not tagged</v>
          </cell>
        </row>
        <row r="1705">
          <cell r="W1705">
            <v>0</v>
          </cell>
          <cell r="AB1705" t="str">
            <v>line item not tagged</v>
          </cell>
        </row>
        <row r="1706">
          <cell r="W1706">
            <v>0</v>
          </cell>
          <cell r="AB1706" t="str">
            <v>line item not tagged</v>
          </cell>
        </row>
        <row r="1707">
          <cell r="W1707">
            <v>0</v>
          </cell>
          <cell r="AB1707" t="str">
            <v>line item not tagged</v>
          </cell>
        </row>
        <row r="1708">
          <cell r="W1708">
            <v>0</v>
          </cell>
          <cell r="AB1708" t="str">
            <v>line item not tagged</v>
          </cell>
        </row>
        <row r="1709">
          <cell r="W1709">
            <v>0</v>
          </cell>
          <cell r="AB1709" t="str">
            <v>line item not tagged</v>
          </cell>
        </row>
        <row r="1710">
          <cell r="W1710">
            <v>0</v>
          </cell>
          <cell r="AB1710" t="str">
            <v>line item not tagged</v>
          </cell>
        </row>
        <row r="1711">
          <cell r="W1711">
            <v>0</v>
          </cell>
          <cell r="AB1711" t="str">
            <v>line item not tagged</v>
          </cell>
        </row>
        <row r="1712">
          <cell r="W1712">
            <v>0</v>
          </cell>
          <cell r="AB1712" t="str">
            <v>line item not tagged</v>
          </cell>
        </row>
        <row r="1713">
          <cell r="W1713">
            <v>0</v>
          </cell>
          <cell r="AB1713" t="str">
            <v>line item not tagged</v>
          </cell>
        </row>
        <row r="1714">
          <cell r="W1714">
            <v>0</v>
          </cell>
          <cell r="AB1714" t="str">
            <v>line item not tagged</v>
          </cell>
        </row>
        <row r="1715">
          <cell r="W1715">
            <v>0</v>
          </cell>
          <cell r="AB1715" t="str">
            <v>line item not tagged</v>
          </cell>
        </row>
        <row r="1716">
          <cell r="W1716">
            <v>0</v>
          </cell>
          <cell r="AB1716" t="str">
            <v>line item not tagged</v>
          </cell>
        </row>
        <row r="1717">
          <cell r="W1717">
            <v>0</v>
          </cell>
          <cell r="AB1717" t="str">
            <v>line item not tagged</v>
          </cell>
        </row>
        <row r="1718">
          <cell r="W1718">
            <v>0</v>
          </cell>
          <cell r="AB1718" t="str">
            <v>line item not tagged</v>
          </cell>
        </row>
        <row r="1719">
          <cell r="W1719">
            <v>0</v>
          </cell>
          <cell r="AB1719" t="str">
            <v>line item not tagged</v>
          </cell>
        </row>
        <row r="1720">
          <cell r="W1720">
            <v>0</v>
          </cell>
          <cell r="AB1720" t="str">
            <v>line item not tagged</v>
          </cell>
        </row>
        <row r="1721">
          <cell r="W1721">
            <v>0</v>
          </cell>
          <cell r="AB1721" t="str">
            <v>line item not tagged</v>
          </cell>
        </row>
        <row r="1722">
          <cell r="W1722">
            <v>0</v>
          </cell>
          <cell r="AB1722" t="str">
            <v>line item not tagged</v>
          </cell>
        </row>
        <row r="1723">
          <cell r="W1723">
            <v>0</v>
          </cell>
          <cell r="AB1723" t="str">
            <v>line item not tagged</v>
          </cell>
        </row>
        <row r="1724">
          <cell r="W1724">
            <v>0</v>
          </cell>
          <cell r="AB1724" t="str">
            <v>line item not tagged</v>
          </cell>
        </row>
        <row r="1725">
          <cell r="W1725">
            <v>0</v>
          </cell>
          <cell r="AB1725" t="str">
            <v>line item not tagged</v>
          </cell>
        </row>
        <row r="1726">
          <cell r="W1726">
            <v>0</v>
          </cell>
          <cell r="AB1726" t="str">
            <v>line item not tagged</v>
          </cell>
        </row>
        <row r="1727">
          <cell r="W1727">
            <v>0</v>
          </cell>
          <cell r="AB1727" t="str">
            <v>line item not tagged</v>
          </cell>
        </row>
        <row r="1728">
          <cell r="W1728">
            <v>0</v>
          </cell>
          <cell r="AB1728" t="str">
            <v>line item not tagged</v>
          </cell>
        </row>
        <row r="1729">
          <cell r="W1729">
            <v>0</v>
          </cell>
          <cell r="AB1729" t="str">
            <v>line item not tagged</v>
          </cell>
        </row>
        <row r="1730">
          <cell r="W1730">
            <v>0</v>
          </cell>
          <cell r="AB1730" t="str">
            <v>line item not tagged</v>
          </cell>
        </row>
        <row r="1731">
          <cell r="W1731">
            <v>0</v>
          </cell>
          <cell r="AB1731" t="str">
            <v>line item not tagged</v>
          </cell>
        </row>
        <row r="1732">
          <cell r="W1732">
            <v>0</v>
          </cell>
          <cell r="AB1732" t="str">
            <v>line item not tagged</v>
          </cell>
        </row>
        <row r="1733">
          <cell r="W1733">
            <v>0</v>
          </cell>
          <cell r="AB1733" t="str">
            <v>line item not tagged</v>
          </cell>
        </row>
        <row r="1734">
          <cell r="W1734">
            <v>0</v>
          </cell>
          <cell r="AB1734" t="str">
            <v>line item not tagged</v>
          </cell>
        </row>
        <row r="1735">
          <cell r="W1735">
            <v>0</v>
          </cell>
          <cell r="AB1735" t="str">
            <v>line item not tagged</v>
          </cell>
        </row>
        <row r="1736">
          <cell r="W1736">
            <v>0</v>
          </cell>
          <cell r="AB1736" t="str">
            <v>line item not tagged</v>
          </cell>
        </row>
        <row r="1737">
          <cell r="W1737">
            <v>0</v>
          </cell>
          <cell r="AB1737" t="str">
            <v>line item not tagged</v>
          </cell>
        </row>
        <row r="1738">
          <cell r="W1738">
            <v>0</v>
          </cell>
          <cell r="AB1738" t="str">
            <v>line item not tagged</v>
          </cell>
        </row>
        <row r="1739">
          <cell r="W1739">
            <v>0</v>
          </cell>
          <cell r="AB1739" t="str">
            <v>line item not tagged</v>
          </cell>
        </row>
        <row r="1740">
          <cell r="W1740">
            <v>0</v>
          </cell>
          <cell r="AB1740" t="str">
            <v>line item not tagged</v>
          </cell>
        </row>
        <row r="1741">
          <cell r="W1741">
            <v>0</v>
          </cell>
          <cell r="AB1741" t="str">
            <v>line item not tagged</v>
          </cell>
        </row>
        <row r="1742">
          <cell r="W1742">
            <v>0</v>
          </cell>
          <cell r="AB1742" t="str">
            <v>line item not tagged</v>
          </cell>
        </row>
        <row r="1743">
          <cell r="W1743">
            <v>0</v>
          </cell>
          <cell r="AB1743" t="str">
            <v>line item not tagged</v>
          </cell>
        </row>
        <row r="1744">
          <cell r="W1744">
            <v>0</v>
          </cell>
          <cell r="AB1744" t="str">
            <v>line item not tagged</v>
          </cell>
        </row>
        <row r="1745">
          <cell r="W1745">
            <v>0</v>
          </cell>
          <cell r="AB1745" t="str">
            <v>line item not tagged</v>
          </cell>
        </row>
        <row r="1746">
          <cell r="W1746">
            <v>0</v>
          </cell>
          <cell r="AB1746" t="str">
            <v>line item not tagged</v>
          </cell>
        </row>
        <row r="1747">
          <cell r="W1747">
            <v>0</v>
          </cell>
          <cell r="AB1747" t="str">
            <v>line item not tagged</v>
          </cell>
        </row>
        <row r="1748">
          <cell r="W1748">
            <v>0</v>
          </cell>
          <cell r="AB1748" t="str">
            <v>line item not tagged</v>
          </cell>
        </row>
        <row r="1749">
          <cell r="W1749">
            <v>0</v>
          </cell>
          <cell r="AB1749" t="str">
            <v>line item not tagged</v>
          </cell>
        </row>
        <row r="1750">
          <cell r="W1750">
            <v>0</v>
          </cell>
          <cell r="AB1750" t="str">
            <v>line item not tagged</v>
          </cell>
        </row>
        <row r="1751">
          <cell r="W1751">
            <v>0</v>
          </cell>
          <cell r="AB1751" t="str">
            <v>line item not tagged</v>
          </cell>
        </row>
        <row r="1752">
          <cell r="W1752">
            <v>0</v>
          </cell>
          <cell r="AB1752" t="str">
            <v>line item not tagged</v>
          </cell>
        </row>
        <row r="1753">
          <cell r="W1753">
            <v>0</v>
          </cell>
          <cell r="AB1753" t="str">
            <v>line item not tagged</v>
          </cell>
        </row>
        <row r="1754">
          <cell r="W1754">
            <v>0</v>
          </cell>
          <cell r="AB1754" t="str">
            <v>line item not tagged</v>
          </cell>
        </row>
        <row r="1755">
          <cell r="W1755">
            <v>0</v>
          </cell>
          <cell r="AB1755" t="str">
            <v>line item not tagged</v>
          </cell>
        </row>
        <row r="1756">
          <cell r="W1756">
            <v>0</v>
          </cell>
          <cell r="AB1756" t="str">
            <v>line item not tagged</v>
          </cell>
        </row>
        <row r="1757">
          <cell r="W1757">
            <v>0</v>
          </cell>
          <cell r="AB1757" t="str">
            <v>line item not tagged</v>
          </cell>
        </row>
        <row r="1758">
          <cell r="W1758">
            <v>0</v>
          </cell>
          <cell r="AB1758" t="str">
            <v>line item not tagged</v>
          </cell>
        </row>
        <row r="1759">
          <cell r="W1759">
            <v>0</v>
          </cell>
          <cell r="AB1759" t="str">
            <v>line item not tagged</v>
          </cell>
        </row>
        <row r="1760">
          <cell r="W1760">
            <v>0</v>
          </cell>
          <cell r="AB1760" t="str">
            <v>line item not tagged</v>
          </cell>
        </row>
        <row r="1761">
          <cell r="W1761">
            <v>0</v>
          </cell>
          <cell r="AB1761" t="str">
            <v>line item not tagged</v>
          </cell>
        </row>
        <row r="1762">
          <cell r="W1762">
            <v>0</v>
          </cell>
          <cell r="AB1762" t="str">
            <v>line item not tagged</v>
          </cell>
        </row>
        <row r="1763">
          <cell r="W1763">
            <v>0</v>
          </cell>
          <cell r="AB1763" t="str">
            <v>line item not tagged</v>
          </cell>
        </row>
        <row r="1764">
          <cell r="W1764">
            <v>0</v>
          </cell>
          <cell r="AB1764" t="str">
            <v>line item not tagged</v>
          </cell>
        </row>
        <row r="1765">
          <cell r="W1765">
            <v>0</v>
          </cell>
          <cell r="AB1765" t="str">
            <v>line item not tagged</v>
          </cell>
        </row>
        <row r="1766">
          <cell r="W1766">
            <v>0</v>
          </cell>
          <cell r="AB1766" t="str">
            <v>line item not tagged</v>
          </cell>
        </row>
        <row r="1767">
          <cell r="W1767">
            <v>0</v>
          </cell>
          <cell r="AB1767" t="str">
            <v>line item not tagged</v>
          </cell>
        </row>
        <row r="1768">
          <cell r="W1768">
            <v>0</v>
          </cell>
          <cell r="AB1768" t="str">
            <v>line item not tagged</v>
          </cell>
        </row>
        <row r="1769">
          <cell r="W1769">
            <v>0</v>
          </cell>
          <cell r="AB1769" t="str">
            <v>line item not tagged</v>
          </cell>
        </row>
        <row r="1770">
          <cell r="W1770">
            <v>0</v>
          </cell>
          <cell r="AB1770" t="str">
            <v>line item not tagged</v>
          </cell>
        </row>
        <row r="1771">
          <cell r="W1771">
            <v>0</v>
          </cell>
          <cell r="AB1771" t="str">
            <v>line item not tagged</v>
          </cell>
        </row>
        <row r="1772">
          <cell r="W1772">
            <v>0</v>
          </cell>
          <cell r="AB1772" t="str">
            <v>line item not tagged</v>
          </cell>
        </row>
        <row r="1773">
          <cell r="W1773">
            <v>0</v>
          </cell>
          <cell r="AB1773" t="str">
            <v>line item not tagged</v>
          </cell>
        </row>
        <row r="1774">
          <cell r="W1774">
            <v>0</v>
          </cell>
          <cell r="AB1774" t="str">
            <v>line item not tagged</v>
          </cell>
        </row>
        <row r="1775">
          <cell r="W1775">
            <v>0</v>
          </cell>
          <cell r="AB1775" t="str">
            <v>line item not tagged</v>
          </cell>
        </row>
        <row r="1776">
          <cell r="W1776">
            <v>0</v>
          </cell>
          <cell r="AB1776" t="str">
            <v>line item not tagged</v>
          </cell>
        </row>
        <row r="1777">
          <cell r="W1777">
            <v>0</v>
          </cell>
          <cell r="AB1777" t="str">
            <v>line item not tagged</v>
          </cell>
        </row>
        <row r="1778">
          <cell r="W1778">
            <v>0</v>
          </cell>
          <cell r="AB1778" t="str">
            <v>line item not tagged</v>
          </cell>
        </row>
        <row r="1779">
          <cell r="W1779">
            <v>0</v>
          </cell>
          <cell r="AB1779" t="str">
            <v>line item not tagged</v>
          </cell>
        </row>
        <row r="1780">
          <cell r="W1780">
            <v>0</v>
          </cell>
          <cell r="AB1780" t="str">
            <v>line item not tagged</v>
          </cell>
        </row>
        <row r="1781">
          <cell r="W1781">
            <v>0</v>
          </cell>
          <cell r="AB1781" t="str">
            <v>line item not tagged</v>
          </cell>
        </row>
        <row r="1782">
          <cell r="W1782">
            <v>0</v>
          </cell>
          <cell r="AB1782" t="str">
            <v>line item not tagged</v>
          </cell>
        </row>
        <row r="1783">
          <cell r="W1783">
            <v>0</v>
          </cell>
          <cell r="AB1783" t="str">
            <v>line item not tagged</v>
          </cell>
        </row>
        <row r="1784">
          <cell r="W1784">
            <v>0</v>
          </cell>
          <cell r="AB1784" t="str">
            <v>line item not tagged</v>
          </cell>
        </row>
        <row r="1785">
          <cell r="W1785">
            <v>0</v>
          </cell>
          <cell r="AB1785" t="str">
            <v>line item not tagged</v>
          </cell>
        </row>
        <row r="1786">
          <cell r="W1786">
            <v>0</v>
          </cell>
          <cell r="AB1786" t="str">
            <v>line item not tagged</v>
          </cell>
        </row>
        <row r="1787">
          <cell r="W1787">
            <v>0</v>
          </cell>
          <cell r="AB1787" t="str">
            <v>line item not tagged</v>
          </cell>
        </row>
        <row r="1788">
          <cell r="W1788">
            <v>0</v>
          </cell>
          <cell r="AB1788" t="str">
            <v>line item not tagged</v>
          </cell>
        </row>
        <row r="1789">
          <cell r="W1789">
            <v>0</v>
          </cell>
          <cell r="AB1789" t="str">
            <v>line item not tagged</v>
          </cell>
        </row>
        <row r="1790">
          <cell r="W1790">
            <v>0</v>
          </cell>
          <cell r="AB1790" t="str">
            <v>line item not tagged</v>
          </cell>
        </row>
        <row r="1791">
          <cell r="W1791">
            <v>0</v>
          </cell>
          <cell r="AB1791" t="str">
            <v>line item not tagged</v>
          </cell>
        </row>
        <row r="1792">
          <cell r="W1792">
            <v>0</v>
          </cell>
          <cell r="AB1792" t="str">
            <v>line item not tagged</v>
          </cell>
        </row>
        <row r="1793">
          <cell r="W1793">
            <v>0</v>
          </cell>
          <cell r="AB1793" t="str">
            <v>line item not tagged</v>
          </cell>
        </row>
        <row r="1794">
          <cell r="W1794">
            <v>0</v>
          </cell>
          <cell r="AB1794" t="str">
            <v>line item not tagged</v>
          </cell>
        </row>
        <row r="1795">
          <cell r="W1795">
            <v>0</v>
          </cell>
          <cell r="AB1795" t="str">
            <v>line item not tagged</v>
          </cell>
        </row>
        <row r="1796">
          <cell r="W1796">
            <v>0</v>
          </cell>
          <cell r="AB1796" t="str">
            <v>line item not tagged</v>
          </cell>
        </row>
        <row r="1797">
          <cell r="W1797">
            <v>0</v>
          </cell>
          <cell r="AB1797" t="str">
            <v>line item not tagged</v>
          </cell>
        </row>
        <row r="1798">
          <cell r="W1798">
            <v>0</v>
          </cell>
          <cell r="AB1798" t="str">
            <v>line item not tagged</v>
          </cell>
        </row>
        <row r="1799">
          <cell r="W1799">
            <v>0</v>
          </cell>
          <cell r="AB1799" t="str">
            <v>line item not tagged</v>
          </cell>
        </row>
        <row r="1800">
          <cell r="W1800">
            <v>0</v>
          </cell>
          <cell r="AB1800" t="str">
            <v>line item not tagged</v>
          </cell>
        </row>
        <row r="1801">
          <cell r="W1801">
            <v>0</v>
          </cell>
          <cell r="AB1801" t="str">
            <v>line item not tagged</v>
          </cell>
        </row>
        <row r="1802">
          <cell r="W1802">
            <v>0</v>
          </cell>
          <cell r="AB1802" t="str">
            <v>line item not tagged</v>
          </cell>
        </row>
        <row r="1803">
          <cell r="W1803">
            <v>0</v>
          </cell>
          <cell r="AB1803" t="str">
            <v>line item not tagged</v>
          </cell>
        </row>
        <row r="1804">
          <cell r="W1804">
            <v>0</v>
          </cell>
          <cell r="AB1804" t="str">
            <v>line item not tagged</v>
          </cell>
        </row>
        <row r="1805">
          <cell r="W1805">
            <v>0</v>
          </cell>
          <cell r="AB1805" t="str">
            <v>line item not tagged</v>
          </cell>
        </row>
        <row r="1806">
          <cell r="W1806">
            <v>0</v>
          </cell>
          <cell r="AB1806" t="str">
            <v>line item not tagged</v>
          </cell>
        </row>
        <row r="1807">
          <cell r="W1807">
            <v>0</v>
          </cell>
          <cell r="AB1807" t="str">
            <v>line item not tagged</v>
          </cell>
        </row>
        <row r="1808">
          <cell r="W1808">
            <v>0</v>
          </cell>
          <cell r="AB1808" t="str">
            <v>line item not tagged</v>
          </cell>
        </row>
        <row r="1809">
          <cell r="W1809">
            <v>0</v>
          </cell>
          <cell r="AB1809" t="str">
            <v>line item not tagged</v>
          </cell>
        </row>
        <row r="1810">
          <cell r="W1810">
            <v>0</v>
          </cell>
          <cell r="AB1810" t="str">
            <v>line item not tagged</v>
          </cell>
        </row>
        <row r="1811">
          <cell r="W1811">
            <v>0</v>
          </cell>
          <cell r="AB1811" t="str">
            <v>line item not tagged</v>
          </cell>
        </row>
        <row r="1812">
          <cell r="W1812">
            <v>0</v>
          </cell>
          <cell r="AB1812" t="str">
            <v>line item not tagged</v>
          </cell>
        </row>
        <row r="1813">
          <cell r="W1813">
            <v>0</v>
          </cell>
          <cell r="AB1813" t="str">
            <v>line item not tagged</v>
          </cell>
        </row>
        <row r="1814">
          <cell r="W1814">
            <v>0</v>
          </cell>
          <cell r="AB1814" t="str">
            <v>line item not tagged</v>
          </cell>
        </row>
        <row r="1815">
          <cell r="W1815">
            <v>0</v>
          </cell>
          <cell r="AB1815" t="str">
            <v>line item not tagged</v>
          </cell>
        </row>
        <row r="1816">
          <cell r="W1816">
            <v>0</v>
          </cell>
          <cell r="AB1816" t="str">
            <v>line item not tagged</v>
          </cell>
        </row>
        <row r="1817">
          <cell r="W1817">
            <v>0</v>
          </cell>
          <cell r="AB1817" t="str">
            <v>line item not tagged</v>
          </cell>
        </row>
        <row r="1818">
          <cell r="W1818">
            <v>0</v>
          </cell>
          <cell r="AB1818" t="str">
            <v>line item not tagged</v>
          </cell>
        </row>
        <row r="1819">
          <cell r="W1819">
            <v>0</v>
          </cell>
          <cell r="AB1819" t="str">
            <v>line item not tagged</v>
          </cell>
        </row>
        <row r="1820">
          <cell r="W1820">
            <v>0</v>
          </cell>
          <cell r="AB1820" t="str">
            <v>line item not tagged</v>
          </cell>
        </row>
        <row r="1821">
          <cell r="W1821">
            <v>0</v>
          </cell>
          <cell r="AB1821" t="str">
            <v>line item not tagged</v>
          </cell>
        </row>
        <row r="1822">
          <cell r="W1822">
            <v>0</v>
          </cell>
          <cell r="AB1822" t="str">
            <v>line item not tagged</v>
          </cell>
        </row>
        <row r="1823">
          <cell r="W1823">
            <v>0</v>
          </cell>
          <cell r="AB1823" t="str">
            <v>line item not tagged</v>
          </cell>
        </row>
        <row r="1824">
          <cell r="W1824">
            <v>0</v>
          </cell>
          <cell r="AB1824" t="str">
            <v>line item not tagged</v>
          </cell>
        </row>
        <row r="1825">
          <cell r="W1825">
            <v>0</v>
          </cell>
          <cell r="AB1825" t="str">
            <v>line item not tagged</v>
          </cell>
        </row>
        <row r="1826">
          <cell r="W1826">
            <v>0</v>
          </cell>
          <cell r="AB1826" t="str">
            <v>line item not tagged</v>
          </cell>
        </row>
        <row r="1827">
          <cell r="W1827">
            <v>0</v>
          </cell>
          <cell r="AB1827" t="str">
            <v>line item not tagged</v>
          </cell>
        </row>
        <row r="1828">
          <cell r="W1828">
            <v>0</v>
          </cell>
          <cell r="AB1828" t="str">
            <v>line item not tagged</v>
          </cell>
        </row>
        <row r="1829">
          <cell r="W1829">
            <v>0</v>
          </cell>
          <cell r="AB1829" t="str">
            <v>line item not tagged</v>
          </cell>
        </row>
        <row r="1830">
          <cell r="W1830">
            <v>0</v>
          </cell>
          <cell r="AB1830" t="str">
            <v>line item not tagged</v>
          </cell>
        </row>
        <row r="1831">
          <cell r="W1831">
            <v>0</v>
          </cell>
          <cell r="AB1831" t="str">
            <v>line item not tagged</v>
          </cell>
        </row>
        <row r="1832">
          <cell r="W1832">
            <v>0</v>
          </cell>
          <cell r="AB1832" t="str">
            <v>line item not tagged</v>
          </cell>
        </row>
        <row r="1833">
          <cell r="W1833">
            <v>0</v>
          </cell>
          <cell r="AB1833" t="str">
            <v>line item not tagged</v>
          </cell>
        </row>
        <row r="1834">
          <cell r="W1834">
            <v>0</v>
          </cell>
          <cell r="AB1834" t="str">
            <v>line item not tagged</v>
          </cell>
        </row>
        <row r="1835">
          <cell r="W1835">
            <v>0</v>
          </cell>
          <cell r="AB1835" t="str">
            <v>line item not tagged</v>
          </cell>
        </row>
        <row r="1836">
          <cell r="W1836">
            <v>0</v>
          </cell>
          <cell r="AB1836" t="str">
            <v>line item not tagged</v>
          </cell>
        </row>
        <row r="1837">
          <cell r="W1837">
            <v>0</v>
          </cell>
          <cell r="AB1837" t="str">
            <v>line item not tagged</v>
          </cell>
        </row>
        <row r="1838">
          <cell r="W1838">
            <v>0</v>
          </cell>
          <cell r="AB1838" t="str">
            <v>line item not tagged</v>
          </cell>
        </row>
        <row r="1839">
          <cell r="W1839">
            <v>0</v>
          </cell>
          <cell r="AB1839" t="str">
            <v>line item not tagged</v>
          </cell>
        </row>
        <row r="1840">
          <cell r="W1840">
            <v>0</v>
          </cell>
          <cell r="AB1840" t="str">
            <v>line item not tagged</v>
          </cell>
        </row>
        <row r="1841">
          <cell r="W1841">
            <v>0</v>
          </cell>
          <cell r="AB1841" t="str">
            <v>line item not tagged</v>
          </cell>
        </row>
        <row r="1842">
          <cell r="W1842">
            <v>0</v>
          </cell>
          <cell r="AB1842" t="str">
            <v>line item not tagged</v>
          </cell>
        </row>
        <row r="1843">
          <cell r="W1843">
            <v>0</v>
          </cell>
          <cell r="AB1843" t="str">
            <v>line item not tagged</v>
          </cell>
        </row>
        <row r="1844">
          <cell r="W1844">
            <v>0</v>
          </cell>
          <cell r="AB1844" t="str">
            <v>line item not tagged</v>
          </cell>
        </row>
        <row r="1845">
          <cell r="W1845">
            <v>0</v>
          </cell>
          <cell r="AB1845" t="str">
            <v>line item not tagged</v>
          </cell>
        </row>
        <row r="1846">
          <cell r="W1846">
            <v>0</v>
          </cell>
          <cell r="AB1846" t="str">
            <v>line item not tagged</v>
          </cell>
        </row>
        <row r="1847">
          <cell r="W1847">
            <v>0</v>
          </cell>
          <cell r="AB1847" t="str">
            <v>line item not tagged</v>
          </cell>
        </row>
        <row r="1848">
          <cell r="W1848">
            <v>0</v>
          </cell>
          <cell r="AB1848" t="str">
            <v>line item not tagged</v>
          </cell>
        </row>
        <row r="1849">
          <cell r="W1849">
            <v>0</v>
          </cell>
          <cell r="AB1849" t="str">
            <v>line item not tagged</v>
          </cell>
        </row>
        <row r="1850">
          <cell r="W1850">
            <v>0</v>
          </cell>
          <cell r="AB1850" t="str">
            <v>line item not tagged</v>
          </cell>
        </row>
        <row r="1851">
          <cell r="W1851">
            <v>0</v>
          </cell>
          <cell r="AB1851" t="str">
            <v>line item not tagged</v>
          </cell>
        </row>
        <row r="1852">
          <cell r="W1852">
            <v>0</v>
          </cell>
          <cell r="AB1852" t="str">
            <v>line item not tagged</v>
          </cell>
        </row>
        <row r="1853">
          <cell r="W1853">
            <v>0</v>
          </cell>
          <cell r="AB1853" t="str">
            <v>line item not tagged</v>
          </cell>
        </row>
        <row r="1854">
          <cell r="W1854">
            <v>0</v>
          </cell>
          <cell r="AB1854" t="str">
            <v>line item not tagged</v>
          </cell>
        </row>
        <row r="1855">
          <cell r="W1855">
            <v>0</v>
          </cell>
          <cell r="AB1855" t="str">
            <v>line item not tagged</v>
          </cell>
        </row>
        <row r="1856">
          <cell r="W1856">
            <v>0</v>
          </cell>
          <cell r="AB1856" t="str">
            <v>line item not tagged</v>
          </cell>
        </row>
        <row r="1857">
          <cell r="W1857">
            <v>0</v>
          </cell>
          <cell r="AB1857" t="str">
            <v>line item not tagged</v>
          </cell>
        </row>
        <row r="1858">
          <cell r="W1858">
            <v>0</v>
          </cell>
          <cell r="AB1858" t="str">
            <v>line item not tagged</v>
          </cell>
        </row>
        <row r="1859">
          <cell r="W1859">
            <v>0</v>
          </cell>
          <cell r="AB1859" t="str">
            <v>line item not tagged</v>
          </cell>
        </row>
        <row r="1860">
          <cell r="W1860">
            <v>0</v>
          </cell>
          <cell r="AB1860" t="str">
            <v>line item not tagged</v>
          </cell>
        </row>
        <row r="1861">
          <cell r="W1861">
            <v>0</v>
          </cell>
          <cell r="AB1861" t="str">
            <v>line item not tagged</v>
          </cell>
        </row>
        <row r="1862">
          <cell r="W1862">
            <v>0</v>
          </cell>
          <cell r="AB1862" t="str">
            <v>line item not tagged</v>
          </cell>
        </row>
        <row r="1863">
          <cell r="W1863">
            <v>0</v>
          </cell>
          <cell r="AB1863" t="str">
            <v>line item not tagged</v>
          </cell>
        </row>
        <row r="1864">
          <cell r="W1864">
            <v>0</v>
          </cell>
          <cell r="AB1864" t="str">
            <v>line item not tagged</v>
          </cell>
        </row>
        <row r="1865">
          <cell r="W1865">
            <v>0</v>
          </cell>
          <cell r="AB1865" t="str">
            <v>line item not tagged</v>
          </cell>
        </row>
        <row r="1866">
          <cell r="W1866">
            <v>0</v>
          </cell>
          <cell r="AB1866" t="str">
            <v>line item not tagged</v>
          </cell>
        </row>
        <row r="1867">
          <cell r="W1867">
            <v>0</v>
          </cell>
          <cell r="AB1867" t="str">
            <v>line item not tagged</v>
          </cell>
        </row>
        <row r="1868">
          <cell r="W1868">
            <v>0</v>
          </cell>
          <cell r="AB1868" t="str">
            <v>line item not tagged</v>
          </cell>
        </row>
        <row r="1869">
          <cell r="W1869">
            <v>0</v>
          </cell>
          <cell r="AB1869" t="str">
            <v>line item not tagged</v>
          </cell>
        </row>
        <row r="1870">
          <cell r="W1870">
            <v>0</v>
          </cell>
          <cell r="AB1870" t="str">
            <v>line item not tagged</v>
          </cell>
        </row>
        <row r="1871">
          <cell r="W1871">
            <v>0</v>
          </cell>
          <cell r="AB1871" t="str">
            <v>line item not tagged</v>
          </cell>
        </row>
        <row r="1872">
          <cell r="W1872">
            <v>0</v>
          </cell>
          <cell r="AB1872" t="str">
            <v>line item not tagged</v>
          </cell>
        </row>
        <row r="1873">
          <cell r="W1873">
            <v>0</v>
          </cell>
          <cell r="AB1873" t="str">
            <v>line item not tagged</v>
          </cell>
        </row>
        <row r="1874">
          <cell r="W1874">
            <v>0</v>
          </cell>
          <cell r="AB1874" t="str">
            <v>line item not tagged</v>
          </cell>
        </row>
        <row r="1875">
          <cell r="W1875">
            <v>0</v>
          </cell>
          <cell r="AB1875" t="str">
            <v>line item not tagged</v>
          </cell>
        </row>
        <row r="1876">
          <cell r="W1876">
            <v>0</v>
          </cell>
          <cell r="AB1876" t="str">
            <v>line item not tagged</v>
          </cell>
        </row>
        <row r="1877">
          <cell r="W1877">
            <v>0</v>
          </cell>
          <cell r="AB1877" t="str">
            <v>line item not tagged</v>
          </cell>
        </row>
        <row r="1878">
          <cell r="W1878">
            <v>0</v>
          </cell>
          <cell r="AB1878" t="str">
            <v>line item not tagged</v>
          </cell>
        </row>
        <row r="1879">
          <cell r="W1879">
            <v>0</v>
          </cell>
          <cell r="AB1879" t="str">
            <v>line item not tagged</v>
          </cell>
        </row>
        <row r="1880">
          <cell r="W1880">
            <v>0</v>
          </cell>
          <cell r="AB1880" t="str">
            <v>line item not tagged</v>
          </cell>
        </row>
        <row r="1881">
          <cell r="W1881">
            <v>0</v>
          </cell>
          <cell r="AB1881" t="str">
            <v>line item not tagged</v>
          </cell>
        </row>
        <row r="1882">
          <cell r="W1882">
            <v>0</v>
          </cell>
          <cell r="AB1882" t="str">
            <v>line item not tagged</v>
          </cell>
        </row>
        <row r="1883">
          <cell r="W1883">
            <v>0</v>
          </cell>
          <cell r="AB1883" t="str">
            <v>line item not tagged</v>
          </cell>
        </row>
        <row r="1884">
          <cell r="W1884">
            <v>0</v>
          </cell>
          <cell r="AB1884" t="str">
            <v>line item not tagged</v>
          </cell>
        </row>
        <row r="1885">
          <cell r="W1885">
            <v>0</v>
          </cell>
          <cell r="AB1885" t="str">
            <v>line item not tagged</v>
          </cell>
        </row>
        <row r="1886">
          <cell r="W1886">
            <v>0</v>
          </cell>
          <cell r="AB1886" t="str">
            <v>line item not tagged</v>
          </cell>
        </row>
        <row r="1887">
          <cell r="W1887">
            <v>0</v>
          </cell>
          <cell r="AB1887" t="str">
            <v>line item not tagged</v>
          </cell>
        </row>
        <row r="1888">
          <cell r="W1888">
            <v>0</v>
          </cell>
          <cell r="AB1888" t="str">
            <v>line item not tagged</v>
          </cell>
        </row>
        <row r="1889">
          <cell r="W1889">
            <v>0</v>
          </cell>
          <cell r="AB1889" t="str">
            <v>line item not tagged</v>
          </cell>
        </row>
        <row r="1890">
          <cell r="W1890">
            <v>0</v>
          </cell>
          <cell r="AB1890" t="str">
            <v>line item not tagged</v>
          </cell>
        </row>
        <row r="1891">
          <cell r="W1891">
            <v>0</v>
          </cell>
          <cell r="AB1891" t="str">
            <v>line item not tagged</v>
          </cell>
        </row>
        <row r="1892">
          <cell r="W1892">
            <v>0</v>
          </cell>
          <cell r="AB1892" t="str">
            <v>line item not tagged</v>
          </cell>
        </row>
        <row r="1893">
          <cell r="W1893">
            <v>0</v>
          </cell>
          <cell r="AB1893" t="str">
            <v>line item not tagged</v>
          </cell>
        </row>
        <row r="1894">
          <cell r="W1894">
            <v>0</v>
          </cell>
          <cell r="AB1894" t="str">
            <v>line item not tagged</v>
          </cell>
        </row>
        <row r="1895">
          <cell r="W1895">
            <v>0</v>
          </cell>
          <cell r="AB1895" t="str">
            <v>line item not tagged</v>
          </cell>
        </row>
        <row r="1896">
          <cell r="W1896">
            <v>0</v>
          </cell>
          <cell r="AB1896" t="str">
            <v>line item not tagged</v>
          </cell>
        </row>
        <row r="1897">
          <cell r="W1897">
            <v>0</v>
          </cell>
          <cell r="AB1897" t="str">
            <v>line item not tagged</v>
          </cell>
        </row>
        <row r="1898">
          <cell r="W1898">
            <v>0</v>
          </cell>
          <cell r="AB1898" t="str">
            <v>line item not tagged</v>
          </cell>
        </row>
        <row r="1899">
          <cell r="W1899">
            <v>0</v>
          </cell>
          <cell r="AB1899" t="str">
            <v>line item not tagged</v>
          </cell>
        </row>
        <row r="1900">
          <cell r="W1900">
            <v>0</v>
          </cell>
          <cell r="AB1900" t="str">
            <v>line item not tagged</v>
          </cell>
        </row>
        <row r="1901">
          <cell r="W1901">
            <v>0</v>
          </cell>
          <cell r="AB1901" t="str">
            <v>line item not tagged</v>
          </cell>
        </row>
        <row r="1902">
          <cell r="W1902">
            <v>0</v>
          </cell>
          <cell r="AB1902" t="str">
            <v>line item not tagged</v>
          </cell>
        </row>
        <row r="1903">
          <cell r="W1903">
            <v>0</v>
          </cell>
          <cell r="AB1903" t="str">
            <v>line item not tagged</v>
          </cell>
        </row>
        <row r="1904">
          <cell r="W1904">
            <v>0</v>
          </cell>
          <cell r="AB1904" t="str">
            <v>line item not tagged</v>
          </cell>
        </row>
        <row r="1905">
          <cell r="W1905">
            <v>0</v>
          </cell>
          <cell r="AB1905" t="str">
            <v>line item not tagged</v>
          </cell>
        </row>
        <row r="1906">
          <cell r="W1906">
            <v>0</v>
          </cell>
          <cell r="AB1906" t="str">
            <v>line item not tagged</v>
          </cell>
        </row>
        <row r="1907">
          <cell r="W1907">
            <v>0</v>
          </cell>
          <cell r="AB1907" t="str">
            <v>line item not tagged</v>
          </cell>
        </row>
        <row r="1908">
          <cell r="W1908">
            <v>0</v>
          </cell>
          <cell r="AB1908" t="str">
            <v>line item not tagged</v>
          </cell>
        </row>
        <row r="1909">
          <cell r="W1909">
            <v>0</v>
          </cell>
          <cell r="AB1909" t="str">
            <v>line item not tagged</v>
          </cell>
        </row>
        <row r="1910">
          <cell r="W1910">
            <v>0</v>
          </cell>
          <cell r="AB1910" t="str">
            <v>line item not tagged</v>
          </cell>
        </row>
        <row r="1911">
          <cell r="W1911">
            <v>0</v>
          </cell>
          <cell r="AB1911" t="str">
            <v>line item not tagged</v>
          </cell>
        </row>
        <row r="1912">
          <cell r="W1912">
            <v>0</v>
          </cell>
          <cell r="AB1912" t="str">
            <v>line item not tagged</v>
          </cell>
        </row>
        <row r="1913">
          <cell r="W1913">
            <v>0</v>
          </cell>
          <cell r="AB1913" t="str">
            <v>line item not tagged</v>
          </cell>
        </row>
        <row r="1914">
          <cell r="W1914">
            <v>0</v>
          </cell>
          <cell r="AB1914" t="str">
            <v>line item not tagged</v>
          </cell>
        </row>
        <row r="1915">
          <cell r="W1915">
            <v>0</v>
          </cell>
          <cell r="AB1915" t="str">
            <v>line item not tagged</v>
          </cell>
        </row>
        <row r="1916">
          <cell r="W1916">
            <v>0</v>
          </cell>
          <cell r="AB1916" t="str">
            <v>line item not tagged</v>
          </cell>
        </row>
        <row r="1917">
          <cell r="W1917">
            <v>0</v>
          </cell>
          <cell r="AB1917" t="str">
            <v>line item not tagged</v>
          </cell>
        </row>
        <row r="1918">
          <cell r="W1918">
            <v>0</v>
          </cell>
          <cell r="AB1918" t="str">
            <v>line item not tagged</v>
          </cell>
        </row>
        <row r="1919">
          <cell r="W1919">
            <v>0</v>
          </cell>
          <cell r="AB1919" t="str">
            <v>line item not tagged</v>
          </cell>
        </row>
        <row r="1920">
          <cell r="W1920">
            <v>0</v>
          </cell>
          <cell r="AB1920" t="str">
            <v>line item not tagged</v>
          </cell>
        </row>
        <row r="1921">
          <cell r="W1921">
            <v>0</v>
          </cell>
          <cell r="AB1921" t="str">
            <v>line item not tagged</v>
          </cell>
        </row>
        <row r="1922">
          <cell r="W1922">
            <v>0</v>
          </cell>
          <cell r="AB1922" t="str">
            <v>line item not tagged</v>
          </cell>
        </row>
        <row r="1923">
          <cell r="W1923">
            <v>0</v>
          </cell>
          <cell r="AB1923" t="str">
            <v>line item not tagged</v>
          </cell>
        </row>
        <row r="1924">
          <cell r="W1924">
            <v>0</v>
          </cell>
          <cell r="AB1924" t="str">
            <v>line item not tagged</v>
          </cell>
        </row>
        <row r="1925">
          <cell r="W1925">
            <v>0</v>
          </cell>
          <cell r="AB1925" t="str">
            <v>line item not tagged</v>
          </cell>
        </row>
        <row r="1926">
          <cell r="W1926">
            <v>0</v>
          </cell>
          <cell r="AB1926" t="str">
            <v>line item not tagged</v>
          </cell>
        </row>
        <row r="1927">
          <cell r="W1927">
            <v>0</v>
          </cell>
          <cell r="AB1927" t="str">
            <v>line item not tagged</v>
          </cell>
        </row>
        <row r="1928">
          <cell r="W1928">
            <v>0</v>
          </cell>
          <cell r="AB1928" t="str">
            <v>line item not tagged</v>
          </cell>
        </row>
        <row r="1929">
          <cell r="W1929">
            <v>0</v>
          </cell>
          <cell r="AB1929" t="str">
            <v>line item not tagged</v>
          </cell>
        </row>
        <row r="1930">
          <cell r="W1930">
            <v>0</v>
          </cell>
          <cell r="AB1930" t="str">
            <v>line item not tagged</v>
          </cell>
        </row>
        <row r="1931">
          <cell r="W1931">
            <v>0</v>
          </cell>
          <cell r="AB1931" t="str">
            <v>line item not tagged</v>
          </cell>
        </row>
        <row r="1932">
          <cell r="W1932">
            <v>0</v>
          </cell>
          <cell r="AB1932" t="str">
            <v>line item not tagged</v>
          </cell>
        </row>
        <row r="1933">
          <cell r="W1933">
            <v>0</v>
          </cell>
          <cell r="AB1933" t="str">
            <v>line item not tagged</v>
          </cell>
        </row>
        <row r="1934">
          <cell r="W1934">
            <v>0</v>
          </cell>
          <cell r="AB1934" t="str">
            <v>line item not tagged</v>
          </cell>
        </row>
        <row r="1935">
          <cell r="W1935">
            <v>0</v>
          </cell>
          <cell r="AB1935" t="str">
            <v>line item not tagged</v>
          </cell>
        </row>
        <row r="1936">
          <cell r="W1936">
            <v>0</v>
          </cell>
          <cell r="AB1936" t="str">
            <v>line item not tagged</v>
          </cell>
        </row>
        <row r="1937">
          <cell r="W1937">
            <v>0</v>
          </cell>
          <cell r="AB1937" t="str">
            <v>line item not tagged</v>
          </cell>
        </row>
        <row r="1938">
          <cell r="W1938">
            <v>0</v>
          </cell>
          <cell r="AB1938" t="str">
            <v>line item not tagged</v>
          </cell>
        </row>
        <row r="1939">
          <cell r="W1939">
            <v>0</v>
          </cell>
          <cell r="AB1939" t="str">
            <v>line item not tagged</v>
          </cell>
        </row>
        <row r="1940">
          <cell r="W1940">
            <v>0</v>
          </cell>
          <cell r="AB1940" t="str">
            <v>line item not tagged</v>
          </cell>
        </row>
        <row r="1941">
          <cell r="W1941">
            <v>0</v>
          </cell>
          <cell r="AB1941" t="str">
            <v>line item not tagged</v>
          </cell>
        </row>
        <row r="1942">
          <cell r="W1942">
            <v>0</v>
          </cell>
          <cell r="AB1942" t="str">
            <v>line item not tagged</v>
          </cell>
        </row>
        <row r="1943">
          <cell r="W1943">
            <v>0</v>
          </cell>
          <cell r="AB1943" t="str">
            <v>line item not tagged</v>
          </cell>
        </row>
        <row r="1944">
          <cell r="W1944">
            <v>0</v>
          </cell>
          <cell r="AB1944" t="str">
            <v>line item not tagged</v>
          </cell>
        </row>
        <row r="1945">
          <cell r="W1945">
            <v>0</v>
          </cell>
          <cell r="AB1945" t="str">
            <v>line item not tagged</v>
          </cell>
        </row>
        <row r="1946">
          <cell r="W1946">
            <v>0</v>
          </cell>
          <cell r="AB1946" t="str">
            <v>line item not tagged</v>
          </cell>
        </row>
        <row r="1947">
          <cell r="W1947">
            <v>0</v>
          </cell>
          <cell r="AB1947" t="str">
            <v>line item not tagged</v>
          </cell>
        </row>
        <row r="1948">
          <cell r="W1948">
            <v>0</v>
          </cell>
          <cell r="AB1948" t="str">
            <v>line item not tagged</v>
          </cell>
        </row>
        <row r="1949">
          <cell r="W1949">
            <v>0</v>
          </cell>
          <cell r="AB1949" t="str">
            <v>line item not tagged</v>
          </cell>
        </row>
        <row r="1950">
          <cell r="W1950">
            <v>0</v>
          </cell>
          <cell r="AB1950" t="str">
            <v>line item not tagged</v>
          </cell>
        </row>
        <row r="1951">
          <cell r="W1951">
            <v>0</v>
          </cell>
          <cell r="AB1951" t="str">
            <v>line item not tagged</v>
          </cell>
        </row>
        <row r="1952">
          <cell r="W1952">
            <v>0</v>
          </cell>
          <cell r="AB1952" t="str">
            <v>line item not tagged</v>
          </cell>
        </row>
        <row r="1953">
          <cell r="W1953">
            <v>0</v>
          </cell>
          <cell r="AB1953" t="str">
            <v>line item not tagged</v>
          </cell>
        </row>
        <row r="1954">
          <cell r="W1954">
            <v>0</v>
          </cell>
          <cell r="AB1954" t="str">
            <v>line item not tagged</v>
          </cell>
        </row>
        <row r="1955">
          <cell r="W1955">
            <v>0</v>
          </cell>
          <cell r="AB1955" t="str">
            <v>line item not tagged</v>
          </cell>
        </row>
        <row r="1956">
          <cell r="W1956">
            <v>0</v>
          </cell>
          <cell r="AB1956" t="str">
            <v>line item not tagged</v>
          </cell>
        </row>
        <row r="1957">
          <cell r="W1957">
            <v>0</v>
          </cell>
          <cell r="AB1957" t="str">
            <v>line item not tagged</v>
          </cell>
        </row>
        <row r="1958">
          <cell r="W1958">
            <v>0</v>
          </cell>
          <cell r="AB1958" t="str">
            <v>line item not tagged</v>
          </cell>
        </row>
        <row r="1959">
          <cell r="W1959">
            <v>0</v>
          </cell>
          <cell r="AB1959" t="str">
            <v>line item not tagged</v>
          </cell>
        </row>
        <row r="1960">
          <cell r="W1960">
            <v>0</v>
          </cell>
          <cell r="AB1960" t="str">
            <v>line item not tagged</v>
          </cell>
        </row>
        <row r="1961">
          <cell r="W1961">
            <v>0</v>
          </cell>
          <cell r="AB1961" t="str">
            <v>line item not tagged</v>
          </cell>
        </row>
        <row r="1962">
          <cell r="W1962">
            <v>0</v>
          </cell>
          <cell r="AB1962" t="str">
            <v>line item not tagged</v>
          </cell>
        </row>
        <row r="1963">
          <cell r="W1963">
            <v>0</v>
          </cell>
          <cell r="AB1963" t="str">
            <v>line item not tagged</v>
          </cell>
        </row>
        <row r="1964">
          <cell r="W1964">
            <v>0</v>
          </cell>
          <cell r="AB1964" t="str">
            <v>line item not tagged</v>
          </cell>
        </row>
        <row r="1965">
          <cell r="W1965">
            <v>0</v>
          </cell>
          <cell r="AB1965" t="str">
            <v>line item not tagged</v>
          </cell>
        </row>
        <row r="1966">
          <cell r="W1966">
            <v>0</v>
          </cell>
          <cell r="AB1966" t="str">
            <v>line item not tagged</v>
          </cell>
        </row>
        <row r="1967">
          <cell r="W1967">
            <v>0</v>
          </cell>
          <cell r="AB1967" t="str">
            <v>line item not tagged</v>
          </cell>
        </row>
        <row r="1968">
          <cell r="W1968">
            <v>0</v>
          </cell>
          <cell r="AB1968" t="str">
            <v>line item not tagged</v>
          </cell>
        </row>
        <row r="1969">
          <cell r="W1969">
            <v>0</v>
          </cell>
          <cell r="AB1969" t="str">
            <v>line item not tagged</v>
          </cell>
        </row>
        <row r="1970">
          <cell r="W1970">
            <v>0</v>
          </cell>
          <cell r="AB1970" t="str">
            <v>line item not tagged</v>
          </cell>
        </row>
        <row r="1971">
          <cell r="W1971">
            <v>0</v>
          </cell>
          <cell r="AB1971" t="str">
            <v>line item not tagged</v>
          </cell>
        </row>
        <row r="1972">
          <cell r="W1972">
            <v>0</v>
          </cell>
          <cell r="AB1972" t="str">
            <v>line item not tagged</v>
          </cell>
        </row>
        <row r="1973">
          <cell r="W1973">
            <v>0</v>
          </cell>
          <cell r="AB1973" t="str">
            <v>line item not tagged</v>
          </cell>
        </row>
        <row r="1974">
          <cell r="W1974">
            <v>0</v>
          </cell>
          <cell r="AB1974" t="str">
            <v>line item not tagged</v>
          </cell>
        </row>
        <row r="1975">
          <cell r="W1975">
            <v>0</v>
          </cell>
          <cell r="AB1975" t="str">
            <v>line item not tagged</v>
          </cell>
        </row>
        <row r="1976">
          <cell r="W1976">
            <v>0</v>
          </cell>
          <cell r="AB1976" t="str">
            <v>line item not tagged</v>
          </cell>
        </row>
        <row r="1977">
          <cell r="W1977">
            <v>0</v>
          </cell>
          <cell r="AB1977" t="str">
            <v>line item not tagged</v>
          </cell>
        </row>
        <row r="1978">
          <cell r="W1978">
            <v>0</v>
          </cell>
          <cell r="AB1978" t="str">
            <v>line item not tagged</v>
          </cell>
        </row>
        <row r="1979">
          <cell r="W1979">
            <v>0</v>
          </cell>
          <cell r="AB1979" t="str">
            <v>line item not tagged</v>
          </cell>
        </row>
        <row r="1980">
          <cell r="W1980">
            <v>0</v>
          </cell>
          <cell r="AB1980" t="str">
            <v>line item not tagged</v>
          </cell>
        </row>
        <row r="1981">
          <cell r="W1981">
            <v>0</v>
          </cell>
          <cell r="AB1981" t="str">
            <v>line item not tagged</v>
          </cell>
        </row>
        <row r="1982">
          <cell r="W1982">
            <v>0</v>
          </cell>
          <cell r="AB1982" t="str">
            <v>line item not tagged</v>
          </cell>
        </row>
        <row r="1983">
          <cell r="W1983">
            <v>0</v>
          </cell>
          <cell r="AB1983" t="str">
            <v>line item not tagged</v>
          </cell>
        </row>
        <row r="1984">
          <cell r="W1984">
            <v>0</v>
          </cell>
          <cell r="AB1984" t="str">
            <v>line item not tagged</v>
          </cell>
        </row>
        <row r="1985">
          <cell r="W1985">
            <v>0</v>
          </cell>
          <cell r="AB1985" t="str">
            <v>line item not tagged</v>
          </cell>
        </row>
        <row r="1986">
          <cell r="W1986">
            <v>0</v>
          </cell>
          <cell r="AB1986" t="str">
            <v>line item not tagged</v>
          </cell>
        </row>
        <row r="1987">
          <cell r="W1987">
            <v>0</v>
          </cell>
          <cell r="AB1987" t="str">
            <v>line item not tagged</v>
          </cell>
        </row>
        <row r="1988">
          <cell r="W1988">
            <v>0</v>
          </cell>
          <cell r="AB1988" t="str">
            <v>line item not tagged</v>
          </cell>
        </row>
        <row r="1989">
          <cell r="W1989">
            <v>0</v>
          </cell>
          <cell r="AB1989" t="str">
            <v>line item not tagged</v>
          </cell>
        </row>
        <row r="1990">
          <cell r="W1990">
            <v>0</v>
          </cell>
          <cell r="AB1990" t="str">
            <v>line item not tagged</v>
          </cell>
        </row>
        <row r="1991">
          <cell r="W1991">
            <v>0</v>
          </cell>
          <cell r="AB1991" t="str">
            <v>line item not tagged</v>
          </cell>
        </row>
        <row r="1992">
          <cell r="W1992">
            <v>0</v>
          </cell>
          <cell r="AB1992" t="str">
            <v>line item not tagged</v>
          </cell>
        </row>
        <row r="1993">
          <cell r="W1993">
            <v>0</v>
          </cell>
          <cell r="AB1993" t="str">
            <v>line item not tagged</v>
          </cell>
        </row>
        <row r="1994">
          <cell r="W1994">
            <v>0</v>
          </cell>
          <cell r="AB1994" t="str">
            <v>line item not tagged</v>
          </cell>
        </row>
        <row r="1995">
          <cell r="W1995">
            <v>0</v>
          </cell>
          <cell r="AB1995" t="str">
            <v>line item not tagged</v>
          </cell>
        </row>
        <row r="1996">
          <cell r="W1996">
            <v>0</v>
          </cell>
          <cell r="AB1996" t="str">
            <v>line item not tagged</v>
          </cell>
        </row>
        <row r="1997">
          <cell r="W1997">
            <v>0</v>
          </cell>
          <cell r="AB1997" t="str">
            <v>line item not tagged</v>
          </cell>
        </row>
        <row r="1998">
          <cell r="W1998">
            <v>0</v>
          </cell>
          <cell r="AB1998" t="str">
            <v>line item not tagged</v>
          </cell>
        </row>
        <row r="1999">
          <cell r="W1999">
            <v>0</v>
          </cell>
          <cell r="AB1999" t="str">
            <v>line item not tagged</v>
          </cell>
        </row>
        <row r="2000">
          <cell r="W2000">
            <v>0</v>
          </cell>
          <cell r="AB2000" t="str">
            <v>line item not tagged</v>
          </cell>
        </row>
        <row r="2001">
          <cell r="W2001">
            <v>0</v>
          </cell>
          <cell r="AB2001" t="str">
            <v>line item not tagged</v>
          </cell>
        </row>
        <row r="2002">
          <cell r="W2002">
            <v>0</v>
          </cell>
          <cell r="AB2002" t="str">
            <v>line item not tagged</v>
          </cell>
        </row>
        <row r="2003">
          <cell r="W2003">
            <v>0</v>
          </cell>
          <cell r="AB2003" t="str">
            <v>line item not tagged</v>
          </cell>
        </row>
        <row r="2004">
          <cell r="W2004">
            <v>0</v>
          </cell>
          <cell r="AB2004" t="str">
            <v>line item not tagged</v>
          </cell>
        </row>
        <row r="2005">
          <cell r="W2005">
            <v>0</v>
          </cell>
          <cell r="AB2005" t="str">
            <v>line item not tagged</v>
          </cell>
        </row>
        <row r="2006">
          <cell r="W2006">
            <v>0</v>
          </cell>
          <cell r="AB2006" t="str">
            <v>line item not tagged</v>
          </cell>
        </row>
        <row r="2007">
          <cell r="W2007">
            <v>0</v>
          </cell>
          <cell r="AB2007" t="str">
            <v>line item not tagged</v>
          </cell>
        </row>
        <row r="2008">
          <cell r="W2008">
            <v>0</v>
          </cell>
          <cell r="AB2008" t="str">
            <v>line item not tagged</v>
          </cell>
        </row>
        <row r="2009">
          <cell r="W2009">
            <v>0</v>
          </cell>
          <cell r="AB2009" t="str">
            <v>line item not tagged</v>
          </cell>
        </row>
        <row r="2010">
          <cell r="W2010">
            <v>0</v>
          </cell>
          <cell r="AB2010" t="str">
            <v>line item not tagged</v>
          </cell>
        </row>
        <row r="2011">
          <cell r="W2011">
            <v>0</v>
          </cell>
          <cell r="AB2011" t="str">
            <v>line item not tagged</v>
          </cell>
        </row>
        <row r="2012">
          <cell r="W2012">
            <v>0</v>
          </cell>
          <cell r="AB2012" t="str">
            <v>line item not tagged</v>
          </cell>
        </row>
        <row r="2013">
          <cell r="W2013">
            <v>0</v>
          </cell>
          <cell r="AB2013" t="str">
            <v>line item not tagged</v>
          </cell>
        </row>
        <row r="2014">
          <cell r="W2014">
            <v>0</v>
          </cell>
          <cell r="AB2014" t="str">
            <v>line item not tagged</v>
          </cell>
        </row>
        <row r="2015">
          <cell r="W2015">
            <v>0</v>
          </cell>
          <cell r="AB2015" t="str">
            <v>line item not tagged</v>
          </cell>
        </row>
        <row r="2016">
          <cell r="W2016">
            <v>0</v>
          </cell>
          <cell r="AB2016" t="str">
            <v>line item not tagged</v>
          </cell>
        </row>
        <row r="2017">
          <cell r="W2017">
            <v>0</v>
          </cell>
          <cell r="AB2017" t="str">
            <v>line item not tagged</v>
          </cell>
        </row>
        <row r="2018">
          <cell r="W2018">
            <v>0</v>
          </cell>
          <cell r="AB2018" t="str">
            <v>line item not tagged</v>
          </cell>
        </row>
        <row r="2019">
          <cell r="W2019">
            <v>0</v>
          </cell>
          <cell r="AB2019" t="str">
            <v>line item not tagged</v>
          </cell>
        </row>
        <row r="2020">
          <cell r="W2020">
            <v>0</v>
          </cell>
          <cell r="AB2020" t="str">
            <v>line item not tagged</v>
          </cell>
        </row>
        <row r="2021">
          <cell r="W2021">
            <v>0</v>
          </cell>
          <cell r="AB2021" t="str">
            <v>line item not tagged</v>
          </cell>
        </row>
        <row r="2022">
          <cell r="W2022">
            <v>0</v>
          </cell>
          <cell r="AB2022" t="str">
            <v>line item not tagged</v>
          </cell>
        </row>
        <row r="2023">
          <cell r="W2023">
            <v>0</v>
          </cell>
          <cell r="AB2023" t="str">
            <v>line item not tagged</v>
          </cell>
        </row>
        <row r="2024">
          <cell r="W2024">
            <v>0</v>
          </cell>
          <cell r="AB2024" t="str">
            <v>line item not tagged</v>
          </cell>
        </row>
        <row r="2025">
          <cell r="W2025">
            <v>0</v>
          </cell>
          <cell r="AB2025" t="str">
            <v>line item not tagged</v>
          </cell>
        </row>
        <row r="2026">
          <cell r="W2026">
            <v>0</v>
          </cell>
          <cell r="AB2026" t="str">
            <v>line item not tagged</v>
          </cell>
        </row>
        <row r="2027">
          <cell r="W2027">
            <v>0</v>
          </cell>
          <cell r="AB2027" t="str">
            <v>line item not tagged</v>
          </cell>
        </row>
        <row r="2028">
          <cell r="W2028">
            <v>0</v>
          </cell>
          <cell r="AB2028" t="str">
            <v>line item not tagged</v>
          </cell>
        </row>
        <row r="2029">
          <cell r="W2029">
            <v>0</v>
          </cell>
          <cell r="AB2029" t="str">
            <v>line item not tagged</v>
          </cell>
        </row>
        <row r="2030">
          <cell r="W2030">
            <v>0</v>
          </cell>
          <cell r="AB2030" t="str">
            <v>line item not tagged</v>
          </cell>
        </row>
        <row r="2031">
          <cell r="W2031">
            <v>0</v>
          </cell>
          <cell r="AB2031" t="str">
            <v>line item not tagged</v>
          </cell>
        </row>
        <row r="2032">
          <cell r="W2032">
            <v>0</v>
          </cell>
          <cell r="AB2032" t="str">
            <v>line item not tagged</v>
          </cell>
        </row>
        <row r="2033">
          <cell r="W2033">
            <v>0</v>
          </cell>
          <cell r="AB2033" t="str">
            <v>line item not tagged</v>
          </cell>
        </row>
        <row r="2034">
          <cell r="W2034">
            <v>0</v>
          </cell>
          <cell r="AB2034" t="str">
            <v>line item not tagged</v>
          </cell>
        </row>
        <row r="2035">
          <cell r="W2035">
            <v>0</v>
          </cell>
          <cell r="AB2035" t="str">
            <v>line item not tagged</v>
          </cell>
        </row>
        <row r="2036">
          <cell r="W2036">
            <v>0</v>
          </cell>
          <cell r="AB2036" t="str">
            <v>line item not tagged</v>
          </cell>
        </row>
        <row r="2037">
          <cell r="W2037">
            <v>0</v>
          </cell>
          <cell r="AB2037" t="str">
            <v>line item not tagged</v>
          </cell>
        </row>
        <row r="2038">
          <cell r="W2038">
            <v>0</v>
          </cell>
          <cell r="AB2038" t="str">
            <v>line item not tagged</v>
          </cell>
        </row>
        <row r="2039">
          <cell r="W2039">
            <v>0</v>
          </cell>
          <cell r="AB2039" t="str">
            <v>line item not tagged</v>
          </cell>
        </row>
        <row r="2040">
          <cell r="W2040">
            <v>0</v>
          </cell>
          <cell r="AB2040" t="str">
            <v>line item not tagged</v>
          </cell>
        </row>
        <row r="2041">
          <cell r="W2041">
            <v>0</v>
          </cell>
          <cell r="AB2041" t="str">
            <v>line item not tagged</v>
          </cell>
        </row>
        <row r="2042">
          <cell r="W2042">
            <v>0</v>
          </cell>
          <cell r="AB2042" t="str">
            <v>line item not tagged</v>
          </cell>
        </row>
        <row r="2043">
          <cell r="W2043">
            <v>0</v>
          </cell>
          <cell r="AB2043" t="str">
            <v>line item not tagged</v>
          </cell>
        </row>
        <row r="2044">
          <cell r="W2044">
            <v>0</v>
          </cell>
          <cell r="AB2044" t="str">
            <v>line item not tagged</v>
          </cell>
        </row>
        <row r="2045">
          <cell r="W2045">
            <v>0</v>
          </cell>
          <cell r="AB2045" t="str">
            <v>line item not tagged</v>
          </cell>
        </row>
        <row r="2046">
          <cell r="W2046">
            <v>0</v>
          </cell>
          <cell r="AB2046" t="str">
            <v>line item not tagged</v>
          </cell>
        </row>
        <row r="2047">
          <cell r="W2047">
            <v>0</v>
          </cell>
          <cell r="AB2047" t="str">
            <v>line item not tagged</v>
          </cell>
        </row>
        <row r="2048">
          <cell r="W2048">
            <v>0</v>
          </cell>
          <cell r="AB2048" t="str">
            <v>line item not tagged</v>
          </cell>
        </row>
        <row r="2049">
          <cell r="W2049">
            <v>0</v>
          </cell>
          <cell r="AB2049" t="str">
            <v>line item not tagged</v>
          </cell>
        </row>
        <row r="2050">
          <cell r="W2050">
            <v>0</v>
          </cell>
          <cell r="AB2050" t="str">
            <v>line item not tagged</v>
          </cell>
        </row>
        <row r="2051">
          <cell r="W2051">
            <v>0</v>
          </cell>
          <cell r="AB2051" t="str">
            <v>line item not tagged</v>
          </cell>
        </row>
        <row r="2052">
          <cell r="W2052">
            <v>0</v>
          </cell>
          <cell r="AB2052" t="str">
            <v>line item not tagged</v>
          </cell>
        </row>
        <row r="2053">
          <cell r="W2053">
            <v>0</v>
          </cell>
          <cell r="AB2053" t="str">
            <v>line item not tagged</v>
          </cell>
        </row>
        <row r="2054">
          <cell r="W2054">
            <v>0</v>
          </cell>
          <cell r="AB2054" t="str">
            <v>line item not tagged</v>
          </cell>
        </row>
        <row r="2055">
          <cell r="W2055">
            <v>0</v>
          </cell>
          <cell r="AB2055" t="str">
            <v>line item not tagged</v>
          </cell>
        </row>
        <row r="2056">
          <cell r="W2056">
            <v>0</v>
          </cell>
          <cell r="AB2056" t="str">
            <v>line item not tagged</v>
          </cell>
        </row>
        <row r="2057">
          <cell r="W2057">
            <v>0</v>
          </cell>
          <cell r="AB2057" t="str">
            <v>line item not tagged</v>
          </cell>
        </row>
        <row r="2058">
          <cell r="W2058">
            <v>0</v>
          </cell>
          <cell r="AB2058" t="str">
            <v>line item not tagged</v>
          </cell>
        </row>
        <row r="2059">
          <cell r="W2059">
            <v>0</v>
          </cell>
          <cell r="AB2059" t="str">
            <v>line item not tagged</v>
          </cell>
        </row>
        <row r="2060">
          <cell r="W2060">
            <v>0</v>
          </cell>
          <cell r="AB2060" t="str">
            <v>line item not tagged</v>
          </cell>
        </row>
        <row r="2061">
          <cell r="W2061">
            <v>0</v>
          </cell>
          <cell r="AB2061" t="str">
            <v>line item not tagged</v>
          </cell>
        </row>
        <row r="2062">
          <cell r="W2062">
            <v>0</v>
          </cell>
          <cell r="AB2062" t="str">
            <v>line item not tagged</v>
          </cell>
        </row>
        <row r="2063">
          <cell r="W2063">
            <v>0</v>
          </cell>
          <cell r="AB2063" t="str">
            <v>line item not tagged</v>
          </cell>
        </row>
        <row r="2064">
          <cell r="W2064">
            <v>0</v>
          </cell>
          <cell r="AB2064" t="str">
            <v>line item not tagged</v>
          </cell>
        </row>
        <row r="2065">
          <cell r="W2065">
            <v>0</v>
          </cell>
          <cell r="AB2065" t="str">
            <v>line item not tagged</v>
          </cell>
        </row>
        <row r="2066">
          <cell r="W2066">
            <v>0</v>
          </cell>
          <cell r="AB2066" t="str">
            <v>line item not tagged</v>
          </cell>
        </row>
        <row r="2067">
          <cell r="W2067">
            <v>0</v>
          </cell>
          <cell r="AB2067" t="str">
            <v>line item not tagged</v>
          </cell>
        </row>
        <row r="2068">
          <cell r="W2068">
            <v>0</v>
          </cell>
          <cell r="AB2068" t="str">
            <v>line item not tagged</v>
          </cell>
        </row>
        <row r="2069">
          <cell r="W2069">
            <v>0</v>
          </cell>
          <cell r="AB2069" t="str">
            <v>line item not tagged</v>
          </cell>
        </row>
        <row r="2070">
          <cell r="W2070">
            <v>0</v>
          </cell>
          <cell r="AB2070" t="str">
            <v>line item not tagged</v>
          </cell>
        </row>
        <row r="2071">
          <cell r="W2071">
            <v>0</v>
          </cell>
          <cell r="AB2071" t="str">
            <v>line item not tagged</v>
          </cell>
        </row>
        <row r="2072">
          <cell r="W2072">
            <v>0</v>
          </cell>
          <cell r="AB2072" t="str">
            <v>line item not tagged</v>
          </cell>
        </row>
        <row r="2073">
          <cell r="W2073">
            <v>0</v>
          </cell>
          <cell r="AB2073" t="str">
            <v>line item not tagged</v>
          </cell>
        </row>
        <row r="2074">
          <cell r="W2074">
            <v>0</v>
          </cell>
          <cell r="AB2074" t="str">
            <v>line item not tagged</v>
          </cell>
        </row>
        <row r="2075">
          <cell r="W2075">
            <v>0</v>
          </cell>
          <cell r="AB2075" t="str">
            <v>line item not tagged</v>
          </cell>
        </row>
        <row r="2076">
          <cell r="W2076">
            <v>0</v>
          </cell>
          <cell r="AB2076" t="str">
            <v>line item not tagged</v>
          </cell>
        </row>
        <row r="2077">
          <cell r="W2077">
            <v>0</v>
          </cell>
          <cell r="AB2077" t="str">
            <v>line item not tagged</v>
          </cell>
        </row>
        <row r="2078">
          <cell r="W2078">
            <v>0</v>
          </cell>
          <cell r="AB2078" t="str">
            <v>line item not tagged</v>
          </cell>
        </row>
        <row r="2079">
          <cell r="W2079">
            <v>0</v>
          </cell>
          <cell r="AB2079" t="str">
            <v>line item not tagged</v>
          </cell>
        </row>
        <row r="2080">
          <cell r="W2080">
            <v>0</v>
          </cell>
          <cell r="AB2080" t="str">
            <v>line item not tagged</v>
          </cell>
        </row>
        <row r="2081">
          <cell r="W2081">
            <v>0</v>
          </cell>
          <cell r="AB2081" t="str">
            <v>line item not tagged</v>
          </cell>
        </row>
        <row r="2082">
          <cell r="W2082">
            <v>0</v>
          </cell>
          <cell r="AB2082" t="str">
            <v>line item not tagged</v>
          </cell>
        </row>
        <row r="2083">
          <cell r="W2083">
            <v>0</v>
          </cell>
          <cell r="AB2083" t="str">
            <v>line item not tagged</v>
          </cell>
        </row>
        <row r="2084">
          <cell r="W2084">
            <v>0</v>
          </cell>
          <cell r="AB2084" t="str">
            <v>line item not tagged</v>
          </cell>
        </row>
        <row r="2085">
          <cell r="W2085">
            <v>0</v>
          </cell>
          <cell r="AB2085" t="str">
            <v>line item not tagged</v>
          </cell>
        </row>
        <row r="2086">
          <cell r="W2086">
            <v>0</v>
          </cell>
          <cell r="AB2086" t="str">
            <v>line item not tagged</v>
          </cell>
        </row>
        <row r="2087">
          <cell r="W2087">
            <v>0</v>
          </cell>
          <cell r="AB2087" t="str">
            <v>line item not tagged</v>
          </cell>
        </row>
        <row r="2088">
          <cell r="W2088">
            <v>0</v>
          </cell>
          <cell r="AB2088" t="str">
            <v>line item not tagged</v>
          </cell>
        </row>
        <row r="2089">
          <cell r="W2089">
            <v>0</v>
          </cell>
          <cell r="AB2089" t="str">
            <v>line item not tagged</v>
          </cell>
        </row>
        <row r="2090">
          <cell r="W2090">
            <v>0</v>
          </cell>
          <cell r="AB2090" t="str">
            <v>line item not tagged</v>
          </cell>
        </row>
        <row r="2091">
          <cell r="W2091">
            <v>0</v>
          </cell>
          <cell r="AB2091" t="str">
            <v>line item not tagged</v>
          </cell>
        </row>
        <row r="2092">
          <cell r="W2092">
            <v>0</v>
          </cell>
          <cell r="AB2092" t="str">
            <v>line item not tagged</v>
          </cell>
        </row>
        <row r="2093">
          <cell r="W2093">
            <v>0</v>
          </cell>
          <cell r="AB2093" t="str">
            <v>line item not tagged</v>
          </cell>
        </row>
        <row r="2094">
          <cell r="W2094">
            <v>0</v>
          </cell>
          <cell r="AB2094" t="str">
            <v>line item not tagged</v>
          </cell>
        </row>
        <row r="2095">
          <cell r="W2095">
            <v>0</v>
          </cell>
          <cell r="AB2095" t="str">
            <v>line item not tagged</v>
          </cell>
        </row>
        <row r="2096">
          <cell r="W2096">
            <v>0</v>
          </cell>
          <cell r="AB2096" t="str">
            <v>line item not tagged</v>
          </cell>
        </row>
        <row r="2097">
          <cell r="W2097">
            <v>0</v>
          </cell>
          <cell r="AB2097" t="str">
            <v>line item not tagged</v>
          </cell>
        </row>
        <row r="2098">
          <cell r="W2098">
            <v>0</v>
          </cell>
          <cell r="AB2098" t="str">
            <v>line item not tagged</v>
          </cell>
        </row>
        <row r="2099">
          <cell r="W2099">
            <v>0</v>
          </cell>
          <cell r="AB2099" t="str">
            <v>line item not tagged</v>
          </cell>
        </row>
        <row r="2100">
          <cell r="W2100">
            <v>0</v>
          </cell>
          <cell r="AB2100" t="str">
            <v>line item not tagged</v>
          </cell>
        </row>
        <row r="2101">
          <cell r="W2101">
            <v>0</v>
          </cell>
          <cell r="AB2101" t="str">
            <v>line item not tagged</v>
          </cell>
        </row>
        <row r="2102">
          <cell r="W2102">
            <v>0</v>
          </cell>
          <cell r="AB2102" t="str">
            <v>line item not tagged</v>
          </cell>
        </row>
        <row r="2103">
          <cell r="W2103">
            <v>0</v>
          </cell>
          <cell r="AB2103" t="str">
            <v>line item not tagged</v>
          </cell>
        </row>
        <row r="2104">
          <cell r="W2104">
            <v>0</v>
          </cell>
          <cell r="AB2104" t="str">
            <v>line item not tagged</v>
          </cell>
        </row>
        <row r="2105">
          <cell r="W2105">
            <v>0</v>
          </cell>
          <cell r="AB2105" t="str">
            <v>line item not tagged</v>
          </cell>
        </row>
        <row r="2106">
          <cell r="W2106">
            <v>0</v>
          </cell>
          <cell r="AB2106" t="str">
            <v>line item not tagged</v>
          </cell>
        </row>
        <row r="2107">
          <cell r="W2107">
            <v>0</v>
          </cell>
          <cell r="AB2107" t="str">
            <v>line item not tagged</v>
          </cell>
        </row>
        <row r="2108">
          <cell r="W2108">
            <v>0</v>
          </cell>
          <cell r="AB2108" t="str">
            <v>line item not tagged</v>
          </cell>
        </row>
        <row r="2109">
          <cell r="W2109">
            <v>0</v>
          </cell>
          <cell r="AB2109" t="str">
            <v>line item not tagged</v>
          </cell>
        </row>
        <row r="2110">
          <cell r="W2110">
            <v>0</v>
          </cell>
          <cell r="AB2110" t="str">
            <v>line item not tagged</v>
          </cell>
        </row>
        <row r="2111">
          <cell r="W2111">
            <v>0</v>
          </cell>
          <cell r="AB2111" t="str">
            <v>line item not tagged</v>
          </cell>
        </row>
        <row r="2112">
          <cell r="W2112">
            <v>0</v>
          </cell>
          <cell r="AB2112" t="str">
            <v>line item not tagged</v>
          </cell>
        </row>
        <row r="2113">
          <cell r="W2113">
            <v>0</v>
          </cell>
          <cell r="AB2113" t="str">
            <v>line item not tagged</v>
          </cell>
        </row>
        <row r="2114">
          <cell r="W2114">
            <v>0</v>
          </cell>
          <cell r="AB2114" t="str">
            <v>line item not tagged</v>
          </cell>
        </row>
        <row r="2115">
          <cell r="W2115">
            <v>0</v>
          </cell>
          <cell r="AB2115" t="str">
            <v>line item not tagged</v>
          </cell>
        </row>
        <row r="2116">
          <cell r="W2116">
            <v>0</v>
          </cell>
          <cell r="AB2116" t="str">
            <v>line item not tagged</v>
          </cell>
        </row>
        <row r="2117">
          <cell r="W2117">
            <v>0</v>
          </cell>
          <cell r="AB2117" t="str">
            <v>line item not tagged</v>
          </cell>
        </row>
        <row r="2118">
          <cell r="W2118">
            <v>0</v>
          </cell>
          <cell r="AB2118" t="str">
            <v>line item not tagged</v>
          </cell>
        </row>
        <row r="2119">
          <cell r="W2119">
            <v>0</v>
          </cell>
          <cell r="AB2119" t="str">
            <v>line item not tagged</v>
          </cell>
        </row>
        <row r="2120">
          <cell r="W2120">
            <v>0</v>
          </cell>
          <cell r="AB2120" t="str">
            <v>line item not tagged</v>
          </cell>
        </row>
        <row r="2121">
          <cell r="W2121">
            <v>0</v>
          </cell>
          <cell r="AB2121" t="str">
            <v>line item not tagged</v>
          </cell>
        </row>
        <row r="2122">
          <cell r="W2122">
            <v>0</v>
          </cell>
          <cell r="AB2122" t="str">
            <v>line item not tagged</v>
          </cell>
        </row>
        <row r="2123">
          <cell r="W2123">
            <v>0</v>
          </cell>
          <cell r="AB2123" t="str">
            <v>line item not tagged</v>
          </cell>
        </row>
        <row r="2124">
          <cell r="W2124">
            <v>0</v>
          </cell>
          <cell r="AB2124" t="str">
            <v>line item not tagged</v>
          </cell>
        </row>
        <row r="2125">
          <cell r="W2125">
            <v>0</v>
          </cell>
          <cell r="AB2125" t="str">
            <v>line item not tagged</v>
          </cell>
        </row>
        <row r="2126">
          <cell r="W2126">
            <v>0</v>
          </cell>
          <cell r="AB2126" t="str">
            <v>line item not tagged</v>
          </cell>
        </row>
        <row r="2127">
          <cell r="W2127">
            <v>0</v>
          </cell>
          <cell r="AB2127" t="str">
            <v>line item not tagged</v>
          </cell>
        </row>
        <row r="2128">
          <cell r="W2128">
            <v>0</v>
          </cell>
          <cell r="AB2128" t="str">
            <v>line item not tagged</v>
          </cell>
        </row>
        <row r="2129">
          <cell r="W2129">
            <v>0</v>
          </cell>
          <cell r="AB2129" t="str">
            <v>line item not tagged</v>
          </cell>
        </row>
        <row r="2130">
          <cell r="W2130">
            <v>0</v>
          </cell>
          <cell r="AB2130" t="str">
            <v>line item not tagged</v>
          </cell>
        </row>
        <row r="2131">
          <cell r="W2131">
            <v>0</v>
          </cell>
          <cell r="AB2131" t="str">
            <v>line item not tagged</v>
          </cell>
        </row>
        <row r="2132">
          <cell r="W2132">
            <v>0</v>
          </cell>
          <cell r="AB2132" t="str">
            <v>line item not tagged</v>
          </cell>
        </row>
        <row r="2133">
          <cell r="W2133">
            <v>0</v>
          </cell>
          <cell r="AB2133" t="str">
            <v>line item not tagged</v>
          </cell>
        </row>
        <row r="2134">
          <cell r="W2134">
            <v>0</v>
          </cell>
          <cell r="AB2134" t="str">
            <v>line item not tagged</v>
          </cell>
        </row>
        <row r="2135">
          <cell r="W2135">
            <v>0</v>
          </cell>
          <cell r="AB2135" t="str">
            <v>line item not tagged</v>
          </cell>
        </row>
        <row r="2136">
          <cell r="W2136">
            <v>0</v>
          </cell>
          <cell r="AB2136" t="str">
            <v>line item not tagged</v>
          </cell>
        </row>
        <row r="2137">
          <cell r="W2137">
            <v>0</v>
          </cell>
          <cell r="AB2137" t="str">
            <v>line item not tagged</v>
          </cell>
        </row>
        <row r="2138">
          <cell r="W2138">
            <v>0</v>
          </cell>
          <cell r="AB2138" t="str">
            <v>line item not tagged</v>
          </cell>
        </row>
        <row r="2139">
          <cell r="W2139">
            <v>0</v>
          </cell>
          <cell r="AB2139" t="str">
            <v>line item not tagged</v>
          </cell>
        </row>
        <row r="2140">
          <cell r="W2140">
            <v>0</v>
          </cell>
          <cell r="AB2140" t="str">
            <v>line item not tagged</v>
          </cell>
        </row>
        <row r="2141">
          <cell r="W2141">
            <v>0</v>
          </cell>
          <cell r="AB2141" t="str">
            <v>line item not tagged</v>
          </cell>
        </row>
        <row r="2142">
          <cell r="W2142">
            <v>0</v>
          </cell>
          <cell r="AB2142" t="str">
            <v>line item not tagged</v>
          </cell>
        </row>
        <row r="2143">
          <cell r="W2143">
            <v>0</v>
          </cell>
          <cell r="AB2143" t="str">
            <v>line item not tagged</v>
          </cell>
        </row>
        <row r="2144">
          <cell r="W2144">
            <v>0</v>
          </cell>
          <cell r="AB2144" t="str">
            <v>line item not tagged</v>
          </cell>
        </row>
        <row r="2145">
          <cell r="W2145">
            <v>0</v>
          </cell>
          <cell r="AB2145" t="str">
            <v>line item not tagged</v>
          </cell>
        </row>
        <row r="2146">
          <cell r="W2146">
            <v>0</v>
          </cell>
          <cell r="AB2146" t="str">
            <v>line item not tagged</v>
          </cell>
        </row>
        <row r="2147">
          <cell r="W2147">
            <v>0</v>
          </cell>
          <cell r="AB2147" t="str">
            <v>line item not tagged</v>
          </cell>
        </row>
        <row r="2148">
          <cell r="W2148">
            <v>0</v>
          </cell>
          <cell r="AB2148" t="str">
            <v>line item not tagged</v>
          </cell>
        </row>
        <row r="2149">
          <cell r="W2149">
            <v>0</v>
          </cell>
          <cell r="AB2149" t="str">
            <v>line item not tagged</v>
          </cell>
        </row>
        <row r="2150">
          <cell r="W2150">
            <v>0</v>
          </cell>
          <cell r="AB2150" t="str">
            <v>line item not tagged</v>
          </cell>
        </row>
        <row r="2151">
          <cell r="W2151">
            <v>0</v>
          </cell>
          <cell r="AB2151" t="str">
            <v>line item not tagged</v>
          </cell>
        </row>
        <row r="2152">
          <cell r="W2152">
            <v>0</v>
          </cell>
          <cell r="AB2152" t="str">
            <v>line item not tagged</v>
          </cell>
        </row>
        <row r="2153">
          <cell r="W2153">
            <v>0</v>
          </cell>
          <cell r="AB2153" t="str">
            <v>line item not tagged</v>
          </cell>
        </row>
        <row r="2154">
          <cell r="W2154">
            <v>0</v>
          </cell>
          <cell r="AB2154" t="str">
            <v>line item not tagged</v>
          </cell>
        </row>
        <row r="2155">
          <cell r="W2155">
            <v>0</v>
          </cell>
          <cell r="AB2155" t="str">
            <v>line item not tagged</v>
          </cell>
        </row>
        <row r="2156">
          <cell r="W2156">
            <v>0</v>
          </cell>
          <cell r="AB2156" t="str">
            <v>line item not tagged</v>
          </cell>
        </row>
        <row r="2157">
          <cell r="W2157">
            <v>0</v>
          </cell>
          <cell r="AB2157" t="str">
            <v>line item not tagged</v>
          </cell>
        </row>
        <row r="2158">
          <cell r="W2158">
            <v>0</v>
          </cell>
          <cell r="AB2158" t="str">
            <v>line item not tagged</v>
          </cell>
        </row>
        <row r="2159">
          <cell r="W2159">
            <v>0</v>
          </cell>
          <cell r="AB2159" t="str">
            <v>line item not tagged</v>
          </cell>
        </row>
        <row r="2160">
          <cell r="W2160">
            <v>0</v>
          </cell>
          <cell r="AB2160" t="str">
            <v>line item not tagged</v>
          </cell>
        </row>
        <row r="2161">
          <cell r="W2161">
            <v>0</v>
          </cell>
          <cell r="AB2161" t="str">
            <v>line item not tagged</v>
          </cell>
        </row>
        <row r="2162">
          <cell r="W2162">
            <v>0</v>
          </cell>
          <cell r="AB2162" t="str">
            <v>line item not tagged</v>
          </cell>
        </row>
        <row r="2163">
          <cell r="W2163">
            <v>0</v>
          </cell>
          <cell r="AB2163" t="str">
            <v>line item not tagged</v>
          </cell>
        </row>
        <row r="2164">
          <cell r="W2164">
            <v>0</v>
          </cell>
          <cell r="AB2164" t="str">
            <v>line item not tagged</v>
          </cell>
        </row>
        <row r="2165">
          <cell r="W2165">
            <v>0</v>
          </cell>
          <cell r="AB2165" t="str">
            <v>line item not tagged</v>
          </cell>
        </row>
        <row r="2166">
          <cell r="W2166">
            <v>0</v>
          </cell>
          <cell r="AB2166" t="str">
            <v>line item not tagged</v>
          </cell>
        </row>
        <row r="2167">
          <cell r="W2167">
            <v>0</v>
          </cell>
          <cell r="AB2167" t="str">
            <v>line item not tagged</v>
          </cell>
        </row>
        <row r="2168">
          <cell r="W2168">
            <v>0</v>
          </cell>
          <cell r="AB2168" t="str">
            <v>line item not tagged</v>
          </cell>
        </row>
        <row r="2169">
          <cell r="W2169">
            <v>0</v>
          </cell>
          <cell r="AB2169" t="str">
            <v>line item not tagged</v>
          </cell>
        </row>
        <row r="2170">
          <cell r="W2170">
            <v>0</v>
          </cell>
          <cell r="AB2170" t="str">
            <v>line item not tagged</v>
          </cell>
        </row>
        <row r="2171">
          <cell r="W2171">
            <v>0</v>
          </cell>
          <cell r="AB2171" t="str">
            <v>line item not tagged</v>
          </cell>
        </row>
        <row r="2172">
          <cell r="W2172">
            <v>0</v>
          </cell>
          <cell r="AB2172" t="str">
            <v>line item not tagged</v>
          </cell>
        </row>
        <row r="2173">
          <cell r="W2173">
            <v>0</v>
          </cell>
          <cell r="AB2173" t="str">
            <v>line item not tagged</v>
          </cell>
        </row>
        <row r="2174">
          <cell r="W2174">
            <v>0</v>
          </cell>
          <cell r="AB2174" t="str">
            <v>line item not tagged</v>
          </cell>
        </row>
        <row r="2175">
          <cell r="W2175">
            <v>0</v>
          </cell>
          <cell r="AB2175" t="str">
            <v>line item not tagged</v>
          </cell>
        </row>
        <row r="2176">
          <cell r="W2176">
            <v>0</v>
          </cell>
          <cell r="AB2176" t="str">
            <v>line item not tagged</v>
          </cell>
        </row>
        <row r="2177">
          <cell r="W2177">
            <v>0</v>
          </cell>
          <cell r="AB2177" t="str">
            <v>line item not tagged</v>
          </cell>
        </row>
        <row r="2178">
          <cell r="W2178">
            <v>0</v>
          </cell>
          <cell r="AB2178" t="str">
            <v>line item not tagged</v>
          </cell>
        </row>
        <row r="2179">
          <cell r="W2179">
            <v>0</v>
          </cell>
          <cell r="AB2179" t="str">
            <v>line item not tagged</v>
          </cell>
        </row>
        <row r="2180">
          <cell r="W2180">
            <v>0</v>
          </cell>
          <cell r="AB2180" t="str">
            <v>line item not tagged</v>
          </cell>
        </row>
        <row r="2181">
          <cell r="W2181">
            <v>0</v>
          </cell>
          <cell r="AB2181" t="str">
            <v>line item not tagged</v>
          </cell>
        </row>
        <row r="2182">
          <cell r="W2182">
            <v>0</v>
          </cell>
          <cell r="AB2182" t="str">
            <v>line item not tagged</v>
          </cell>
        </row>
        <row r="2183">
          <cell r="W2183">
            <v>0</v>
          </cell>
          <cell r="AB2183" t="str">
            <v>line item not tagged</v>
          </cell>
        </row>
        <row r="2184">
          <cell r="W2184">
            <v>0</v>
          </cell>
          <cell r="AB2184" t="str">
            <v>line item not tagged</v>
          </cell>
        </row>
        <row r="2185">
          <cell r="W2185">
            <v>0</v>
          </cell>
          <cell r="AB2185" t="str">
            <v>line item not tagged</v>
          </cell>
        </row>
        <row r="2186">
          <cell r="W2186">
            <v>0</v>
          </cell>
          <cell r="AB2186" t="str">
            <v>line item not tagged</v>
          </cell>
        </row>
        <row r="2187">
          <cell r="W2187">
            <v>0</v>
          </cell>
          <cell r="AB2187" t="str">
            <v>line item not tagged</v>
          </cell>
        </row>
        <row r="2188">
          <cell r="W2188">
            <v>0</v>
          </cell>
          <cell r="AB2188" t="str">
            <v>line item not tagged</v>
          </cell>
        </row>
        <row r="2189">
          <cell r="W2189">
            <v>0</v>
          </cell>
          <cell r="AB2189" t="str">
            <v>line item not tagged</v>
          </cell>
        </row>
        <row r="2190">
          <cell r="W2190">
            <v>0</v>
          </cell>
          <cell r="AB2190" t="str">
            <v>line item not tagged</v>
          </cell>
        </row>
        <row r="2191">
          <cell r="W2191">
            <v>0</v>
          </cell>
          <cell r="AB2191" t="str">
            <v>line item not tagged</v>
          </cell>
        </row>
        <row r="2192">
          <cell r="W2192">
            <v>0</v>
          </cell>
          <cell r="AB2192" t="str">
            <v>line item not tagged</v>
          </cell>
        </row>
        <row r="2193">
          <cell r="W2193">
            <v>0</v>
          </cell>
          <cell r="AB2193" t="str">
            <v>line item not tagged</v>
          </cell>
        </row>
        <row r="2194">
          <cell r="W2194">
            <v>0</v>
          </cell>
          <cell r="AB2194" t="str">
            <v>line item not tagged</v>
          </cell>
        </row>
        <row r="2195">
          <cell r="W2195">
            <v>0</v>
          </cell>
          <cell r="AB2195" t="str">
            <v>line item not tagged</v>
          </cell>
        </row>
        <row r="2196">
          <cell r="W2196">
            <v>0</v>
          </cell>
          <cell r="AB2196" t="str">
            <v>line item not tagged</v>
          </cell>
        </row>
        <row r="2197">
          <cell r="W2197">
            <v>0</v>
          </cell>
          <cell r="AB2197" t="str">
            <v>line item not tagged</v>
          </cell>
        </row>
        <row r="2198">
          <cell r="W2198">
            <v>0</v>
          </cell>
          <cell r="AB2198" t="str">
            <v>line item not tagged</v>
          </cell>
        </row>
        <row r="2199">
          <cell r="W2199">
            <v>0</v>
          </cell>
          <cell r="AB2199" t="str">
            <v>line item not tagged</v>
          </cell>
        </row>
        <row r="2200">
          <cell r="W2200">
            <v>0</v>
          </cell>
          <cell r="AB2200" t="str">
            <v>line item not tagged</v>
          </cell>
        </row>
        <row r="2201">
          <cell r="W2201">
            <v>0</v>
          </cell>
          <cell r="AB2201" t="str">
            <v>line item not tagged</v>
          </cell>
        </row>
        <row r="2202">
          <cell r="W2202">
            <v>0</v>
          </cell>
          <cell r="AB2202" t="str">
            <v>line item not tagged</v>
          </cell>
        </row>
        <row r="2203">
          <cell r="W2203">
            <v>0</v>
          </cell>
          <cell r="AB2203" t="str">
            <v>line item not tagged</v>
          </cell>
        </row>
        <row r="2204">
          <cell r="W2204">
            <v>0</v>
          </cell>
          <cell r="AB2204" t="str">
            <v>line item not tagged</v>
          </cell>
        </row>
        <row r="2205">
          <cell r="W2205">
            <v>0</v>
          </cell>
          <cell r="AB2205" t="str">
            <v>line item not tagged</v>
          </cell>
        </row>
        <row r="2206">
          <cell r="W2206">
            <v>0</v>
          </cell>
          <cell r="AB2206" t="str">
            <v>line item not tagged</v>
          </cell>
        </row>
        <row r="2207">
          <cell r="W2207">
            <v>0</v>
          </cell>
          <cell r="AB2207" t="str">
            <v>line item not tagged</v>
          </cell>
        </row>
        <row r="2208">
          <cell r="W2208">
            <v>0</v>
          </cell>
          <cell r="AB2208" t="str">
            <v>line item not tagged</v>
          </cell>
        </row>
        <row r="2209">
          <cell r="W2209">
            <v>0</v>
          </cell>
          <cell r="AB2209" t="str">
            <v>line item not tagged</v>
          </cell>
        </row>
        <row r="2210">
          <cell r="W2210">
            <v>0</v>
          </cell>
          <cell r="AB2210" t="str">
            <v>line item not tagged</v>
          </cell>
        </row>
        <row r="2211">
          <cell r="W2211">
            <v>0</v>
          </cell>
          <cell r="AB2211" t="str">
            <v>line item not tagged</v>
          </cell>
        </row>
        <row r="2212">
          <cell r="W2212">
            <v>0</v>
          </cell>
          <cell r="AB2212" t="str">
            <v>line item not tagged</v>
          </cell>
        </row>
        <row r="2213">
          <cell r="W2213">
            <v>0</v>
          </cell>
          <cell r="AB2213" t="str">
            <v>line item not tagged</v>
          </cell>
        </row>
        <row r="2214">
          <cell r="W2214">
            <v>0</v>
          </cell>
          <cell r="AB2214" t="str">
            <v>line item not tagged</v>
          </cell>
        </row>
        <row r="2215">
          <cell r="W2215">
            <v>0</v>
          </cell>
          <cell r="AB2215" t="str">
            <v>line item not tagged</v>
          </cell>
        </row>
        <row r="2216">
          <cell r="W2216">
            <v>0</v>
          </cell>
          <cell r="AB2216" t="str">
            <v>line item not tagged</v>
          </cell>
        </row>
        <row r="2217">
          <cell r="W2217">
            <v>0</v>
          </cell>
          <cell r="AB2217" t="str">
            <v>line item not tagged</v>
          </cell>
        </row>
        <row r="2218">
          <cell r="W2218">
            <v>0</v>
          </cell>
          <cell r="AB2218" t="str">
            <v>line item not tagged</v>
          </cell>
        </row>
        <row r="2219">
          <cell r="W2219">
            <v>0</v>
          </cell>
          <cell r="AB2219" t="str">
            <v>line item not tagged</v>
          </cell>
        </row>
        <row r="2220">
          <cell r="W2220">
            <v>0</v>
          </cell>
          <cell r="AB2220" t="str">
            <v>line item not tagged</v>
          </cell>
        </row>
        <row r="2221">
          <cell r="W2221">
            <v>0</v>
          </cell>
          <cell r="AB2221" t="str">
            <v>line item not tagged</v>
          </cell>
        </row>
        <row r="2222">
          <cell r="W2222">
            <v>0</v>
          </cell>
          <cell r="AB2222" t="str">
            <v>line item not tagged</v>
          </cell>
        </row>
        <row r="2223">
          <cell r="W2223">
            <v>0</v>
          </cell>
          <cell r="AB2223" t="str">
            <v>line item not tagged</v>
          </cell>
        </row>
        <row r="2224">
          <cell r="W2224">
            <v>0</v>
          </cell>
          <cell r="AB2224" t="str">
            <v>line item not tagged</v>
          </cell>
        </row>
        <row r="2225">
          <cell r="W2225">
            <v>0</v>
          </cell>
          <cell r="AB2225" t="str">
            <v>line item not tagged</v>
          </cell>
        </row>
        <row r="2226">
          <cell r="W2226">
            <v>0</v>
          </cell>
          <cell r="AB2226" t="str">
            <v>line item not tagged</v>
          </cell>
        </row>
        <row r="2227">
          <cell r="W2227">
            <v>0</v>
          </cell>
          <cell r="AB2227" t="str">
            <v>line item not tagged</v>
          </cell>
        </row>
        <row r="2228">
          <cell r="W2228">
            <v>0</v>
          </cell>
          <cell r="AB2228" t="str">
            <v>line item not tagged</v>
          </cell>
        </row>
        <row r="2229">
          <cell r="W2229">
            <v>0</v>
          </cell>
          <cell r="AB2229" t="str">
            <v>line item not tagged</v>
          </cell>
        </row>
        <row r="2230">
          <cell r="W2230">
            <v>0</v>
          </cell>
          <cell r="AB2230" t="str">
            <v>line item not tagged</v>
          </cell>
        </row>
        <row r="2231">
          <cell r="W2231">
            <v>0</v>
          </cell>
          <cell r="AB2231" t="str">
            <v>line item not tagged</v>
          </cell>
        </row>
        <row r="2232">
          <cell r="W2232">
            <v>0</v>
          </cell>
          <cell r="AB2232" t="str">
            <v>line item not tagged</v>
          </cell>
        </row>
        <row r="2233">
          <cell r="W2233">
            <v>0</v>
          </cell>
          <cell r="AB2233" t="str">
            <v>line item not tagged</v>
          </cell>
        </row>
        <row r="2234">
          <cell r="W2234">
            <v>0</v>
          </cell>
          <cell r="AB2234" t="str">
            <v>line item not tagged</v>
          </cell>
        </row>
        <row r="2235">
          <cell r="W2235">
            <v>0</v>
          </cell>
          <cell r="AB2235" t="str">
            <v>line item not tagged</v>
          </cell>
        </row>
        <row r="2236">
          <cell r="W2236">
            <v>0</v>
          </cell>
          <cell r="AB2236" t="str">
            <v>line item not tagged</v>
          </cell>
        </row>
        <row r="2237">
          <cell r="W2237">
            <v>0</v>
          </cell>
          <cell r="AB2237" t="str">
            <v>line item not tagged</v>
          </cell>
        </row>
        <row r="2238">
          <cell r="W2238">
            <v>0</v>
          </cell>
          <cell r="AB2238" t="str">
            <v>line item not tagged</v>
          </cell>
        </row>
        <row r="2239">
          <cell r="W2239">
            <v>0</v>
          </cell>
          <cell r="AB2239" t="str">
            <v>line item not tagged</v>
          </cell>
        </row>
        <row r="2240">
          <cell r="W2240">
            <v>0</v>
          </cell>
          <cell r="AB2240" t="str">
            <v>line item not tagged</v>
          </cell>
        </row>
        <row r="2241">
          <cell r="W2241">
            <v>0</v>
          </cell>
          <cell r="AB2241" t="str">
            <v>line item not tagged</v>
          </cell>
        </row>
        <row r="2242">
          <cell r="W2242">
            <v>0</v>
          </cell>
          <cell r="AB2242" t="str">
            <v>line item not tagged</v>
          </cell>
        </row>
        <row r="2243">
          <cell r="W2243">
            <v>0</v>
          </cell>
          <cell r="AB2243" t="str">
            <v>line item not tagged</v>
          </cell>
        </row>
        <row r="2244">
          <cell r="W2244">
            <v>0</v>
          </cell>
          <cell r="AB2244" t="str">
            <v>line item not tagged</v>
          </cell>
        </row>
        <row r="2245">
          <cell r="W2245">
            <v>0</v>
          </cell>
          <cell r="AB2245" t="str">
            <v>line item not tagged</v>
          </cell>
        </row>
        <row r="2246">
          <cell r="W2246">
            <v>0</v>
          </cell>
          <cell r="AB2246" t="str">
            <v>line item not tagged</v>
          </cell>
        </row>
        <row r="2247">
          <cell r="W2247">
            <v>0</v>
          </cell>
          <cell r="AB2247" t="str">
            <v>line item not tagged</v>
          </cell>
        </row>
        <row r="2248">
          <cell r="W2248">
            <v>0</v>
          </cell>
          <cell r="AB2248" t="str">
            <v>line item not tagged</v>
          </cell>
        </row>
        <row r="2249">
          <cell r="W2249">
            <v>0</v>
          </cell>
          <cell r="AB2249" t="str">
            <v>line item not tagged</v>
          </cell>
        </row>
        <row r="2250">
          <cell r="W2250">
            <v>0</v>
          </cell>
          <cell r="AB2250" t="str">
            <v>line item not tagged</v>
          </cell>
        </row>
        <row r="2251">
          <cell r="W2251">
            <v>0</v>
          </cell>
          <cell r="AB2251" t="str">
            <v>line item not tagged</v>
          </cell>
        </row>
        <row r="2252">
          <cell r="W2252">
            <v>0</v>
          </cell>
          <cell r="AB2252" t="str">
            <v>line item not tagged</v>
          </cell>
        </row>
        <row r="2253">
          <cell r="W2253">
            <v>0</v>
          </cell>
          <cell r="AB2253" t="str">
            <v>line item not tagged</v>
          </cell>
        </row>
        <row r="2254">
          <cell r="W2254">
            <v>0</v>
          </cell>
          <cell r="AB2254" t="str">
            <v>line item not tagged</v>
          </cell>
        </row>
        <row r="2255">
          <cell r="W2255">
            <v>0</v>
          </cell>
          <cell r="AB2255" t="str">
            <v>line item not tagged</v>
          </cell>
        </row>
        <row r="2256">
          <cell r="W2256">
            <v>0</v>
          </cell>
          <cell r="AB2256" t="str">
            <v>line item not tagged</v>
          </cell>
        </row>
        <row r="2257">
          <cell r="W2257">
            <v>0</v>
          </cell>
          <cell r="AB2257" t="str">
            <v>line item not tagged</v>
          </cell>
        </row>
        <row r="2258">
          <cell r="W2258">
            <v>0</v>
          </cell>
          <cell r="AB2258" t="str">
            <v>line item not tagged</v>
          </cell>
        </row>
        <row r="2259">
          <cell r="W2259">
            <v>0</v>
          </cell>
          <cell r="AB2259" t="str">
            <v>line item not tagged</v>
          </cell>
        </row>
        <row r="2260">
          <cell r="W2260">
            <v>0</v>
          </cell>
          <cell r="AB2260" t="str">
            <v>line item not tagged</v>
          </cell>
        </row>
        <row r="2261">
          <cell r="W2261">
            <v>0</v>
          </cell>
          <cell r="AB2261" t="str">
            <v>line item not tagged</v>
          </cell>
        </row>
        <row r="2262">
          <cell r="W2262">
            <v>0</v>
          </cell>
          <cell r="AB2262" t="str">
            <v>line item not tagged</v>
          </cell>
        </row>
        <row r="2263">
          <cell r="W2263">
            <v>0</v>
          </cell>
          <cell r="AB2263" t="str">
            <v>line item not tagged</v>
          </cell>
        </row>
        <row r="2264">
          <cell r="W2264">
            <v>0</v>
          </cell>
          <cell r="AB2264" t="str">
            <v>line item not tagged</v>
          </cell>
        </row>
        <row r="2265">
          <cell r="W2265">
            <v>0</v>
          </cell>
          <cell r="AB2265" t="str">
            <v>line item not tagged</v>
          </cell>
        </row>
        <row r="2266">
          <cell r="W2266">
            <v>0</v>
          </cell>
          <cell r="AB2266" t="str">
            <v>line item not tagged</v>
          </cell>
        </row>
        <row r="2267">
          <cell r="W2267">
            <v>0</v>
          </cell>
          <cell r="AB2267" t="str">
            <v>line item not tagged</v>
          </cell>
        </row>
        <row r="2268">
          <cell r="W2268">
            <v>0</v>
          </cell>
          <cell r="AB2268" t="str">
            <v>line item not tagged</v>
          </cell>
        </row>
        <row r="2269">
          <cell r="W2269">
            <v>0</v>
          </cell>
          <cell r="AB2269" t="str">
            <v>line item not tagged</v>
          </cell>
        </row>
        <row r="2270">
          <cell r="W2270">
            <v>0</v>
          </cell>
          <cell r="AB2270" t="str">
            <v>line item not tagged</v>
          </cell>
        </row>
        <row r="2271">
          <cell r="W2271">
            <v>0</v>
          </cell>
          <cell r="AB2271" t="str">
            <v>line item not tagged</v>
          </cell>
        </row>
        <row r="2272">
          <cell r="W2272">
            <v>0</v>
          </cell>
          <cell r="AB2272" t="str">
            <v>line item not tagged</v>
          </cell>
        </row>
        <row r="2273">
          <cell r="W2273">
            <v>0</v>
          </cell>
          <cell r="AB2273" t="str">
            <v>line item not tagged</v>
          </cell>
        </row>
        <row r="2274">
          <cell r="W2274">
            <v>0</v>
          </cell>
          <cell r="AB2274" t="str">
            <v>line item not tagged</v>
          </cell>
        </row>
        <row r="2275">
          <cell r="W2275">
            <v>0</v>
          </cell>
          <cell r="AB2275" t="str">
            <v>line item not tagged</v>
          </cell>
        </row>
        <row r="2276">
          <cell r="W2276">
            <v>0</v>
          </cell>
          <cell r="AB2276" t="str">
            <v>line item not tagged</v>
          </cell>
        </row>
        <row r="2277">
          <cell r="W2277">
            <v>0</v>
          </cell>
          <cell r="AB2277" t="str">
            <v>line item not tagged</v>
          </cell>
        </row>
        <row r="2278">
          <cell r="W2278">
            <v>0</v>
          </cell>
          <cell r="AB2278" t="str">
            <v>line item not tagged</v>
          </cell>
        </row>
        <row r="2279">
          <cell r="W2279">
            <v>0</v>
          </cell>
          <cell r="AB2279" t="str">
            <v>line item not tagged</v>
          </cell>
        </row>
        <row r="2280">
          <cell r="W2280">
            <v>0</v>
          </cell>
          <cell r="AB2280" t="str">
            <v>line item not tagged</v>
          </cell>
        </row>
        <row r="2281">
          <cell r="W2281">
            <v>0</v>
          </cell>
          <cell r="AB2281" t="str">
            <v>line item not tagged</v>
          </cell>
        </row>
        <row r="2282">
          <cell r="W2282">
            <v>0</v>
          </cell>
          <cell r="AB2282" t="str">
            <v>line item not tagged</v>
          </cell>
        </row>
        <row r="2283">
          <cell r="W2283">
            <v>0</v>
          </cell>
          <cell r="AB2283" t="str">
            <v>line item not tagged</v>
          </cell>
        </row>
        <row r="2284">
          <cell r="W2284">
            <v>0</v>
          </cell>
          <cell r="AB2284" t="str">
            <v>line item not tagged</v>
          </cell>
        </row>
        <row r="2285">
          <cell r="W2285">
            <v>0</v>
          </cell>
          <cell r="AB2285" t="str">
            <v>line item not tagged</v>
          </cell>
        </row>
        <row r="2286">
          <cell r="W2286">
            <v>0</v>
          </cell>
          <cell r="AB2286" t="str">
            <v>line item not tagged</v>
          </cell>
        </row>
        <row r="2287">
          <cell r="W2287">
            <v>0</v>
          </cell>
          <cell r="AB2287" t="str">
            <v>line item not tagged</v>
          </cell>
        </row>
        <row r="2288">
          <cell r="W2288">
            <v>0</v>
          </cell>
          <cell r="AB2288" t="str">
            <v>line item not tagged</v>
          </cell>
        </row>
        <row r="2289">
          <cell r="W2289">
            <v>0</v>
          </cell>
          <cell r="AB2289" t="str">
            <v>line item not tagged</v>
          </cell>
        </row>
        <row r="2290">
          <cell r="W2290">
            <v>0</v>
          </cell>
          <cell r="AB2290" t="str">
            <v>line item not tagged</v>
          </cell>
        </row>
        <row r="2291">
          <cell r="W2291">
            <v>0</v>
          </cell>
          <cell r="AB2291" t="str">
            <v>line item not tagged</v>
          </cell>
        </row>
        <row r="2292">
          <cell r="W2292">
            <v>0</v>
          </cell>
          <cell r="AB2292" t="str">
            <v>line item not tagged</v>
          </cell>
        </row>
        <row r="2293">
          <cell r="W2293">
            <v>0</v>
          </cell>
          <cell r="AB2293" t="str">
            <v>line item not tagged</v>
          </cell>
        </row>
        <row r="2294">
          <cell r="W2294">
            <v>0</v>
          </cell>
          <cell r="AB2294" t="str">
            <v>line item not tagged</v>
          </cell>
        </row>
        <row r="2295">
          <cell r="W2295">
            <v>0</v>
          </cell>
          <cell r="AB2295" t="str">
            <v>line item not tagged</v>
          </cell>
        </row>
        <row r="2296">
          <cell r="W2296">
            <v>0</v>
          </cell>
          <cell r="AB2296" t="str">
            <v>line item not tagged</v>
          </cell>
        </row>
        <row r="2297">
          <cell r="W2297">
            <v>0</v>
          </cell>
          <cell r="AB2297" t="str">
            <v>line item not tagged</v>
          </cell>
        </row>
        <row r="2298">
          <cell r="W2298">
            <v>0</v>
          </cell>
          <cell r="AB2298" t="str">
            <v>line item not tagged</v>
          </cell>
        </row>
        <row r="2299">
          <cell r="W2299">
            <v>0</v>
          </cell>
          <cell r="AB2299" t="str">
            <v>line item not tagged</v>
          </cell>
        </row>
        <row r="2300">
          <cell r="W2300">
            <v>0</v>
          </cell>
          <cell r="AB2300" t="str">
            <v>line item not tagged</v>
          </cell>
        </row>
        <row r="2301">
          <cell r="W2301">
            <v>0</v>
          </cell>
          <cell r="AB2301" t="str">
            <v>line item not tagged</v>
          </cell>
        </row>
        <row r="2302">
          <cell r="W2302">
            <v>0</v>
          </cell>
          <cell r="AB2302" t="str">
            <v>line item not tagged</v>
          </cell>
        </row>
        <row r="2303">
          <cell r="W2303">
            <v>0</v>
          </cell>
          <cell r="AB2303" t="str">
            <v>line item not tagged</v>
          </cell>
        </row>
        <row r="2304">
          <cell r="W2304">
            <v>0</v>
          </cell>
          <cell r="AB2304" t="str">
            <v>line item not tagged</v>
          </cell>
        </row>
        <row r="2305">
          <cell r="W2305">
            <v>0</v>
          </cell>
          <cell r="AB2305" t="str">
            <v>line item not tagged</v>
          </cell>
        </row>
        <row r="2306">
          <cell r="W2306">
            <v>0</v>
          </cell>
          <cell r="AB2306" t="str">
            <v>line item not tagged</v>
          </cell>
        </row>
        <row r="2307">
          <cell r="W2307">
            <v>0</v>
          </cell>
          <cell r="AB2307" t="str">
            <v>line item not tagged</v>
          </cell>
        </row>
        <row r="2308">
          <cell r="W2308">
            <v>0</v>
          </cell>
          <cell r="AB2308" t="str">
            <v>line item not tagged</v>
          </cell>
        </row>
        <row r="2309">
          <cell r="W2309">
            <v>0</v>
          </cell>
          <cell r="AB2309" t="str">
            <v>line item not tagged</v>
          </cell>
        </row>
        <row r="2310">
          <cell r="W2310">
            <v>0</v>
          </cell>
          <cell r="AB2310" t="str">
            <v>line item not tagged</v>
          </cell>
        </row>
        <row r="2311">
          <cell r="W2311">
            <v>0</v>
          </cell>
          <cell r="AB2311" t="str">
            <v>line item not tagged</v>
          </cell>
        </row>
        <row r="2312">
          <cell r="W2312">
            <v>0</v>
          </cell>
          <cell r="AB2312" t="str">
            <v>line item not tagged</v>
          </cell>
        </row>
        <row r="2313">
          <cell r="W2313">
            <v>0</v>
          </cell>
          <cell r="AB2313" t="str">
            <v>line item not tagged</v>
          </cell>
        </row>
        <row r="2314">
          <cell r="W2314">
            <v>0</v>
          </cell>
          <cell r="AB2314" t="str">
            <v>line item not tagged</v>
          </cell>
        </row>
        <row r="2315">
          <cell r="W2315">
            <v>0</v>
          </cell>
          <cell r="AB2315" t="str">
            <v>line item not tagged</v>
          </cell>
        </row>
        <row r="2316">
          <cell r="W2316">
            <v>0</v>
          </cell>
          <cell r="AB2316" t="str">
            <v>line item not tagged</v>
          </cell>
        </row>
        <row r="2317">
          <cell r="W2317">
            <v>0</v>
          </cell>
          <cell r="AB2317" t="str">
            <v>line item not tagged</v>
          </cell>
        </row>
        <row r="2318">
          <cell r="W2318">
            <v>0</v>
          </cell>
          <cell r="AB2318" t="str">
            <v>line item not tagged</v>
          </cell>
        </row>
        <row r="2319">
          <cell r="W2319">
            <v>0</v>
          </cell>
          <cell r="AB2319" t="str">
            <v>line item not tagged</v>
          </cell>
        </row>
        <row r="2320">
          <cell r="W2320">
            <v>0</v>
          </cell>
          <cell r="AB2320" t="str">
            <v>line item not tagged</v>
          </cell>
        </row>
        <row r="2321">
          <cell r="W2321">
            <v>0</v>
          </cell>
          <cell r="AB2321" t="str">
            <v>line item not tagged</v>
          </cell>
        </row>
        <row r="2322">
          <cell r="W2322">
            <v>0</v>
          </cell>
          <cell r="AB2322" t="str">
            <v>line item not tagged</v>
          </cell>
        </row>
        <row r="2323">
          <cell r="W2323">
            <v>0</v>
          </cell>
          <cell r="AB2323" t="str">
            <v>line item not tagged</v>
          </cell>
        </row>
        <row r="2324">
          <cell r="W2324">
            <v>0</v>
          </cell>
          <cell r="AB2324" t="str">
            <v>line item not tagged</v>
          </cell>
        </row>
        <row r="2325">
          <cell r="W2325">
            <v>0</v>
          </cell>
          <cell r="AB2325" t="str">
            <v>line item not tagged</v>
          </cell>
        </row>
        <row r="2326">
          <cell r="W2326">
            <v>0</v>
          </cell>
          <cell r="AB2326" t="str">
            <v>line item not tagged</v>
          </cell>
        </row>
        <row r="2327">
          <cell r="W2327">
            <v>0</v>
          </cell>
          <cell r="AB2327" t="str">
            <v>line item not tagged</v>
          </cell>
        </row>
        <row r="2328">
          <cell r="W2328">
            <v>0</v>
          </cell>
          <cell r="AB2328" t="str">
            <v>line item not tagged</v>
          </cell>
        </row>
        <row r="2329">
          <cell r="W2329">
            <v>0</v>
          </cell>
          <cell r="AB2329" t="str">
            <v>line item not tagged</v>
          </cell>
        </row>
        <row r="2330">
          <cell r="W2330">
            <v>0</v>
          </cell>
          <cell r="AB2330" t="str">
            <v>line item not tagged</v>
          </cell>
        </row>
        <row r="2331">
          <cell r="W2331">
            <v>0</v>
          </cell>
          <cell r="AB2331" t="str">
            <v>line item not tagged</v>
          </cell>
        </row>
        <row r="2332">
          <cell r="W2332">
            <v>0</v>
          </cell>
          <cell r="AB2332" t="str">
            <v>line item not tagged</v>
          </cell>
        </row>
        <row r="2333">
          <cell r="W2333">
            <v>0</v>
          </cell>
          <cell r="AB2333" t="str">
            <v>line item not tagged</v>
          </cell>
        </row>
        <row r="2334">
          <cell r="W2334">
            <v>0</v>
          </cell>
          <cell r="AB2334" t="str">
            <v>line item not tagged</v>
          </cell>
        </row>
        <row r="2335">
          <cell r="W2335">
            <v>0</v>
          </cell>
          <cell r="AB2335" t="str">
            <v>line item not tagged</v>
          </cell>
        </row>
        <row r="2336">
          <cell r="W2336">
            <v>0</v>
          </cell>
          <cell r="AB2336" t="str">
            <v>line item not tagged</v>
          </cell>
        </row>
        <row r="2337">
          <cell r="W2337">
            <v>0</v>
          </cell>
          <cell r="AB2337" t="str">
            <v>line item not tagged</v>
          </cell>
        </row>
        <row r="2338">
          <cell r="W2338">
            <v>0</v>
          </cell>
          <cell r="AB2338" t="str">
            <v>line item not tagged</v>
          </cell>
        </row>
        <row r="2339">
          <cell r="W2339">
            <v>0</v>
          </cell>
          <cell r="AB2339" t="str">
            <v>line item not tagged</v>
          </cell>
        </row>
        <row r="2340">
          <cell r="W2340">
            <v>0</v>
          </cell>
          <cell r="AB2340" t="str">
            <v>line item not tagged</v>
          </cell>
        </row>
        <row r="2341">
          <cell r="W2341">
            <v>0</v>
          </cell>
          <cell r="AB2341" t="str">
            <v>line item not tagged</v>
          </cell>
        </row>
        <row r="2342">
          <cell r="W2342">
            <v>0</v>
          </cell>
          <cell r="AB2342" t="str">
            <v>line item not tagged</v>
          </cell>
        </row>
        <row r="2343">
          <cell r="W2343">
            <v>0</v>
          </cell>
          <cell r="AB2343" t="str">
            <v>line item not tagged</v>
          </cell>
        </row>
        <row r="2344">
          <cell r="W2344">
            <v>0</v>
          </cell>
          <cell r="AB2344" t="str">
            <v>line item not tagged</v>
          </cell>
        </row>
        <row r="2345">
          <cell r="W2345">
            <v>0</v>
          </cell>
          <cell r="AB2345" t="str">
            <v>line item not tagged</v>
          </cell>
        </row>
        <row r="2346">
          <cell r="W2346">
            <v>0</v>
          </cell>
          <cell r="AB2346" t="str">
            <v>line item not tagged</v>
          </cell>
        </row>
        <row r="2347">
          <cell r="W2347">
            <v>0</v>
          </cell>
          <cell r="AB2347" t="str">
            <v>line item not tagged</v>
          </cell>
        </row>
        <row r="2348">
          <cell r="W2348">
            <v>0</v>
          </cell>
          <cell r="AB2348" t="str">
            <v>line item not tagged</v>
          </cell>
        </row>
        <row r="2349">
          <cell r="W2349">
            <v>0</v>
          </cell>
          <cell r="AB2349" t="str">
            <v>line item not tagged</v>
          </cell>
        </row>
        <row r="2350">
          <cell r="W2350">
            <v>0</v>
          </cell>
          <cell r="AB2350" t="str">
            <v>line item not tagged</v>
          </cell>
        </row>
        <row r="2351">
          <cell r="W2351">
            <v>0</v>
          </cell>
          <cell r="AB2351" t="str">
            <v>line item not tagged</v>
          </cell>
        </row>
        <row r="2352">
          <cell r="W2352">
            <v>0</v>
          </cell>
          <cell r="AB2352" t="str">
            <v>line item not tagged</v>
          </cell>
        </row>
        <row r="2353">
          <cell r="W2353">
            <v>0</v>
          </cell>
          <cell r="AB2353" t="str">
            <v>line item not tagged</v>
          </cell>
        </row>
        <row r="2354">
          <cell r="W2354">
            <v>0</v>
          </cell>
          <cell r="AB2354" t="str">
            <v>line item not tagged</v>
          </cell>
        </row>
        <row r="2355">
          <cell r="W2355">
            <v>0</v>
          </cell>
          <cell r="AB2355" t="str">
            <v>line item not tagged</v>
          </cell>
        </row>
        <row r="2356">
          <cell r="W2356">
            <v>0</v>
          </cell>
          <cell r="AB2356" t="str">
            <v>line item not tagged</v>
          </cell>
        </row>
        <row r="2357">
          <cell r="W2357">
            <v>0</v>
          </cell>
          <cell r="AB2357" t="str">
            <v>line item not tagged</v>
          </cell>
        </row>
        <row r="2358">
          <cell r="W2358">
            <v>0</v>
          </cell>
          <cell r="AB2358" t="str">
            <v>line item not tagged</v>
          </cell>
        </row>
        <row r="2359">
          <cell r="W2359">
            <v>0</v>
          </cell>
          <cell r="AB2359" t="str">
            <v>line item not tagged</v>
          </cell>
        </row>
        <row r="2360">
          <cell r="W2360">
            <v>0</v>
          </cell>
          <cell r="AB2360" t="str">
            <v>line item not tagged</v>
          </cell>
        </row>
        <row r="2361">
          <cell r="W2361">
            <v>0</v>
          </cell>
          <cell r="AB2361" t="str">
            <v>line item not tagged</v>
          </cell>
        </row>
        <row r="2362">
          <cell r="W2362">
            <v>0</v>
          </cell>
          <cell r="AB2362" t="str">
            <v>line item not tagged</v>
          </cell>
        </row>
        <row r="2363">
          <cell r="W2363">
            <v>0</v>
          </cell>
          <cell r="AB2363" t="str">
            <v>line item not tagged</v>
          </cell>
        </row>
        <row r="2364">
          <cell r="W2364">
            <v>0</v>
          </cell>
          <cell r="AB2364" t="str">
            <v>line item not tagged</v>
          </cell>
        </row>
        <row r="2365">
          <cell r="W2365">
            <v>0</v>
          </cell>
          <cell r="AB2365" t="str">
            <v>line item not tagged</v>
          </cell>
        </row>
        <row r="2366">
          <cell r="W2366">
            <v>0</v>
          </cell>
          <cell r="AB2366" t="str">
            <v>line item not tagged</v>
          </cell>
        </row>
        <row r="2367">
          <cell r="W2367">
            <v>0</v>
          </cell>
          <cell r="AB2367" t="str">
            <v>line item not tagged</v>
          </cell>
        </row>
        <row r="2368">
          <cell r="W2368">
            <v>0</v>
          </cell>
          <cell r="AB2368" t="str">
            <v>line item not tagged</v>
          </cell>
        </row>
        <row r="2369">
          <cell r="W2369">
            <v>0</v>
          </cell>
          <cell r="AB2369" t="str">
            <v>line item not tagged</v>
          </cell>
        </row>
        <row r="2370">
          <cell r="W2370">
            <v>0</v>
          </cell>
          <cell r="AB2370" t="str">
            <v>line item not tagged</v>
          </cell>
        </row>
        <row r="2371">
          <cell r="W2371">
            <v>0</v>
          </cell>
          <cell r="AB2371" t="str">
            <v>line item not tagged</v>
          </cell>
        </row>
        <row r="2372">
          <cell r="W2372">
            <v>0</v>
          </cell>
          <cell r="AB2372" t="str">
            <v>line item not tagged</v>
          </cell>
        </row>
        <row r="2373">
          <cell r="W2373">
            <v>0</v>
          </cell>
          <cell r="AB2373" t="str">
            <v>line item not tagged</v>
          </cell>
        </row>
        <row r="2374">
          <cell r="W2374">
            <v>0</v>
          </cell>
          <cell r="AB2374" t="str">
            <v>line item not tagged</v>
          </cell>
        </row>
        <row r="2375">
          <cell r="W2375">
            <v>0</v>
          </cell>
          <cell r="AB2375" t="str">
            <v>line item not tagged</v>
          </cell>
        </row>
        <row r="2376">
          <cell r="W2376">
            <v>0</v>
          </cell>
          <cell r="AB2376" t="str">
            <v>line item not tagged</v>
          </cell>
        </row>
        <row r="2377">
          <cell r="W2377">
            <v>0</v>
          </cell>
          <cell r="AB2377" t="str">
            <v>line item not tagged</v>
          </cell>
        </row>
        <row r="2378">
          <cell r="W2378">
            <v>0</v>
          </cell>
          <cell r="AB2378" t="str">
            <v>line item not tagged</v>
          </cell>
        </row>
        <row r="2379">
          <cell r="W2379">
            <v>0</v>
          </cell>
          <cell r="AB2379" t="str">
            <v>line item not tagged</v>
          </cell>
        </row>
        <row r="2380">
          <cell r="W2380">
            <v>0</v>
          </cell>
          <cell r="AB2380" t="str">
            <v>line item not tagged</v>
          </cell>
        </row>
        <row r="2381">
          <cell r="W2381">
            <v>0</v>
          </cell>
          <cell r="AB2381" t="str">
            <v>line item not tagged</v>
          </cell>
        </row>
        <row r="2382">
          <cell r="W2382">
            <v>0</v>
          </cell>
          <cell r="AB2382" t="str">
            <v>line item not tagged</v>
          </cell>
        </row>
        <row r="2383">
          <cell r="W2383">
            <v>0</v>
          </cell>
          <cell r="AB2383" t="str">
            <v>line item not tagged</v>
          </cell>
        </row>
        <row r="2384">
          <cell r="W2384">
            <v>0</v>
          </cell>
          <cell r="AB2384" t="str">
            <v>line item not tagged</v>
          </cell>
        </row>
        <row r="2385">
          <cell r="W2385">
            <v>0</v>
          </cell>
          <cell r="AB2385" t="str">
            <v>line item not tagged</v>
          </cell>
        </row>
        <row r="2386">
          <cell r="W2386">
            <v>0</v>
          </cell>
          <cell r="AB2386" t="str">
            <v>line item not tagged</v>
          </cell>
        </row>
        <row r="2387">
          <cell r="W2387">
            <v>0</v>
          </cell>
          <cell r="AB2387" t="str">
            <v>line item not tagged</v>
          </cell>
        </row>
        <row r="2388">
          <cell r="W2388">
            <v>0</v>
          </cell>
          <cell r="AB2388" t="str">
            <v>line item not tagged</v>
          </cell>
        </row>
        <row r="2389">
          <cell r="W2389">
            <v>0</v>
          </cell>
          <cell r="AB2389" t="str">
            <v>line item not tagged</v>
          </cell>
        </row>
        <row r="2390">
          <cell r="W2390">
            <v>0</v>
          </cell>
          <cell r="AB2390" t="str">
            <v>line item not tagged</v>
          </cell>
        </row>
        <row r="2391">
          <cell r="W2391">
            <v>0</v>
          </cell>
          <cell r="AB2391" t="str">
            <v>line item not tagged</v>
          </cell>
        </row>
        <row r="2392">
          <cell r="W2392">
            <v>0</v>
          </cell>
          <cell r="AB2392" t="str">
            <v>line item not tagged</v>
          </cell>
        </row>
        <row r="2393">
          <cell r="W2393">
            <v>0</v>
          </cell>
          <cell r="AB2393" t="str">
            <v>line item not tagged</v>
          </cell>
        </row>
        <row r="2394">
          <cell r="W2394">
            <v>0</v>
          </cell>
          <cell r="AB2394" t="str">
            <v>line item not tagged</v>
          </cell>
        </row>
        <row r="2395">
          <cell r="W2395">
            <v>0</v>
          </cell>
          <cell r="AB2395" t="str">
            <v>line item not tagged</v>
          </cell>
        </row>
        <row r="2396">
          <cell r="W2396">
            <v>0</v>
          </cell>
          <cell r="AB2396" t="str">
            <v>line item not tagged</v>
          </cell>
        </row>
        <row r="2397">
          <cell r="W2397">
            <v>0</v>
          </cell>
          <cell r="AB2397" t="str">
            <v>line item not tagged</v>
          </cell>
        </row>
        <row r="2398">
          <cell r="W2398">
            <v>0</v>
          </cell>
          <cell r="AB2398" t="str">
            <v>line item not tagged</v>
          </cell>
        </row>
        <row r="2399">
          <cell r="W2399">
            <v>0</v>
          </cell>
          <cell r="AB2399" t="str">
            <v>line item not tagged</v>
          </cell>
        </row>
        <row r="2400">
          <cell r="W2400">
            <v>0</v>
          </cell>
          <cell r="AB2400" t="str">
            <v>line item not tagged</v>
          </cell>
        </row>
        <row r="2401">
          <cell r="W2401">
            <v>0</v>
          </cell>
          <cell r="AB2401" t="str">
            <v>line item not tagged</v>
          </cell>
        </row>
        <row r="2402">
          <cell r="W2402">
            <v>0</v>
          </cell>
          <cell r="AB2402" t="str">
            <v>line item not tagged</v>
          </cell>
        </row>
        <row r="2403">
          <cell r="W2403">
            <v>0</v>
          </cell>
          <cell r="AB2403" t="str">
            <v>line item not tagged</v>
          </cell>
        </row>
        <row r="2404">
          <cell r="W2404">
            <v>0</v>
          </cell>
          <cell r="AB2404" t="str">
            <v>line item not tagged</v>
          </cell>
        </row>
        <row r="2405">
          <cell r="W2405">
            <v>0</v>
          </cell>
          <cell r="AB2405" t="str">
            <v>line item not tagged</v>
          </cell>
        </row>
        <row r="2406">
          <cell r="W2406">
            <v>0</v>
          </cell>
          <cell r="AB2406" t="str">
            <v>line item not tagged</v>
          </cell>
        </row>
        <row r="2407">
          <cell r="W2407">
            <v>0</v>
          </cell>
          <cell r="AB2407" t="str">
            <v>line item not tagged</v>
          </cell>
        </row>
        <row r="2408">
          <cell r="W2408">
            <v>0</v>
          </cell>
          <cell r="AB2408" t="str">
            <v>line item not tagged</v>
          </cell>
        </row>
        <row r="2409">
          <cell r="W2409">
            <v>0</v>
          </cell>
          <cell r="AB2409" t="str">
            <v>line item not tagged</v>
          </cell>
        </row>
        <row r="2410">
          <cell r="W2410">
            <v>0</v>
          </cell>
          <cell r="AB2410" t="str">
            <v>line item not tagged</v>
          </cell>
        </row>
        <row r="2411">
          <cell r="W2411">
            <v>0</v>
          </cell>
          <cell r="AB2411" t="str">
            <v>line item not tagged</v>
          </cell>
        </row>
        <row r="2412">
          <cell r="W2412">
            <v>0</v>
          </cell>
          <cell r="AB2412" t="str">
            <v>line item not tagged</v>
          </cell>
        </row>
        <row r="2413">
          <cell r="W2413">
            <v>0</v>
          </cell>
          <cell r="AB2413" t="str">
            <v>line item not tagged</v>
          </cell>
        </row>
        <row r="2414">
          <cell r="W2414">
            <v>0</v>
          </cell>
          <cell r="AB2414" t="str">
            <v>line item not tagged</v>
          </cell>
        </row>
        <row r="2415">
          <cell r="W2415">
            <v>0</v>
          </cell>
          <cell r="AB2415" t="str">
            <v>line item not tagged</v>
          </cell>
        </row>
        <row r="2416">
          <cell r="W2416">
            <v>0</v>
          </cell>
          <cell r="AB2416" t="str">
            <v>line item not tagged</v>
          </cell>
        </row>
        <row r="2417">
          <cell r="W2417">
            <v>0</v>
          </cell>
          <cell r="AB2417" t="str">
            <v>line item not tagged</v>
          </cell>
        </row>
        <row r="2418">
          <cell r="W2418">
            <v>0</v>
          </cell>
          <cell r="AB2418" t="str">
            <v>line item not tagged</v>
          </cell>
        </row>
        <row r="2419">
          <cell r="W2419">
            <v>0</v>
          </cell>
          <cell r="AB2419" t="str">
            <v>line item not tagged</v>
          </cell>
        </row>
        <row r="2420">
          <cell r="W2420">
            <v>0</v>
          </cell>
          <cell r="AB2420" t="str">
            <v>line item not tagged</v>
          </cell>
        </row>
        <row r="2421">
          <cell r="W2421">
            <v>0</v>
          </cell>
          <cell r="AB2421" t="str">
            <v>line item not tagged</v>
          </cell>
        </row>
        <row r="2422">
          <cell r="W2422">
            <v>0</v>
          </cell>
          <cell r="AB2422" t="str">
            <v>line item not tagged</v>
          </cell>
        </row>
        <row r="2423">
          <cell r="W2423">
            <v>0</v>
          </cell>
          <cell r="AB2423" t="str">
            <v>line item not tagged</v>
          </cell>
        </row>
        <row r="2424">
          <cell r="W2424">
            <v>0</v>
          </cell>
          <cell r="AB2424" t="str">
            <v>line item not tagged</v>
          </cell>
        </row>
        <row r="2425">
          <cell r="W2425">
            <v>0</v>
          </cell>
          <cell r="AB2425" t="str">
            <v>line item not tagged</v>
          </cell>
        </row>
        <row r="2426">
          <cell r="W2426">
            <v>0</v>
          </cell>
          <cell r="AB2426" t="str">
            <v>line item not tagged</v>
          </cell>
        </row>
        <row r="2427">
          <cell r="W2427">
            <v>0</v>
          </cell>
          <cell r="AB2427" t="str">
            <v>line item not tagged</v>
          </cell>
        </row>
        <row r="2428">
          <cell r="W2428">
            <v>0</v>
          </cell>
          <cell r="AB2428" t="str">
            <v>line item not tagged</v>
          </cell>
        </row>
        <row r="2429">
          <cell r="W2429">
            <v>0</v>
          </cell>
          <cell r="AB2429" t="str">
            <v>line item not tagged</v>
          </cell>
        </row>
        <row r="2430">
          <cell r="W2430">
            <v>0</v>
          </cell>
          <cell r="AB2430" t="str">
            <v>line item not tagged</v>
          </cell>
        </row>
        <row r="2431">
          <cell r="W2431">
            <v>0</v>
          </cell>
          <cell r="AB2431" t="str">
            <v>line item not tagged</v>
          </cell>
        </row>
        <row r="2432">
          <cell r="W2432">
            <v>0</v>
          </cell>
          <cell r="AB2432" t="str">
            <v>line item not tagged</v>
          </cell>
        </row>
        <row r="2433">
          <cell r="W2433">
            <v>0</v>
          </cell>
          <cell r="AB2433" t="str">
            <v>line item not tagged</v>
          </cell>
        </row>
        <row r="2434">
          <cell r="W2434">
            <v>0</v>
          </cell>
          <cell r="AB2434" t="str">
            <v>line item not tagged</v>
          </cell>
        </row>
        <row r="2435">
          <cell r="W2435">
            <v>0</v>
          </cell>
          <cell r="AB2435" t="str">
            <v>line item not tagged</v>
          </cell>
        </row>
        <row r="2436">
          <cell r="W2436">
            <v>0</v>
          </cell>
          <cell r="AB2436" t="str">
            <v>line item not tagged</v>
          </cell>
        </row>
        <row r="2437">
          <cell r="W2437">
            <v>0</v>
          </cell>
          <cell r="AB2437" t="str">
            <v>line item not tagged</v>
          </cell>
        </row>
        <row r="2438">
          <cell r="W2438">
            <v>0</v>
          </cell>
          <cell r="AB2438" t="str">
            <v>line item not tagged</v>
          </cell>
        </row>
        <row r="2439">
          <cell r="W2439">
            <v>0</v>
          </cell>
          <cell r="AB2439" t="str">
            <v>line item not tagged</v>
          </cell>
        </row>
        <row r="2440">
          <cell r="W2440">
            <v>0</v>
          </cell>
          <cell r="AB2440" t="str">
            <v>line item not tagged</v>
          </cell>
        </row>
        <row r="2441">
          <cell r="W2441">
            <v>0</v>
          </cell>
          <cell r="AB2441" t="str">
            <v>line item not tagged</v>
          </cell>
        </row>
        <row r="2442">
          <cell r="W2442">
            <v>0</v>
          </cell>
          <cell r="AB2442" t="str">
            <v>line item not tagged</v>
          </cell>
        </row>
        <row r="2443">
          <cell r="W2443">
            <v>0</v>
          </cell>
          <cell r="AB2443" t="str">
            <v>line item not tagged</v>
          </cell>
        </row>
        <row r="2444">
          <cell r="W2444">
            <v>0</v>
          </cell>
          <cell r="AB2444" t="str">
            <v>line item not tagged</v>
          </cell>
        </row>
        <row r="2445">
          <cell r="W2445">
            <v>0</v>
          </cell>
          <cell r="AB2445" t="str">
            <v>line item not tagged</v>
          </cell>
        </row>
        <row r="2446">
          <cell r="W2446">
            <v>0</v>
          </cell>
          <cell r="AB2446" t="str">
            <v>line item not tagged</v>
          </cell>
        </row>
        <row r="2447">
          <cell r="W2447">
            <v>0</v>
          </cell>
          <cell r="AB2447" t="str">
            <v>line item not tagged</v>
          </cell>
        </row>
        <row r="2448">
          <cell r="W2448">
            <v>0</v>
          </cell>
          <cell r="AB2448" t="str">
            <v>line item not tagged</v>
          </cell>
        </row>
        <row r="2449">
          <cell r="W2449">
            <v>0</v>
          </cell>
          <cell r="AB2449" t="str">
            <v>line item not tagged</v>
          </cell>
        </row>
        <row r="2450">
          <cell r="W2450">
            <v>0</v>
          </cell>
          <cell r="AB2450" t="str">
            <v>line item not tagged</v>
          </cell>
        </row>
        <row r="2451">
          <cell r="W2451">
            <v>0</v>
          </cell>
          <cell r="AB2451" t="str">
            <v>line item not tagged</v>
          </cell>
        </row>
        <row r="2452">
          <cell r="W2452">
            <v>0</v>
          </cell>
          <cell r="AB2452" t="str">
            <v>line item not tagged</v>
          </cell>
        </row>
        <row r="2453">
          <cell r="W2453">
            <v>0</v>
          </cell>
          <cell r="AB2453" t="str">
            <v>line item not tagged</v>
          </cell>
        </row>
        <row r="2454">
          <cell r="W2454">
            <v>0</v>
          </cell>
          <cell r="AB2454" t="str">
            <v>line item not tagged</v>
          </cell>
        </row>
        <row r="2455">
          <cell r="W2455">
            <v>0</v>
          </cell>
          <cell r="AB2455" t="str">
            <v>line item not tagged</v>
          </cell>
        </row>
        <row r="2456">
          <cell r="W2456">
            <v>0</v>
          </cell>
          <cell r="AB2456" t="str">
            <v>line item not tagged</v>
          </cell>
        </row>
        <row r="2457">
          <cell r="W2457">
            <v>0</v>
          </cell>
          <cell r="AB2457" t="str">
            <v>line item not tagged</v>
          </cell>
        </row>
        <row r="2458">
          <cell r="W2458">
            <v>0</v>
          </cell>
          <cell r="AB2458" t="str">
            <v>line item not tagged</v>
          </cell>
        </row>
        <row r="2459">
          <cell r="W2459">
            <v>0</v>
          </cell>
          <cell r="AB2459" t="str">
            <v>line item not tagged</v>
          </cell>
        </row>
        <row r="2460">
          <cell r="W2460">
            <v>0</v>
          </cell>
          <cell r="AB2460" t="str">
            <v>line item not tagged</v>
          </cell>
        </row>
        <row r="2461">
          <cell r="W2461">
            <v>0</v>
          </cell>
          <cell r="AB2461" t="str">
            <v>line item not tagged</v>
          </cell>
        </row>
        <row r="2462">
          <cell r="W2462">
            <v>0</v>
          </cell>
          <cell r="AB2462" t="str">
            <v>line item not tagged</v>
          </cell>
        </row>
        <row r="2463">
          <cell r="W2463">
            <v>0</v>
          </cell>
          <cell r="AB2463" t="str">
            <v>line item not tagged</v>
          </cell>
        </row>
        <row r="2464">
          <cell r="W2464">
            <v>0</v>
          </cell>
          <cell r="AB2464" t="str">
            <v>line item not tagged</v>
          </cell>
        </row>
        <row r="2465">
          <cell r="W2465">
            <v>0</v>
          </cell>
          <cell r="AB2465" t="str">
            <v>line item not tagged</v>
          </cell>
        </row>
        <row r="2466">
          <cell r="W2466">
            <v>0</v>
          </cell>
          <cell r="AB2466" t="str">
            <v>line item not tagged</v>
          </cell>
        </row>
        <row r="2467">
          <cell r="W2467">
            <v>0</v>
          </cell>
          <cell r="AB2467" t="str">
            <v>line item not tagged</v>
          </cell>
        </row>
        <row r="2468">
          <cell r="W2468">
            <v>0</v>
          </cell>
          <cell r="AB2468" t="str">
            <v>line item not tagged</v>
          </cell>
        </row>
        <row r="2469">
          <cell r="W2469">
            <v>0</v>
          </cell>
          <cell r="AB2469" t="str">
            <v>line item not tagged</v>
          </cell>
        </row>
        <row r="2470">
          <cell r="W2470">
            <v>0</v>
          </cell>
          <cell r="AB2470" t="str">
            <v>line item not tagged</v>
          </cell>
        </row>
        <row r="2471">
          <cell r="W2471">
            <v>0</v>
          </cell>
          <cell r="AB2471" t="str">
            <v>line item not tagged</v>
          </cell>
        </row>
        <row r="2472">
          <cell r="W2472">
            <v>0</v>
          </cell>
          <cell r="AB2472" t="str">
            <v>line item not tagged</v>
          </cell>
        </row>
        <row r="2473">
          <cell r="W2473">
            <v>0</v>
          </cell>
          <cell r="AB2473" t="str">
            <v>line item not tagged</v>
          </cell>
        </row>
        <row r="2474">
          <cell r="W2474">
            <v>0</v>
          </cell>
          <cell r="AB2474" t="str">
            <v>line item not tagged</v>
          </cell>
        </row>
        <row r="2475">
          <cell r="W2475">
            <v>0</v>
          </cell>
          <cell r="AB2475" t="str">
            <v>line item not tagged</v>
          </cell>
        </row>
        <row r="2476">
          <cell r="W2476">
            <v>0</v>
          </cell>
          <cell r="AB2476" t="str">
            <v>line item not tagged</v>
          </cell>
        </row>
        <row r="2477">
          <cell r="W2477">
            <v>0</v>
          </cell>
          <cell r="AB2477" t="str">
            <v>line item not tagged</v>
          </cell>
        </row>
        <row r="2478">
          <cell r="W2478">
            <v>0</v>
          </cell>
          <cell r="AB2478" t="str">
            <v>line item not tagged</v>
          </cell>
        </row>
        <row r="2479">
          <cell r="W2479">
            <v>0</v>
          </cell>
          <cell r="AB2479" t="str">
            <v>line item not tagged</v>
          </cell>
        </row>
        <row r="2480">
          <cell r="W2480">
            <v>0</v>
          </cell>
          <cell r="AB2480" t="str">
            <v>line item not tagged</v>
          </cell>
        </row>
        <row r="2481">
          <cell r="W2481">
            <v>0</v>
          </cell>
          <cell r="AB2481" t="str">
            <v>line item not tagged</v>
          </cell>
        </row>
        <row r="2482">
          <cell r="W2482">
            <v>0</v>
          </cell>
          <cell r="AB2482" t="str">
            <v>line item not tagged</v>
          </cell>
        </row>
        <row r="2483">
          <cell r="W2483">
            <v>0</v>
          </cell>
          <cell r="AB2483" t="str">
            <v>line item not tagged</v>
          </cell>
        </row>
        <row r="2484">
          <cell r="W2484">
            <v>0</v>
          </cell>
          <cell r="AB2484" t="str">
            <v>line item not tagged</v>
          </cell>
        </row>
        <row r="2485">
          <cell r="W2485">
            <v>0</v>
          </cell>
          <cell r="AB2485" t="str">
            <v>line item not tagged</v>
          </cell>
        </row>
        <row r="2486">
          <cell r="W2486">
            <v>0</v>
          </cell>
          <cell r="AB2486" t="str">
            <v>line item not tagged</v>
          </cell>
        </row>
        <row r="2487">
          <cell r="W2487">
            <v>0</v>
          </cell>
          <cell r="AB2487" t="str">
            <v>line item not tagged</v>
          </cell>
        </row>
        <row r="2488">
          <cell r="W2488">
            <v>0</v>
          </cell>
          <cell r="AB2488" t="str">
            <v>line item not tagged</v>
          </cell>
        </row>
        <row r="2489">
          <cell r="W2489">
            <v>0</v>
          </cell>
          <cell r="AB2489" t="str">
            <v>line item not tagged</v>
          </cell>
        </row>
        <row r="2490">
          <cell r="W2490">
            <v>0</v>
          </cell>
          <cell r="AB2490" t="str">
            <v>line item not tagged</v>
          </cell>
        </row>
        <row r="2491">
          <cell r="W2491">
            <v>0</v>
          </cell>
          <cell r="AB2491" t="str">
            <v>line item not tagged</v>
          </cell>
        </row>
        <row r="2492">
          <cell r="W2492">
            <v>0</v>
          </cell>
          <cell r="AB2492" t="str">
            <v>line item not tagged</v>
          </cell>
        </row>
        <row r="2493">
          <cell r="W2493">
            <v>0</v>
          </cell>
          <cell r="AB2493" t="str">
            <v>line item not tagged</v>
          </cell>
        </row>
        <row r="2494">
          <cell r="W2494">
            <v>0</v>
          </cell>
          <cell r="AB2494" t="str">
            <v>line item not tagged</v>
          </cell>
        </row>
        <row r="2495">
          <cell r="W2495">
            <v>0</v>
          </cell>
          <cell r="AB2495" t="str">
            <v>line item not tagged</v>
          </cell>
        </row>
        <row r="2496">
          <cell r="W2496">
            <v>0</v>
          </cell>
          <cell r="AB2496" t="str">
            <v>line item not tagged</v>
          </cell>
        </row>
        <row r="2497">
          <cell r="W2497">
            <v>0</v>
          </cell>
          <cell r="AB2497" t="str">
            <v>line item not tagged</v>
          </cell>
        </row>
        <row r="2498">
          <cell r="W2498">
            <v>0</v>
          </cell>
          <cell r="AB2498" t="str">
            <v>line item not tagged</v>
          </cell>
        </row>
        <row r="2499">
          <cell r="W2499">
            <v>0</v>
          </cell>
          <cell r="AB2499" t="str">
            <v>line item not tagged</v>
          </cell>
        </row>
        <row r="2500">
          <cell r="W2500">
            <v>0</v>
          </cell>
          <cell r="AB2500" t="str">
            <v>line item not tagged</v>
          </cell>
        </row>
        <row r="2501">
          <cell r="W2501">
            <v>0</v>
          </cell>
          <cell r="AB2501" t="str">
            <v>line item not tagged</v>
          </cell>
        </row>
        <row r="2502">
          <cell r="W2502">
            <v>0</v>
          </cell>
          <cell r="AB2502" t="str">
            <v>line item not tagged</v>
          </cell>
        </row>
        <row r="2503">
          <cell r="W2503">
            <v>0</v>
          </cell>
          <cell r="AB2503" t="str">
            <v>line item not tagged</v>
          </cell>
        </row>
        <row r="2504">
          <cell r="W2504">
            <v>0</v>
          </cell>
          <cell r="AB2504" t="str">
            <v>line item not tagged</v>
          </cell>
        </row>
        <row r="2505">
          <cell r="W2505">
            <v>0</v>
          </cell>
          <cell r="AB2505" t="str">
            <v>line item not tagged</v>
          </cell>
        </row>
        <row r="2506">
          <cell r="W2506">
            <v>0</v>
          </cell>
          <cell r="AB2506" t="str">
            <v>line item not tagged</v>
          </cell>
        </row>
        <row r="2507">
          <cell r="W2507">
            <v>0</v>
          </cell>
          <cell r="AB2507" t="str">
            <v>line item not tagged</v>
          </cell>
        </row>
        <row r="2508">
          <cell r="W2508">
            <v>0</v>
          </cell>
          <cell r="AB2508" t="str">
            <v>line item not tagged</v>
          </cell>
        </row>
        <row r="2509">
          <cell r="W2509">
            <v>0</v>
          </cell>
          <cell r="AB2509" t="str">
            <v>line item not tagged</v>
          </cell>
        </row>
        <row r="2510">
          <cell r="W2510">
            <v>0</v>
          </cell>
          <cell r="AB2510" t="str">
            <v>line item not tagged</v>
          </cell>
        </row>
        <row r="2511">
          <cell r="W2511">
            <v>0</v>
          </cell>
          <cell r="AB2511" t="str">
            <v>line item not tagged</v>
          </cell>
        </row>
        <row r="2512">
          <cell r="W2512">
            <v>0</v>
          </cell>
          <cell r="AB2512" t="str">
            <v>line item not tagged</v>
          </cell>
        </row>
        <row r="2513">
          <cell r="W2513">
            <v>0</v>
          </cell>
          <cell r="AB2513" t="str">
            <v>line item not tagged</v>
          </cell>
        </row>
        <row r="2514">
          <cell r="W2514">
            <v>0</v>
          </cell>
          <cell r="AB2514" t="str">
            <v>line item not tagged</v>
          </cell>
        </row>
        <row r="2515">
          <cell r="W2515">
            <v>0</v>
          </cell>
          <cell r="AB2515" t="str">
            <v>line item not tagged</v>
          </cell>
        </row>
        <row r="2516">
          <cell r="W2516">
            <v>0</v>
          </cell>
          <cell r="AB2516" t="str">
            <v>line item not tagged</v>
          </cell>
        </row>
        <row r="2517">
          <cell r="W2517">
            <v>0</v>
          </cell>
          <cell r="AB2517" t="str">
            <v>line item not tagged</v>
          </cell>
        </row>
        <row r="2518">
          <cell r="W2518">
            <v>0</v>
          </cell>
          <cell r="AB2518" t="str">
            <v>line item not tagged</v>
          </cell>
        </row>
        <row r="2519">
          <cell r="W2519">
            <v>0</v>
          </cell>
          <cell r="AB2519" t="str">
            <v>line item not tagged</v>
          </cell>
        </row>
        <row r="2520">
          <cell r="W2520">
            <v>0</v>
          </cell>
          <cell r="AB2520" t="str">
            <v>line item not tagged</v>
          </cell>
        </row>
        <row r="2521">
          <cell r="W2521">
            <v>0</v>
          </cell>
          <cell r="AB2521" t="str">
            <v>line item not tagged</v>
          </cell>
        </row>
        <row r="2522">
          <cell r="W2522">
            <v>0</v>
          </cell>
          <cell r="AB2522" t="str">
            <v>line item not tagged</v>
          </cell>
        </row>
        <row r="2523">
          <cell r="W2523">
            <v>0</v>
          </cell>
          <cell r="AB2523" t="str">
            <v>line item not tagged</v>
          </cell>
        </row>
        <row r="2524">
          <cell r="W2524">
            <v>0</v>
          </cell>
          <cell r="AB2524" t="str">
            <v>line item not tagged</v>
          </cell>
        </row>
        <row r="2525">
          <cell r="W2525">
            <v>0</v>
          </cell>
          <cell r="AB2525" t="str">
            <v>line item not tagged</v>
          </cell>
        </row>
        <row r="2526">
          <cell r="W2526">
            <v>0</v>
          </cell>
          <cell r="AB2526" t="str">
            <v>line item not tagged</v>
          </cell>
        </row>
        <row r="2527">
          <cell r="W2527">
            <v>0</v>
          </cell>
          <cell r="AB2527" t="str">
            <v>line item not tagged</v>
          </cell>
        </row>
        <row r="2528">
          <cell r="W2528">
            <v>0</v>
          </cell>
          <cell r="AB2528" t="str">
            <v>line item not tagged</v>
          </cell>
        </row>
        <row r="2529">
          <cell r="W2529">
            <v>0</v>
          </cell>
          <cell r="AB2529" t="str">
            <v>line item not tagged</v>
          </cell>
        </row>
        <row r="2530">
          <cell r="W2530">
            <v>0</v>
          </cell>
          <cell r="AB2530" t="str">
            <v>line item not tagged</v>
          </cell>
        </row>
        <row r="2531">
          <cell r="W2531">
            <v>0</v>
          </cell>
          <cell r="AB2531" t="str">
            <v>line item not tagged</v>
          </cell>
        </row>
        <row r="2532">
          <cell r="W2532">
            <v>0</v>
          </cell>
          <cell r="AB2532" t="str">
            <v>line item not tagged</v>
          </cell>
        </row>
        <row r="2533">
          <cell r="W2533">
            <v>0</v>
          </cell>
          <cell r="AB2533" t="str">
            <v>line item not tagged</v>
          </cell>
        </row>
        <row r="2534">
          <cell r="W2534">
            <v>0</v>
          </cell>
          <cell r="AB2534" t="str">
            <v>line item not tagged</v>
          </cell>
        </row>
        <row r="2535">
          <cell r="W2535">
            <v>0</v>
          </cell>
          <cell r="AB2535" t="str">
            <v>line item not tagged</v>
          </cell>
        </row>
        <row r="2536">
          <cell r="W2536">
            <v>0</v>
          </cell>
          <cell r="AB2536" t="str">
            <v>line item not tagged</v>
          </cell>
        </row>
        <row r="2537">
          <cell r="W2537">
            <v>0</v>
          </cell>
          <cell r="AB2537" t="str">
            <v>line item not tagged</v>
          </cell>
        </row>
        <row r="2538">
          <cell r="W2538">
            <v>0</v>
          </cell>
          <cell r="AB2538" t="str">
            <v>line item not tagged</v>
          </cell>
        </row>
        <row r="2539">
          <cell r="W2539">
            <v>0</v>
          </cell>
          <cell r="AB2539" t="str">
            <v>line item not tagged</v>
          </cell>
        </row>
        <row r="2540">
          <cell r="W2540">
            <v>0</v>
          </cell>
          <cell r="AB2540" t="str">
            <v>line item not tagged</v>
          </cell>
        </row>
        <row r="2541">
          <cell r="W2541">
            <v>0</v>
          </cell>
          <cell r="AB2541" t="str">
            <v>line item not tagged</v>
          </cell>
        </row>
        <row r="2542">
          <cell r="W2542">
            <v>0</v>
          </cell>
          <cell r="AB2542" t="str">
            <v>line item not tagged</v>
          </cell>
        </row>
        <row r="2543">
          <cell r="W2543">
            <v>0</v>
          </cell>
          <cell r="AB2543" t="str">
            <v>line item not tagged</v>
          </cell>
        </row>
        <row r="2544">
          <cell r="W2544">
            <v>0</v>
          </cell>
          <cell r="AB2544" t="str">
            <v>line item not tagged</v>
          </cell>
        </row>
        <row r="2545">
          <cell r="W2545">
            <v>0</v>
          </cell>
          <cell r="AB2545" t="str">
            <v>line item not tagged</v>
          </cell>
        </row>
        <row r="2546">
          <cell r="W2546">
            <v>0</v>
          </cell>
          <cell r="AB2546" t="str">
            <v>line item not tagged</v>
          </cell>
        </row>
        <row r="2547">
          <cell r="W2547">
            <v>0</v>
          </cell>
          <cell r="AB2547" t="str">
            <v>line item not tagged</v>
          </cell>
        </row>
        <row r="2548">
          <cell r="W2548">
            <v>0</v>
          </cell>
          <cell r="AB2548" t="str">
            <v>line item not tagged</v>
          </cell>
        </row>
        <row r="2549">
          <cell r="W2549">
            <v>0</v>
          </cell>
          <cell r="AB2549" t="str">
            <v>line item not tagged</v>
          </cell>
        </row>
        <row r="2550">
          <cell r="W2550">
            <v>0</v>
          </cell>
          <cell r="AB2550" t="str">
            <v>line item not tagged</v>
          </cell>
        </row>
        <row r="2551">
          <cell r="W2551">
            <v>0</v>
          </cell>
          <cell r="AB2551" t="str">
            <v>line item not tagged</v>
          </cell>
        </row>
        <row r="2552">
          <cell r="W2552">
            <v>0</v>
          </cell>
          <cell r="AB2552" t="str">
            <v>line item not tagged</v>
          </cell>
        </row>
        <row r="2553">
          <cell r="W2553">
            <v>0</v>
          </cell>
          <cell r="AB2553" t="str">
            <v>line item not tagged</v>
          </cell>
        </row>
        <row r="2554">
          <cell r="W2554">
            <v>0</v>
          </cell>
          <cell r="AB2554" t="str">
            <v>line item not tagged</v>
          </cell>
        </row>
        <row r="2555">
          <cell r="W2555">
            <v>0</v>
          </cell>
          <cell r="AB2555" t="str">
            <v>line item not tagged</v>
          </cell>
        </row>
        <row r="2556">
          <cell r="W2556">
            <v>0</v>
          </cell>
          <cell r="AB2556" t="str">
            <v>line item not tagged</v>
          </cell>
        </row>
        <row r="2557">
          <cell r="W2557">
            <v>0</v>
          </cell>
          <cell r="AB2557" t="str">
            <v>line item not tagged</v>
          </cell>
        </row>
        <row r="2558">
          <cell r="W2558">
            <v>0</v>
          </cell>
          <cell r="AB2558" t="str">
            <v>line item not tagged</v>
          </cell>
        </row>
        <row r="2559">
          <cell r="W2559">
            <v>0</v>
          </cell>
          <cell r="AB2559" t="str">
            <v>line item not tagged</v>
          </cell>
        </row>
        <row r="2560">
          <cell r="W2560">
            <v>0</v>
          </cell>
          <cell r="AB2560" t="str">
            <v>line item not tagged</v>
          </cell>
        </row>
        <row r="2561">
          <cell r="W2561">
            <v>0</v>
          </cell>
          <cell r="AB2561" t="str">
            <v>line item not tagged</v>
          </cell>
        </row>
        <row r="2562">
          <cell r="W2562">
            <v>0</v>
          </cell>
          <cell r="AB2562" t="str">
            <v>line item not tagged</v>
          </cell>
        </row>
        <row r="2563">
          <cell r="W2563">
            <v>0</v>
          </cell>
          <cell r="AB2563" t="str">
            <v>line item not tagged</v>
          </cell>
        </row>
        <row r="2564">
          <cell r="W2564">
            <v>0</v>
          </cell>
          <cell r="AB2564" t="str">
            <v>line item not tagged</v>
          </cell>
        </row>
        <row r="2565">
          <cell r="W2565">
            <v>0</v>
          </cell>
          <cell r="AB2565" t="str">
            <v>line item not tagged</v>
          </cell>
        </row>
        <row r="2566">
          <cell r="W2566">
            <v>0</v>
          </cell>
          <cell r="AB2566" t="str">
            <v>line item not tagged</v>
          </cell>
        </row>
        <row r="2567">
          <cell r="W2567">
            <v>0</v>
          </cell>
          <cell r="AB2567" t="str">
            <v>line item not tagged</v>
          </cell>
        </row>
        <row r="2568">
          <cell r="W2568">
            <v>0</v>
          </cell>
          <cell r="AB2568" t="str">
            <v>line item not tagged</v>
          </cell>
        </row>
        <row r="2569">
          <cell r="W2569">
            <v>0</v>
          </cell>
          <cell r="AB2569" t="str">
            <v>line item not tagged</v>
          </cell>
        </row>
        <row r="2570">
          <cell r="W2570">
            <v>0</v>
          </cell>
          <cell r="AB2570" t="str">
            <v>line item not tagged</v>
          </cell>
        </row>
        <row r="2571">
          <cell r="W2571">
            <v>0</v>
          </cell>
          <cell r="AB2571" t="str">
            <v>line item not tagged</v>
          </cell>
        </row>
        <row r="2572">
          <cell r="W2572">
            <v>0</v>
          </cell>
          <cell r="AB2572" t="str">
            <v>line item not tagged</v>
          </cell>
        </row>
        <row r="2573">
          <cell r="W2573">
            <v>0</v>
          </cell>
          <cell r="AB2573" t="str">
            <v>line item not tagged</v>
          </cell>
        </row>
        <row r="2574">
          <cell r="W2574">
            <v>0</v>
          </cell>
          <cell r="AB2574" t="str">
            <v>line item not tagged</v>
          </cell>
        </row>
        <row r="2575">
          <cell r="W2575">
            <v>0</v>
          </cell>
          <cell r="AB2575" t="str">
            <v>line item not tagged</v>
          </cell>
        </row>
        <row r="2576">
          <cell r="W2576">
            <v>0</v>
          </cell>
          <cell r="AB2576" t="str">
            <v>line item not tagged</v>
          </cell>
        </row>
        <row r="2577">
          <cell r="W2577">
            <v>0</v>
          </cell>
          <cell r="AB2577" t="str">
            <v>line item not tagged</v>
          </cell>
        </row>
        <row r="2578">
          <cell r="W2578">
            <v>0</v>
          </cell>
          <cell r="AB2578" t="str">
            <v>line item not tagged</v>
          </cell>
        </row>
        <row r="2579">
          <cell r="W2579">
            <v>0</v>
          </cell>
          <cell r="AB2579" t="str">
            <v>line item not tagged</v>
          </cell>
        </row>
        <row r="2580">
          <cell r="W2580">
            <v>0</v>
          </cell>
          <cell r="AB2580" t="str">
            <v>line item not tagged</v>
          </cell>
        </row>
        <row r="2581">
          <cell r="W2581">
            <v>0</v>
          </cell>
          <cell r="AB2581" t="str">
            <v>line item not tagged</v>
          </cell>
        </row>
        <row r="2582">
          <cell r="W2582">
            <v>0</v>
          </cell>
          <cell r="AB2582" t="str">
            <v>line item not tagged</v>
          </cell>
        </row>
        <row r="2583">
          <cell r="W2583">
            <v>0</v>
          </cell>
          <cell r="AB2583" t="str">
            <v>line item not tagged</v>
          </cell>
        </row>
        <row r="2584">
          <cell r="W2584">
            <v>0</v>
          </cell>
          <cell r="AB2584" t="str">
            <v>line item not tagged</v>
          </cell>
        </row>
        <row r="2585">
          <cell r="W2585">
            <v>0</v>
          </cell>
          <cell r="AB2585" t="str">
            <v>line item not tagged</v>
          </cell>
        </row>
        <row r="2586">
          <cell r="W2586">
            <v>0</v>
          </cell>
          <cell r="AB2586" t="str">
            <v>line item not tagged</v>
          </cell>
        </row>
        <row r="2587">
          <cell r="W2587">
            <v>0</v>
          </cell>
          <cell r="AB2587" t="str">
            <v>line item not tagged</v>
          </cell>
        </row>
        <row r="2588">
          <cell r="W2588">
            <v>0</v>
          </cell>
          <cell r="AB2588" t="str">
            <v>line item not tagged</v>
          </cell>
        </row>
        <row r="2589">
          <cell r="W2589">
            <v>0</v>
          </cell>
          <cell r="AB2589" t="str">
            <v>line item not tagged</v>
          </cell>
        </row>
        <row r="2590">
          <cell r="W2590">
            <v>0</v>
          </cell>
          <cell r="AB2590" t="str">
            <v>line item not tagged</v>
          </cell>
        </row>
        <row r="2591">
          <cell r="W2591">
            <v>0</v>
          </cell>
          <cell r="AB2591" t="str">
            <v>line item not tagged</v>
          </cell>
        </row>
        <row r="2592">
          <cell r="W2592">
            <v>0</v>
          </cell>
          <cell r="AB2592" t="str">
            <v>line item not tagged</v>
          </cell>
        </row>
        <row r="2593">
          <cell r="W2593">
            <v>0</v>
          </cell>
          <cell r="AB2593" t="str">
            <v>line item not tagged</v>
          </cell>
        </row>
        <row r="2594">
          <cell r="W2594">
            <v>0</v>
          </cell>
          <cell r="AB2594" t="str">
            <v>line item not tagged</v>
          </cell>
        </row>
        <row r="2595">
          <cell r="W2595">
            <v>0</v>
          </cell>
          <cell r="AB2595" t="str">
            <v>line item not tagged</v>
          </cell>
        </row>
        <row r="2596">
          <cell r="W2596">
            <v>0</v>
          </cell>
          <cell r="AB2596" t="str">
            <v>line item not tagged</v>
          </cell>
        </row>
        <row r="2597">
          <cell r="W2597">
            <v>0</v>
          </cell>
          <cell r="AB2597" t="str">
            <v>line item not tagged</v>
          </cell>
        </row>
        <row r="2598">
          <cell r="W2598">
            <v>0</v>
          </cell>
          <cell r="AB2598" t="str">
            <v>line item not tagged</v>
          </cell>
        </row>
        <row r="2599">
          <cell r="W2599">
            <v>0</v>
          </cell>
          <cell r="AB2599" t="str">
            <v>line item not tagged</v>
          </cell>
        </row>
        <row r="2600">
          <cell r="W2600">
            <v>0</v>
          </cell>
          <cell r="AB2600" t="str">
            <v>line item not tagged</v>
          </cell>
        </row>
        <row r="2601">
          <cell r="W2601">
            <v>0</v>
          </cell>
          <cell r="AB2601" t="str">
            <v>line item not tagged</v>
          </cell>
        </row>
        <row r="2602">
          <cell r="W2602">
            <v>0</v>
          </cell>
          <cell r="AB2602" t="str">
            <v>line item not tagged</v>
          </cell>
        </row>
        <row r="2603">
          <cell r="W2603">
            <v>0</v>
          </cell>
          <cell r="AB2603" t="str">
            <v>line item not tagged</v>
          </cell>
        </row>
        <row r="2604">
          <cell r="W2604">
            <v>0</v>
          </cell>
          <cell r="AB2604" t="str">
            <v>line item not tagged</v>
          </cell>
        </row>
        <row r="2605">
          <cell r="W2605">
            <v>0</v>
          </cell>
          <cell r="AB2605" t="str">
            <v>line item not tagged</v>
          </cell>
        </row>
        <row r="2606">
          <cell r="W2606">
            <v>0</v>
          </cell>
          <cell r="AB2606" t="str">
            <v>line item not tagged</v>
          </cell>
        </row>
        <row r="2607">
          <cell r="W2607">
            <v>0</v>
          </cell>
          <cell r="AB2607" t="str">
            <v>line item not tagged</v>
          </cell>
        </row>
        <row r="2608">
          <cell r="W2608">
            <v>0</v>
          </cell>
          <cell r="AB2608" t="str">
            <v>line item not tagged</v>
          </cell>
        </row>
        <row r="2609">
          <cell r="W2609">
            <v>0</v>
          </cell>
          <cell r="AB2609" t="str">
            <v>line item not tagged</v>
          </cell>
        </row>
        <row r="2610">
          <cell r="W2610">
            <v>0</v>
          </cell>
          <cell r="AB2610" t="str">
            <v>line item not tagged</v>
          </cell>
        </row>
        <row r="2611">
          <cell r="W2611">
            <v>0</v>
          </cell>
          <cell r="AB2611" t="str">
            <v>line item not tagged</v>
          </cell>
        </row>
        <row r="2612">
          <cell r="W2612">
            <v>0</v>
          </cell>
          <cell r="AB2612" t="str">
            <v>line item not tagged</v>
          </cell>
        </row>
        <row r="2613">
          <cell r="W2613">
            <v>0</v>
          </cell>
          <cell r="AB2613" t="str">
            <v>line item not tagged</v>
          </cell>
        </row>
        <row r="2614">
          <cell r="W2614">
            <v>0</v>
          </cell>
          <cell r="AB2614" t="str">
            <v>line item not tagged</v>
          </cell>
        </row>
        <row r="2615">
          <cell r="W2615">
            <v>0</v>
          </cell>
          <cell r="AB2615" t="str">
            <v>line item not tagged</v>
          </cell>
        </row>
        <row r="2616">
          <cell r="W2616">
            <v>0</v>
          </cell>
          <cell r="AB2616" t="str">
            <v>line item not tagged</v>
          </cell>
        </row>
        <row r="2617">
          <cell r="W2617">
            <v>0</v>
          </cell>
          <cell r="AB2617" t="str">
            <v>line item not tagged</v>
          </cell>
        </row>
        <row r="2618">
          <cell r="W2618">
            <v>0</v>
          </cell>
          <cell r="AB2618" t="str">
            <v>line item not tagged</v>
          </cell>
        </row>
        <row r="2619">
          <cell r="W2619">
            <v>0</v>
          </cell>
          <cell r="AB2619" t="str">
            <v>line item not tagged</v>
          </cell>
        </row>
        <row r="2620">
          <cell r="W2620">
            <v>0</v>
          </cell>
          <cell r="AB2620" t="str">
            <v>line item not tagged</v>
          </cell>
        </row>
        <row r="2621">
          <cell r="W2621">
            <v>0</v>
          </cell>
          <cell r="AB2621" t="str">
            <v>line item not tagged</v>
          </cell>
        </row>
        <row r="2622">
          <cell r="W2622">
            <v>0</v>
          </cell>
          <cell r="AB2622" t="str">
            <v>line item not tagged</v>
          </cell>
        </row>
        <row r="2623">
          <cell r="W2623">
            <v>0</v>
          </cell>
          <cell r="AB2623" t="str">
            <v>line item not tagged</v>
          </cell>
        </row>
        <row r="2624">
          <cell r="W2624">
            <v>0</v>
          </cell>
          <cell r="AB2624" t="str">
            <v>line item not tagged</v>
          </cell>
        </row>
        <row r="2625">
          <cell r="W2625">
            <v>0</v>
          </cell>
          <cell r="AB2625" t="str">
            <v>line item not tagged</v>
          </cell>
        </row>
        <row r="2626">
          <cell r="W2626">
            <v>0</v>
          </cell>
          <cell r="AB2626" t="str">
            <v>line item not tagged</v>
          </cell>
        </row>
        <row r="2627">
          <cell r="W2627">
            <v>0</v>
          </cell>
          <cell r="AB2627" t="str">
            <v>line item not tagged</v>
          </cell>
        </row>
        <row r="2628">
          <cell r="W2628">
            <v>0</v>
          </cell>
          <cell r="AB2628" t="str">
            <v>line item not tagged</v>
          </cell>
        </row>
        <row r="2629">
          <cell r="W2629">
            <v>0</v>
          </cell>
          <cell r="AB2629" t="str">
            <v>line item not tagged</v>
          </cell>
        </row>
        <row r="2630">
          <cell r="W2630">
            <v>0</v>
          </cell>
          <cell r="AB2630" t="str">
            <v>line item not tagged</v>
          </cell>
        </row>
        <row r="2631">
          <cell r="W2631">
            <v>0</v>
          </cell>
          <cell r="AB2631" t="str">
            <v>line item not tagged</v>
          </cell>
        </row>
        <row r="2632">
          <cell r="W2632">
            <v>0</v>
          </cell>
          <cell r="AB2632" t="str">
            <v>line item not tagged</v>
          </cell>
        </row>
        <row r="2633">
          <cell r="W2633">
            <v>0</v>
          </cell>
          <cell r="AB2633" t="str">
            <v>line item not tagged</v>
          </cell>
        </row>
        <row r="2634">
          <cell r="W2634">
            <v>0</v>
          </cell>
          <cell r="AB2634" t="str">
            <v>line item not tagged</v>
          </cell>
        </row>
        <row r="2635">
          <cell r="W2635">
            <v>0</v>
          </cell>
          <cell r="AB2635" t="str">
            <v>line item not tagged</v>
          </cell>
        </row>
        <row r="2636">
          <cell r="W2636">
            <v>0</v>
          </cell>
          <cell r="AB2636" t="str">
            <v>line item not tagged</v>
          </cell>
        </row>
        <row r="2637">
          <cell r="W2637">
            <v>0</v>
          </cell>
          <cell r="AB2637" t="str">
            <v>line item not tagged</v>
          </cell>
        </row>
        <row r="2638">
          <cell r="W2638">
            <v>0</v>
          </cell>
          <cell r="AB2638" t="str">
            <v>line item not tagged</v>
          </cell>
        </row>
        <row r="2639">
          <cell r="W2639">
            <v>0</v>
          </cell>
          <cell r="AB2639" t="str">
            <v>line item not tagged</v>
          </cell>
        </row>
        <row r="2640">
          <cell r="W2640">
            <v>0</v>
          </cell>
          <cell r="AB2640" t="str">
            <v>line item not tagged</v>
          </cell>
        </row>
        <row r="2641">
          <cell r="W2641">
            <v>0</v>
          </cell>
          <cell r="AB2641" t="str">
            <v>line item not tagged</v>
          </cell>
        </row>
        <row r="2642">
          <cell r="W2642">
            <v>0</v>
          </cell>
          <cell r="AB2642" t="str">
            <v>line item not tagged</v>
          </cell>
        </row>
        <row r="2643">
          <cell r="W2643">
            <v>0</v>
          </cell>
          <cell r="AB2643" t="str">
            <v>line item not tagged</v>
          </cell>
        </row>
        <row r="2644">
          <cell r="W2644">
            <v>0</v>
          </cell>
          <cell r="AB2644" t="str">
            <v>line item not tagged</v>
          </cell>
        </row>
        <row r="2645">
          <cell r="W2645">
            <v>0</v>
          </cell>
          <cell r="AB2645" t="str">
            <v>line item not tagged</v>
          </cell>
        </row>
        <row r="2646">
          <cell r="W2646">
            <v>0</v>
          </cell>
          <cell r="AB2646" t="str">
            <v>line item not tagged</v>
          </cell>
        </row>
        <row r="2647">
          <cell r="W2647">
            <v>0</v>
          </cell>
          <cell r="AB2647" t="str">
            <v>line item not tagged</v>
          </cell>
        </row>
        <row r="2648">
          <cell r="W2648">
            <v>0</v>
          </cell>
          <cell r="AB2648" t="str">
            <v>line item not tagged</v>
          </cell>
        </row>
        <row r="2649">
          <cell r="W2649">
            <v>0</v>
          </cell>
          <cell r="AB2649" t="str">
            <v>line item not tagged</v>
          </cell>
        </row>
        <row r="2650">
          <cell r="W2650">
            <v>0</v>
          </cell>
          <cell r="AB2650" t="str">
            <v>line item not tagged</v>
          </cell>
        </row>
        <row r="2651">
          <cell r="W2651">
            <v>0</v>
          </cell>
          <cell r="AB2651" t="str">
            <v>line item not tagged</v>
          </cell>
        </row>
        <row r="2652">
          <cell r="W2652">
            <v>0</v>
          </cell>
          <cell r="AB2652" t="str">
            <v>line item not tagged</v>
          </cell>
        </row>
        <row r="2653">
          <cell r="W2653">
            <v>0</v>
          </cell>
          <cell r="AB2653" t="str">
            <v>line item not tagged</v>
          </cell>
        </row>
        <row r="2654">
          <cell r="W2654">
            <v>0</v>
          </cell>
          <cell r="AB2654" t="str">
            <v>line item not tagged</v>
          </cell>
        </row>
        <row r="2655">
          <cell r="W2655">
            <v>0</v>
          </cell>
          <cell r="AB2655" t="str">
            <v>line item not tagged</v>
          </cell>
        </row>
        <row r="2656">
          <cell r="W2656">
            <v>0</v>
          </cell>
          <cell r="AB2656" t="str">
            <v>line item not tagged</v>
          </cell>
        </row>
        <row r="2657">
          <cell r="W2657">
            <v>0</v>
          </cell>
          <cell r="AB2657" t="str">
            <v>line item not tagged</v>
          </cell>
        </row>
        <row r="2658">
          <cell r="W2658">
            <v>0</v>
          </cell>
          <cell r="AB2658" t="str">
            <v>line item not tagged</v>
          </cell>
        </row>
        <row r="2659">
          <cell r="W2659">
            <v>0</v>
          </cell>
          <cell r="AB2659" t="str">
            <v>line item not tagged</v>
          </cell>
        </row>
        <row r="2660">
          <cell r="W2660">
            <v>0</v>
          </cell>
          <cell r="AB2660" t="str">
            <v>line item not tagged</v>
          </cell>
        </row>
        <row r="2661">
          <cell r="W2661">
            <v>0</v>
          </cell>
          <cell r="AB2661" t="str">
            <v>line item not tagged</v>
          </cell>
        </row>
        <row r="2662">
          <cell r="W2662">
            <v>0</v>
          </cell>
          <cell r="AB2662" t="str">
            <v>line item not tagged</v>
          </cell>
        </row>
        <row r="2663">
          <cell r="W2663">
            <v>0</v>
          </cell>
          <cell r="AB2663" t="str">
            <v>line item not tagged</v>
          </cell>
        </row>
        <row r="2664">
          <cell r="W2664">
            <v>0</v>
          </cell>
          <cell r="AB2664" t="str">
            <v>line item not tagged</v>
          </cell>
        </row>
        <row r="2665">
          <cell r="W2665">
            <v>0</v>
          </cell>
          <cell r="AB2665" t="str">
            <v>line item not tagged</v>
          </cell>
        </row>
        <row r="2666">
          <cell r="W2666">
            <v>0</v>
          </cell>
          <cell r="AB2666" t="str">
            <v>line item not tagged</v>
          </cell>
        </row>
        <row r="2667">
          <cell r="W2667">
            <v>0</v>
          </cell>
          <cell r="AB2667" t="str">
            <v>line item not tagged</v>
          </cell>
        </row>
        <row r="2668">
          <cell r="W2668">
            <v>0</v>
          </cell>
          <cell r="AB2668" t="str">
            <v>line item not tagged</v>
          </cell>
        </row>
        <row r="2669">
          <cell r="W2669">
            <v>0</v>
          </cell>
          <cell r="AB2669" t="str">
            <v>line item not tagged</v>
          </cell>
        </row>
        <row r="2670">
          <cell r="W2670">
            <v>0</v>
          </cell>
          <cell r="AB2670" t="str">
            <v>line item not tagged</v>
          </cell>
        </row>
        <row r="2671">
          <cell r="W2671">
            <v>0</v>
          </cell>
          <cell r="AB2671" t="str">
            <v>line item not tagged</v>
          </cell>
        </row>
        <row r="2672">
          <cell r="W2672">
            <v>0</v>
          </cell>
          <cell r="AB2672" t="str">
            <v>line item not tagged</v>
          </cell>
        </row>
        <row r="2673">
          <cell r="W2673">
            <v>0</v>
          </cell>
          <cell r="AB2673" t="str">
            <v>line item not tagged</v>
          </cell>
        </row>
        <row r="2674">
          <cell r="W2674">
            <v>0</v>
          </cell>
          <cell r="AB2674" t="str">
            <v>line item not tagged</v>
          </cell>
        </row>
        <row r="2675">
          <cell r="W2675">
            <v>0</v>
          </cell>
          <cell r="AB2675" t="str">
            <v>line item not tagged</v>
          </cell>
        </row>
        <row r="2676">
          <cell r="W2676">
            <v>0</v>
          </cell>
          <cell r="AB2676" t="str">
            <v>line item not tagged</v>
          </cell>
        </row>
        <row r="2677">
          <cell r="W2677">
            <v>0</v>
          </cell>
          <cell r="AB2677" t="str">
            <v>line item not tagged</v>
          </cell>
        </row>
        <row r="2678">
          <cell r="W2678">
            <v>0</v>
          </cell>
          <cell r="AB2678" t="str">
            <v>line item not tagged</v>
          </cell>
        </row>
        <row r="2679">
          <cell r="W2679">
            <v>0</v>
          </cell>
          <cell r="AB2679" t="str">
            <v>line item not tagged</v>
          </cell>
        </row>
        <row r="2680">
          <cell r="W2680">
            <v>0</v>
          </cell>
          <cell r="AB2680" t="str">
            <v>line item not tagged</v>
          </cell>
        </row>
        <row r="2681">
          <cell r="W2681">
            <v>0</v>
          </cell>
          <cell r="AB2681" t="str">
            <v>line item not tagged</v>
          </cell>
        </row>
        <row r="2682">
          <cell r="W2682">
            <v>0</v>
          </cell>
          <cell r="AB2682" t="str">
            <v>line item not tagged</v>
          </cell>
        </row>
        <row r="2683">
          <cell r="W2683">
            <v>0</v>
          </cell>
          <cell r="AB2683" t="str">
            <v>line item not tagged</v>
          </cell>
        </row>
        <row r="2684">
          <cell r="W2684">
            <v>0</v>
          </cell>
          <cell r="AB2684" t="str">
            <v>line item not tagged</v>
          </cell>
        </row>
        <row r="2685">
          <cell r="W2685">
            <v>0</v>
          </cell>
          <cell r="AB2685" t="str">
            <v>line item not tagged</v>
          </cell>
        </row>
        <row r="2686">
          <cell r="W2686">
            <v>0</v>
          </cell>
          <cell r="AB2686" t="str">
            <v>line item not tagged</v>
          </cell>
        </row>
        <row r="2687">
          <cell r="W2687">
            <v>0</v>
          </cell>
          <cell r="AB2687" t="str">
            <v>line item not tagged</v>
          </cell>
        </row>
        <row r="2688">
          <cell r="W2688">
            <v>0</v>
          </cell>
          <cell r="AB2688" t="str">
            <v>line item not tagged</v>
          </cell>
        </row>
        <row r="2689">
          <cell r="W2689">
            <v>0</v>
          </cell>
          <cell r="AB2689" t="str">
            <v>line item not tagged</v>
          </cell>
        </row>
        <row r="2690">
          <cell r="W2690">
            <v>0</v>
          </cell>
          <cell r="AB2690" t="str">
            <v>line item not tagged</v>
          </cell>
        </row>
        <row r="2691">
          <cell r="W2691">
            <v>0</v>
          </cell>
          <cell r="AB2691" t="str">
            <v>line item not tagged</v>
          </cell>
        </row>
        <row r="2692">
          <cell r="W2692">
            <v>0</v>
          </cell>
          <cell r="AB2692" t="str">
            <v>line item not tagged</v>
          </cell>
        </row>
        <row r="2693">
          <cell r="W2693">
            <v>0</v>
          </cell>
          <cell r="AB2693" t="str">
            <v>line item not tagged</v>
          </cell>
        </row>
        <row r="2694">
          <cell r="W2694">
            <v>0</v>
          </cell>
          <cell r="AB2694" t="str">
            <v>line item not tagged</v>
          </cell>
        </row>
        <row r="2695">
          <cell r="W2695">
            <v>0</v>
          </cell>
          <cell r="AB2695" t="str">
            <v>line item not tagged</v>
          </cell>
        </row>
        <row r="2696">
          <cell r="W2696">
            <v>0</v>
          </cell>
          <cell r="AB2696" t="str">
            <v>line item not tagged</v>
          </cell>
        </row>
        <row r="2697">
          <cell r="W2697">
            <v>0</v>
          </cell>
          <cell r="AB2697" t="str">
            <v>line item not tagged</v>
          </cell>
        </row>
        <row r="2698">
          <cell r="W2698">
            <v>0</v>
          </cell>
          <cell r="AB2698" t="str">
            <v>line item not tagged</v>
          </cell>
        </row>
        <row r="2699">
          <cell r="W2699">
            <v>0</v>
          </cell>
          <cell r="AB2699" t="str">
            <v>line item not tagged</v>
          </cell>
        </row>
        <row r="2700">
          <cell r="W2700">
            <v>0</v>
          </cell>
          <cell r="AB2700" t="str">
            <v>line item not tagged</v>
          </cell>
        </row>
        <row r="2701">
          <cell r="W2701">
            <v>0</v>
          </cell>
          <cell r="AB2701" t="str">
            <v>line item not tagged</v>
          </cell>
        </row>
        <row r="2702">
          <cell r="W2702">
            <v>0</v>
          </cell>
          <cell r="AB2702" t="str">
            <v>line item not tagged</v>
          </cell>
        </row>
        <row r="2703">
          <cell r="W2703">
            <v>0</v>
          </cell>
          <cell r="AB2703" t="str">
            <v>line item not tagged</v>
          </cell>
        </row>
        <row r="2704">
          <cell r="W2704">
            <v>0</v>
          </cell>
          <cell r="AB2704" t="str">
            <v>line item not tagged</v>
          </cell>
        </row>
        <row r="2705">
          <cell r="W2705">
            <v>0</v>
          </cell>
          <cell r="AB2705" t="str">
            <v>line item not tagged</v>
          </cell>
        </row>
        <row r="2706">
          <cell r="W2706">
            <v>0</v>
          </cell>
          <cell r="AB2706" t="str">
            <v>line item not tagged</v>
          </cell>
        </row>
        <row r="2707">
          <cell r="W2707">
            <v>0</v>
          </cell>
          <cell r="AB2707" t="str">
            <v>line item not tagged</v>
          </cell>
        </row>
        <row r="2708">
          <cell r="W2708">
            <v>0</v>
          </cell>
          <cell r="AB2708" t="str">
            <v>line item not tagged</v>
          </cell>
        </row>
        <row r="2709">
          <cell r="W2709">
            <v>0</v>
          </cell>
          <cell r="AB2709" t="str">
            <v>line item not tagged</v>
          </cell>
        </row>
        <row r="2710">
          <cell r="W2710">
            <v>0</v>
          </cell>
          <cell r="AB2710" t="str">
            <v>line item not tagged</v>
          </cell>
        </row>
        <row r="2711">
          <cell r="W2711">
            <v>0</v>
          </cell>
          <cell r="AB2711" t="str">
            <v>line item not tagged</v>
          </cell>
        </row>
        <row r="2712">
          <cell r="W2712">
            <v>0</v>
          </cell>
          <cell r="AB2712" t="str">
            <v>line item not tagged</v>
          </cell>
        </row>
        <row r="2713">
          <cell r="W2713">
            <v>0</v>
          </cell>
          <cell r="AB2713" t="str">
            <v>line item not tagged</v>
          </cell>
        </row>
        <row r="2714">
          <cell r="W2714">
            <v>0</v>
          </cell>
          <cell r="AB2714" t="str">
            <v>line item not tagged</v>
          </cell>
        </row>
        <row r="2715">
          <cell r="W2715">
            <v>0</v>
          </cell>
          <cell r="AB2715" t="str">
            <v>line item not tagged</v>
          </cell>
        </row>
        <row r="2716">
          <cell r="W2716">
            <v>0</v>
          </cell>
          <cell r="AB2716" t="str">
            <v>line item not tagged</v>
          </cell>
        </row>
        <row r="2717">
          <cell r="W2717">
            <v>0</v>
          </cell>
          <cell r="AB2717" t="str">
            <v>line item not tagged</v>
          </cell>
        </row>
        <row r="2718">
          <cell r="W2718">
            <v>0</v>
          </cell>
          <cell r="AB2718" t="str">
            <v>line item not tagged</v>
          </cell>
        </row>
        <row r="2719">
          <cell r="W2719">
            <v>0</v>
          </cell>
          <cell r="AB2719" t="str">
            <v>line item not tagged</v>
          </cell>
        </row>
        <row r="2720">
          <cell r="W2720">
            <v>0</v>
          </cell>
          <cell r="AB2720" t="str">
            <v>line item not tagged</v>
          </cell>
        </row>
        <row r="2721">
          <cell r="W2721">
            <v>0</v>
          </cell>
          <cell r="AB2721" t="str">
            <v>line item not tagged</v>
          </cell>
        </row>
        <row r="2722">
          <cell r="W2722">
            <v>0</v>
          </cell>
          <cell r="AB2722" t="str">
            <v>line item not tagged</v>
          </cell>
        </row>
        <row r="2723">
          <cell r="W2723">
            <v>0</v>
          </cell>
          <cell r="AB2723" t="str">
            <v>line item not tagged</v>
          </cell>
        </row>
        <row r="2724">
          <cell r="W2724">
            <v>0</v>
          </cell>
          <cell r="AB2724" t="str">
            <v>line item not tagged</v>
          </cell>
        </row>
        <row r="2725">
          <cell r="W2725">
            <v>0</v>
          </cell>
          <cell r="AB2725" t="str">
            <v>line item not tagged</v>
          </cell>
        </row>
        <row r="2726">
          <cell r="W2726">
            <v>0</v>
          </cell>
          <cell r="AB2726" t="str">
            <v>line item not tagged</v>
          </cell>
        </row>
        <row r="2727">
          <cell r="W2727">
            <v>0</v>
          </cell>
          <cell r="AB2727" t="str">
            <v>line item not tagged</v>
          </cell>
        </row>
        <row r="2728">
          <cell r="W2728">
            <v>0</v>
          </cell>
          <cell r="AB2728" t="str">
            <v>line item not tagged</v>
          </cell>
        </row>
        <row r="2729">
          <cell r="W2729">
            <v>0</v>
          </cell>
          <cell r="AB2729" t="str">
            <v>line item not tagged</v>
          </cell>
        </row>
        <row r="2730">
          <cell r="W2730">
            <v>0</v>
          </cell>
          <cell r="AB2730" t="str">
            <v>line item not tagged</v>
          </cell>
        </row>
        <row r="2731">
          <cell r="W2731">
            <v>0</v>
          </cell>
          <cell r="AB2731" t="str">
            <v>line item not tagged</v>
          </cell>
        </row>
        <row r="2732">
          <cell r="W2732">
            <v>0</v>
          </cell>
          <cell r="AB2732" t="str">
            <v>line item not tagged</v>
          </cell>
        </row>
        <row r="2733">
          <cell r="W2733">
            <v>0</v>
          </cell>
          <cell r="AB2733" t="str">
            <v>line item not tagged</v>
          </cell>
        </row>
        <row r="2734">
          <cell r="W2734">
            <v>0</v>
          </cell>
          <cell r="AB2734" t="str">
            <v>line item not tagged</v>
          </cell>
        </row>
        <row r="2735">
          <cell r="W2735">
            <v>0</v>
          </cell>
          <cell r="AB2735" t="str">
            <v>line item not tagged</v>
          </cell>
        </row>
        <row r="2736">
          <cell r="W2736">
            <v>0</v>
          </cell>
          <cell r="AB2736" t="str">
            <v>line item not tagged</v>
          </cell>
        </row>
        <row r="2737">
          <cell r="W2737">
            <v>0</v>
          </cell>
          <cell r="AB2737" t="str">
            <v>line item not tagged</v>
          </cell>
        </row>
        <row r="2738">
          <cell r="W2738">
            <v>0</v>
          </cell>
          <cell r="AB2738" t="str">
            <v>line item not tagged</v>
          </cell>
        </row>
        <row r="2739">
          <cell r="W2739">
            <v>0</v>
          </cell>
          <cell r="AB2739" t="str">
            <v>line item not tagged</v>
          </cell>
        </row>
        <row r="2740">
          <cell r="W2740">
            <v>0</v>
          </cell>
          <cell r="AB2740" t="str">
            <v>line item not tagged</v>
          </cell>
        </row>
        <row r="2741">
          <cell r="W2741">
            <v>0</v>
          </cell>
          <cell r="AB2741" t="str">
            <v>line item not tagged</v>
          </cell>
        </row>
        <row r="2742">
          <cell r="W2742">
            <v>0</v>
          </cell>
          <cell r="AB2742" t="str">
            <v>line item not tagged</v>
          </cell>
        </row>
        <row r="2743">
          <cell r="W2743">
            <v>0</v>
          </cell>
          <cell r="AB2743" t="str">
            <v>line item not tagged</v>
          </cell>
        </row>
        <row r="2744">
          <cell r="W2744">
            <v>0</v>
          </cell>
          <cell r="AB2744" t="str">
            <v>line item not tagged</v>
          </cell>
        </row>
        <row r="2745">
          <cell r="W2745">
            <v>0</v>
          </cell>
          <cell r="AB2745" t="str">
            <v>line item not tagged</v>
          </cell>
        </row>
        <row r="2746">
          <cell r="W2746">
            <v>0</v>
          </cell>
          <cell r="AB2746" t="str">
            <v>line item not tagged</v>
          </cell>
        </row>
        <row r="2747">
          <cell r="W2747">
            <v>0</v>
          </cell>
          <cell r="AB2747" t="str">
            <v>line item not tagged</v>
          </cell>
        </row>
        <row r="2748">
          <cell r="W2748">
            <v>0</v>
          </cell>
          <cell r="AB2748" t="str">
            <v>line item not tagged</v>
          </cell>
        </row>
        <row r="2749">
          <cell r="W2749">
            <v>0</v>
          </cell>
          <cell r="AB2749" t="str">
            <v>line item not tagged</v>
          </cell>
        </row>
        <row r="2750">
          <cell r="W2750">
            <v>0</v>
          </cell>
          <cell r="AB2750" t="str">
            <v>line item not tagged</v>
          </cell>
        </row>
        <row r="2751">
          <cell r="W2751">
            <v>0</v>
          </cell>
          <cell r="AB2751" t="str">
            <v>line item not tagged</v>
          </cell>
        </row>
        <row r="2752">
          <cell r="W2752">
            <v>0</v>
          </cell>
          <cell r="AB2752" t="str">
            <v>line item not tagged</v>
          </cell>
        </row>
        <row r="2753">
          <cell r="W2753">
            <v>0</v>
          </cell>
          <cell r="AB2753" t="str">
            <v>line item not tagged</v>
          </cell>
        </row>
        <row r="2754">
          <cell r="W2754">
            <v>0</v>
          </cell>
          <cell r="AB2754" t="str">
            <v>line item not tagged</v>
          </cell>
        </row>
        <row r="2755">
          <cell r="W2755">
            <v>0</v>
          </cell>
          <cell r="AB2755" t="str">
            <v>line item not tagged</v>
          </cell>
        </row>
        <row r="2756">
          <cell r="W2756">
            <v>0</v>
          </cell>
          <cell r="AB2756" t="str">
            <v>line item not tagged</v>
          </cell>
        </row>
        <row r="2757">
          <cell r="W2757">
            <v>0</v>
          </cell>
          <cell r="AB2757" t="str">
            <v>line item not tagged</v>
          </cell>
        </row>
        <row r="2758">
          <cell r="W2758">
            <v>0</v>
          </cell>
          <cell r="AB2758" t="str">
            <v>line item not tagged</v>
          </cell>
        </row>
        <row r="2759">
          <cell r="W2759">
            <v>0</v>
          </cell>
          <cell r="AB2759" t="str">
            <v>line item not tagged</v>
          </cell>
        </row>
        <row r="2760">
          <cell r="W2760">
            <v>0</v>
          </cell>
          <cell r="AB2760" t="str">
            <v>line item not tagged</v>
          </cell>
        </row>
        <row r="2761">
          <cell r="W2761">
            <v>0</v>
          </cell>
          <cell r="AB2761" t="str">
            <v>line item not tagged</v>
          </cell>
        </row>
        <row r="2762">
          <cell r="W2762">
            <v>0</v>
          </cell>
          <cell r="AB2762" t="str">
            <v>line item not tagged</v>
          </cell>
        </row>
        <row r="2763">
          <cell r="W2763">
            <v>0</v>
          </cell>
          <cell r="AB2763" t="str">
            <v>line item not tagged</v>
          </cell>
        </row>
        <row r="2764">
          <cell r="W2764">
            <v>0</v>
          </cell>
          <cell r="AB2764" t="str">
            <v>line item not tagged</v>
          </cell>
        </row>
        <row r="2765">
          <cell r="W2765">
            <v>0</v>
          </cell>
          <cell r="AB2765" t="str">
            <v>line item not tagged</v>
          </cell>
        </row>
        <row r="2766">
          <cell r="W2766">
            <v>0</v>
          </cell>
          <cell r="AB2766" t="str">
            <v>line item not tagged</v>
          </cell>
        </row>
        <row r="2767">
          <cell r="W2767">
            <v>0</v>
          </cell>
          <cell r="AB2767" t="str">
            <v>line item not tagged</v>
          </cell>
        </row>
        <row r="2768">
          <cell r="W2768">
            <v>0</v>
          </cell>
          <cell r="AB2768" t="str">
            <v>line item not tagged</v>
          </cell>
        </row>
        <row r="2769">
          <cell r="W2769">
            <v>0</v>
          </cell>
          <cell r="AB2769" t="str">
            <v>line item not tagged</v>
          </cell>
        </row>
        <row r="2770">
          <cell r="W2770">
            <v>0</v>
          </cell>
          <cell r="AB2770" t="str">
            <v>line item not tagged</v>
          </cell>
        </row>
        <row r="2771">
          <cell r="W2771">
            <v>0</v>
          </cell>
          <cell r="AB2771" t="str">
            <v>line item not tagged</v>
          </cell>
        </row>
        <row r="2772">
          <cell r="W2772">
            <v>0</v>
          </cell>
          <cell r="AB2772" t="str">
            <v>line item not tagged</v>
          </cell>
        </row>
        <row r="2773">
          <cell r="W2773">
            <v>0</v>
          </cell>
          <cell r="AB2773" t="str">
            <v>line item not tagged</v>
          </cell>
        </row>
        <row r="2774">
          <cell r="W2774">
            <v>0</v>
          </cell>
          <cell r="AB2774" t="str">
            <v>line item not tagged</v>
          </cell>
        </row>
        <row r="2775">
          <cell r="W2775">
            <v>0</v>
          </cell>
          <cell r="AB2775" t="str">
            <v>line item not tagged</v>
          </cell>
        </row>
        <row r="2776">
          <cell r="W2776">
            <v>0</v>
          </cell>
          <cell r="AB2776" t="str">
            <v>line item not tagged</v>
          </cell>
        </row>
        <row r="2777">
          <cell r="W2777">
            <v>0</v>
          </cell>
          <cell r="AB2777" t="str">
            <v>line item not tagged</v>
          </cell>
        </row>
        <row r="2778">
          <cell r="W2778">
            <v>0</v>
          </cell>
          <cell r="AB2778" t="str">
            <v>line item not tagged</v>
          </cell>
        </row>
        <row r="2779">
          <cell r="W2779">
            <v>0</v>
          </cell>
          <cell r="AB2779" t="str">
            <v>line item not tagged</v>
          </cell>
        </row>
        <row r="2780">
          <cell r="W2780">
            <v>0</v>
          </cell>
          <cell r="AB2780" t="str">
            <v>line item not tagged</v>
          </cell>
        </row>
        <row r="2781">
          <cell r="W2781">
            <v>0</v>
          </cell>
          <cell r="AB2781" t="str">
            <v>line item not tagged</v>
          </cell>
        </row>
        <row r="2782">
          <cell r="W2782">
            <v>0</v>
          </cell>
          <cell r="AB2782" t="str">
            <v>line item not tagged</v>
          </cell>
        </row>
        <row r="2783">
          <cell r="W2783">
            <v>0</v>
          </cell>
          <cell r="AB2783" t="str">
            <v>line item not tagged</v>
          </cell>
        </row>
        <row r="2784">
          <cell r="W2784">
            <v>0</v>
          </cell>
          <cell r="AB2784" t="str">
            <v>line item not tagged</v>
          </cell>
        </row>
        <row r="2785">
          <cell r="W2785">
            <v>0</v>
          </cell>
          <cell r="AB2785" t="str">
            <v>line item not tagged</v>
          </cell>
        </row>
        <row r="2786">
          <cell r="W2786">
            <v>0</v>
          </cell>
          <cell r="AB2786" t="str">
            <v>line item not tagged</v>
          </cell>
        </row>
        <row r="2787">
          <cell r="W2787">
            <v>0</v>
          </cell>
          <cell r="AB2787" t="str">
            <v>line item not tagged</v>
          </cell>
        </row>
        <row r="2788">
          <cell r="W2788">
            <v>0</v>
          </cell>
          <cell r="AB2788" t="str">
            <v>line item not tagged</v>
          </cell>
        </row>
        <row r="2789">
          <cell r="W2789">
            <v>0</v>
          </cell>
          <cell r="AB2789" t="str">
            <v>line item not tagged</v>
          </cell>
        </row>
        <row r="2790">
          <cell r="W2790">
            <v>0</v>
          </cell>
          <cell r="AB2790" t="str">
            <v>line item not tagged</v>
          </cell>
        </row>
        <row r="2791">
          <cell r="W2791">
            <v>0</v>
          </cell>
          <cell r="AB2791" t="str">
            <v>line item not tagged</v>
          </cell>
        </row>
        <row r="2792">
          <cell r="W2792">
            <v>0</v>
          </cell>
          <cell r="AB2792" t="str">
            <v>line item not tagged</v>
          </cell>
        </row>
        <row r="2793">
          <cell r="W2793">
            <v>0</v>
          </cell>
          <cell r="AB2793" t="str">
            <v>line item not tagged</v>
          </cell>
        </row>
        <row r="2794">
          <cell r="W2794">
            <v>0</v>
          </cell>
          <cell r="AB2794" t="str">
            <v>line item not tagged</v>
          </cell>
        </row>
        <row r="2795">
          <cell r="W2795">
            <v>0</v>
          </cell>
          <cell r="AB2795" t="str">
            <v>line item not tagged</v>
          </cell>
        </row>
        <row r="2796">
          <cell r="W2796">
            <v>0</v>
          </cell>
          <cell r="AB2796" t="str">
            <v>line item not tagged</v>
          </cell>
        </row>
        <row r="2797">
          <cell r="W2797">
            <v>0</v>
          </cell>
          <cell r="AB2797" t="str">
            <v>line item not tagged</v>
          </cell>
        </row>
        <row r="2798">
          <cell r="W2798">
            <v>0</v>
          </cell>
          <cell r="AB2798" t="str">
            <v>line item not tagged</v>
          </cell>
        </row>
        <row r="2799">
          <cell r="W2799">
            <v>0</v>
          </cell>
          <cell r="AB2799" t="str">
            <v>line item not tagged</v>
          </cell>
        </row>
        <row r="2800">
          <cell r="W2800">
            <v>0</v>
          </cell>
          <cell r="AB2800" t="str">
            <v>line item not tagged</v>
          </cell>
        </row>
        <row r="2801">
          <cell r="W2801">
            <v>0</v>
          </cell>
          <cell r="AB2801" t="str">
            <v>line item not tagged</v>
          </cell>
        </row>
        <row r="2802">
          <cell r="W2802">
            <v>0</v>
          </cell>
          <cell r="AB2802" t="str">
            <v>line item not tagged</v>
          </cell>
        </row>
        <row r="2803">
          <cell r="W2803">
            <v>0</v>
          </cell>
          <cell r="AB2803" t="str">
            <v>line item not tagged</v>
          </cell>
        </row>
        <row r="2804">
          <cell r="W2804">
            <v>0</v>
          </cell>
          <cell r="AB2804" t="str">
            <v>line item not tagged</v>
          </cell>
        </row>
        <row r="2805">
          <cell r="W2805">
            <v>0</v>
          </cell>
          <cell r="AB2805" t="str">
            <v>line item not tagged</v>
          </cell>
        </row>
        <row r="2806">
          <cell r="W2806">
            <v>0</v>
          </cell>
          <cell r="AB2806" t="str">
            <v>line item not tagged</v>
          </cell>
        </row>
        <row r="2807">
          <cell r="W2807">
            <v>0</v>
          </cell>
          <cell r="AB2807" t="str">
            <v>line item not tagged</v>
          </cell>
        </row>
        <row r="2808">
          <cell r="W2808">
            <v>0</v>
          </cell>
          <cell r="AB2808" t="str">
            <v>line item not tagged</v>
          </cell>
        </row>
        <row r="2809">
          <cell r="W2809">
            <v>0</v>
          </cell>
          <cell r="AB2809" t="str">
            <v>line item not tagged</v>
          </cell>
        </row>
        <row r="2810">
          <cell r="W2810">
            <v>0</v>
          </cell>
          <cell r="AB2810" t="str">
            <v>line item not tagged</v>
          </cell>
        </row>
        <row r="2811">
          <cell r="W2811">
            <v>0</v>
          </cell>
          <cell r="AB2811" t="str">
            <v>line item not tagged</v>
          </cell>
        </row>
        <row r="2812">
          <cell r="W2812">
            <v>0</v>
          </cell>
          <cell r="AB2812" t="str">
            <v>line item not tagged</v>
          </cell>
        </row>
        <row r="2813">
          <cell r="W2813">
            <v>0</v>
          </cell>
          <cell r="AB2813" t="str">
            <v>line item not tagged</v>
          </cell>
        </row>
        <row r="2814">
          <cell r="W2814">
            <v>0</v>
          </cell>
          <cell r="AB2814" t="str">
            <v>line item not tagged</v>
          </cell>
        </row>
        <row r="2815">
          <cell r="W2815">
            <v>0</v>
          </cell>
          <cell r="AB2815" t="str">
            <v>line item not tagged</v>
          </cell>
        </row>
        <row r="2816">
          <cell r="W2816">
            <v>0</v>
          </cell>
          <cell r="AB2816" t="str">
            <v>line item not tagged</v>
          </cell>
        </row>
        <row r="2817">
          <cell r="W2817">
            <v>0</v>
          </cell>
          <cell r="AB2817" t="str">
            <v>line item not tagged</v>
          </cell>
        </row>
        <row r="2818">
          <cell r="W2818">
            <v>0</v>
          </cell>
          <cell r="AB2818" t="str">
            <v>line item not tagged</v>
          </cell>
        </row>
        <row r="2819">
          <cell r="W2819">
            <v>0</v>
          </cell>
          <cell r="AB2819" t="str">
            <v>line item not tagged</v>
          </cell>
        </row>
        <row r="2820">
          <cell r="W2820">
            <v>0</v>
          </cell>
          <cell r="AB2820" t="str">
            <v>line item not tagged</v>
          </cell>
        </row>
        <row r="2821">
          <cell r="W2821">
            <v>0</v>
          </cell>
          <cell r="AB2821" t="str">
            <v>line item not tagged</v>
          </cell>
        </row>
        <row r="2822">
          <cell r="W2822">
            <v>0</v>
          </cell>
          <cell r="AB2822" t="str">
            <v>line item not tagged</v>
          </cell>
        </row>
        <row r="2823">
          <cell r="W2823">
            <v>0</v>
          </cell>
          <cell r="AB2823" t="str">
            <v>line item not tagged</v>
          </cell>
        </row>
        <row r="2824">
          <cell r="W2824">
            <v>0</v>
          </cell>
          <cell r="AB2824" t="str">
            <v>line item not tagged</v>
          </cell>
        </row>
        <row r="2825">
          <cell r="W2825">
            <v>0</v>
          </cell>
          <cell r="AB2825" t="str">
            <v>line item not tagged</v>
          </cell>
        </row>
        <row r="2826">
          <cell r="W2826">
            <v>0</v>
          </cell>
          <cell r="AB2826" t="str">
            <v>line item not tagged</v>
          </cell>
        </row>
        <row r="2827">
          <cell r="W2827">
            <v>0</v>
          </cell>
          <cell r="AB2827" t="str">
            <v>line item not tagged</v>
          </cell>
        </row>
        <row r="2828">
          <cell r="W2828">
            <v>0</v>
          </cell>
          <cell r="AB2828" t="str">
            <v>line item not tagged</v>
          </cell>
        </row>
        <row r="2829">
          <cell r="W2829">
            <v>0</v>
          </cell>
          <cell r="AB2829" t="str">
            <v>line item not tagged</v>
          </cell>
        </row>
        <row r="2830">
          <cell r="W2830">
            <v>0</v>
          </cell>
          <cell r="AB2830" t="str">
            <v>line item not tagged</v>
          </cell>
        </row>
        <row r="2831">
          <cell r="W2831">
            <v>0</v>
          </cell>
          <cell r="AB2831" t="str">
            <v>line item not tagged</v>
          </cell>
        </row>
        <row r="2832">
          <cell r="W2832">
            <v>0</v>
          </cell>
          <cell r="AB2832" t="str">
            <v>line item not tagged</v>
          </cell>
        </row>
        <row r="2833">
          <cell r="W2833">
            <v>0</v>
          </cell>
          <cell r="AB2833" t="str">
            <v>line item not tagged</v>
          </cell>
        </row>
        <row r="2834">
          <cell r="W2834">
            <v>0</v>
          </cell>
          <cell r="AB2834" t="str">
            <v>line item not tagged</v>
          </cell>
        </row>
        <row r="2835">
          <cell r="W2835">
            <v>0</v>
          </cell>
          <cell r="AB2835" t="str">
            <v>line item not tagged</v>
          </cell>
        </row>
        <row r="2836">
          <cell r="W2836">
            <v>0</v>
          </cell>
          <cell r="AB2836" t="str">
            <v>line item not tagged</v>
          </cell>
        </row>
        <row r="2837">
          <cell r="W2837">
            <v>0</v>
          </cell>
          <cell r="AB2837" t="str">
            <v>line item not tagged</v>
          </cell>
        </row>
        <row r="2838">
          <cell r="W2838">
            <v>0</v>
          </cell>
          <cell r="AB2838" t="str">
            <v>line item not tagged</v>
          </cell>
        </row>
        <row r="2839">
          <cell r="W2839">
            <v>0</v>
          </cell>
          <cell r="AB2839" t="str">
            <v>line item not tagged</v>
          </cell>
        </row>
        <row r="2840">
          <cell r="W2840">
            <v>0</v>
          </cell>
          <cell r="AB2840" t="str">
            <v>line item not tagged</v>
          </cell>
        </row>
        <row r="2841">
          <cell r="W2841">
            <v>0</v>
          </cell>
          <cell r="AB2841" t="str">
            <v>line item not tagged</v>
          </cell>
        </row>
        <row r="2842">
          <cell r="W2842">
            <v>0</v>
          </cell>
          <cell r="AB2842" t="str">
            <v>line item not tagged</v>
          </cell>
        </row>
        <row r="2843">
          <cell r="W2843">
            <v>0</v>
          </cell>
          <cell r="AB2843" t="str">
            <v>line item not tagged</v>
          </cell>
        </row>
        <row r="2844">
          <cell r="W2844">
            <v>0</v>
          </cell>
          <cell r="AB2844" t="str">
            <v>line item not tagged</v>
          </cell>
        </row>
        <row r="2845">
          <cell r="W2845">
            <v>0</v>
          </cell>
          <cell r="AB2845" t="str">
            <v>line item not tagged</v>
          </cell>
        </row>
        <row r="2846">
          <cell r="W2846">
            <v>0</v>
          </cell>
          <cell r="AB2846" t="str">
            <v>line item not tagged</v>
          </cell>
        </row>
        <row r="2847">
          <cell r="W2847">
            <v>0</v>
          </cell>
          <cell r="AB2847" t="str">
            <v>line item not tagged</v>
          </cell>
        </row>
        <row r="2848">
          <cell r="W2848">
            <v>0</v>
          </cell>
          <cell r="AB2848" t="str">
            <v>line item not tagged</v>
          </cell>
        </row>
        <row r="2849">
          <cell r="W2849">
            <v>0</v>
          </cell>
          <cell r="AB2849" t="str">
            <v>line item not tagged</v>
          </cell>
        </row>
        <row r="2850">
          <cell r="W2850">
            <v>0</v>
          </cell>
          <cell r="AB2850" t="str">
            <v>line item not tagged</v>
          </cell>
        </row>
        <row r="2851">
          <cell r="W2851">
            <v>0</v>
          </cell>
          <cell r="AB2851" t="str">
            <v>line item not tagged</v>
          </cell>
        </row>
        <row r="2852">
          <cell r="W2852">
            <v>0</v>
          </cell>
          <cell r="AB2852" t="str">
            <v>line item not tagged</v>
          </cell>
        </row>
        <row r="2853">
          <cell r="W2853">
            <v>0</v>
          </cell>
          <cell r="AB2853" t="str">
            <v>line item not tagged</v>
          </cell>
        </row>
        <row r="2854">
          <cell r="W2854">
            <v>0</v>
          </cell>
          <cell r="AB2854" t="str">
            <v>line item not tagged</v>
          </cell>
        </row>
        <row r="2855">
          <cell r="W2855">
            <v>0</v>
          </cell>
          <cell r="AB2855" t="str">
            <v>line item not tagged</v>
          </cell>
        </row>
        <row r="2856">
          <cell r="W2856">
            <v>0</v>
          </cell>
          <cell r="AB2856" t="str">
            <v>line item not tagged</v>
          </cell>
        </row>
        <row r="2857">
          <cell r="W2857">
            <v>0</v>
          </cell>
          <cell r="AB2857" t="str">
            <v>line item not tagged</v>
          </cell>
        </row>
        <row r="2858">
          <cell r="W2858">
            <v>0</v>
          </cell>
          <cell r="AB2858" t="str">
            <v>line item not tagged</v>
          </cell>
        </row>
        <row r="2859">
          <cell r="W2859">
            <v>0</v>
          </cell>
          <cell r="AB2859" t="str">
            <v>line item not tagged</v>
          </cell>
        </row>
        <row r="2860">
          <cell r="W2860">
            <v>0</v>
          </cell>
          <cell r="AB2860" t="str">
            <v>line item not tagged</v>
          </cell>
        </row>
        <row r="2861">
          <cell r="W2861">
            <v>0</v>
          </cell>
          <cell r="AB2861" t="str">
            <v>line item not tagged</v>
          </cell>
        </row>
        <row r="2862">
          <cell r="W2862">
            <v>0</v>
          </cell>
          <cell r="AB2862" t="str">
            <v>line item not tagged</v>
          </cell>
        </row>
        <row r="2863">
          <cell r="W2863">
            <v>0</v>
          </cell>
          <cell r="AB2863" t="str">
            <v>line item not tagged</v>
          </cell>
        </row>
        <row r="2864">
          <cell r="W2864">
            <v>0</v>
          </cell>
          <cell r="AB2864" t="str">
            <v>line item not tagged</v>
          </cell>
        </row>
        <row r="2865">
          <cell r="W2865">
            <v>0</v>
          </cell>
          <cell r="AB2865" t="str">
            <v>line item not tagged</v>
          </cell>
        </row>
        <row r="2866">
          <cell r="W2866">
            <v>0</v>
          </cell>
          <cell r="AB2866" t="str">
            <v>line item not tagged</v>
          </cell>
        </row>
        <row r="2867">
          <cell r="W2867">
            <v>0</v>
          </cell>
          <cell r="AB2867" t="str">
            <v>line item not tagged</v>
          </cell>
        </row>
        <row r="2868">
          <cell r="W2868">
            <v>0</v>
          </cell>
          <cell r="AB2868" t="str">
            <v>line item not tagged</v>
          </cell>
        </row>
        <row r="2869">
          <cell r="W2869">
            <v>0</v>
          </cell>
          <cell r="AB2869" t="str">
            <v>line item not tagged</v>
          </cell>
        </row>
        <row r="2870">
          <cell r="W2870">
            <v>0</v>
          </cell>
          <cell r="AB2870" t="str">
            <v>line item not tagged</v>
          </cell>
        </row>
        <row r="2871">
          <cell r="W2871">
            <v>0</v>
          </cell>
          <cell r="AB2871" t="str">
            <v>line item not tagged</v>
          </cell>
        </row>
        <row r="2872">
          <cell r="W2872">
            <v>0</v>
          </cell>
          <cell r="AB2872" t="str">
            <v>line item not tagged</v>
          </cell>
        </row>
        <row r="2873">
          <cell r="W2873">
            <v>0</v>
          </cell>
          <cell r="AB2873" t="str">
            <v>line item not tagged</v>
          </cell>
        </row>
        <row r="2874">
          <cell r="W2874">
            <v>0</v>
          </cell>
          <cell r="AB2874" t="str">
            <v>line item not tagged</v>
          </cell>
        </row>
        <row r="2875">
          <cell r="W2875">
            <v>0</v>
          </cell>
          <cell r="AB2875" t="str">
            <v>line item not tagged</v>
          </cell>
        </row>
        <row r="2876">
          <cell r="W2876">
            <v>0</v>
          </cell>
          <cell r="AB2876" t="str">
            <v>line item not tagged</v>
          </cell>
        </row>
        <row r="2877">
          <cell r="W2877">
            <v>0</v>
          </cell>
          <cell r="AB2877" t="str">
            <v>line item not tagged</v>
          </cell>
        </row>
        <row r="2878">
          <cell r="W2878">
            <v>0</v>
          </cell>
          <cell r="AB2878" t="str">
            <v>line item not tagged</v>
          </cell>
        </row>
        <row r="2879">
          <cell r="W2879">
            <v>0</v>
          </cell>
          <cell r="AB2879" t="str">
            <v>line item not tagged</v>
          </cell>
        </row>
        <row r="2880">
          <cell r="W2880">
            <v>0</v>
          </cell>
          <cell r="AB2880" t="str">
            <v>line item not tagged</v>
          </cell>
        </row>
        <row r="2881">
          <cell r="W2881">
            <v>0</v>
          </cell>
          <cell r="AB2881" t="str">
            <v>line item not tagged</v>
          </cell>
        </row>
        <row r="2882">
          <cell r="W2882">
            <v>0</v>
          </cell>
          <cell r="AB2882" t="str">
            <v>line item not tagged</v>
          </cell>
        </row>
        <row r="2883">
          <cell r="W2883">
            <v>0</v>
          </cell>
          <cell r="AB2883" t="str">
            <v>line item not tagged</v>
          </cell>
        </row>
        <row r="2884">
          <cell r="W2884">
            <v>0</v>
          </cell>
          <cell r="AB2884" t="str">
            <v>line item not tagged</v>
          </cell>
        </row>
        <row r="2885">
          <cell r="W2885">
            <v>0</v>
          </cell>
          <cell r="AB2885" t="str">
            <v>line item not tagged</v>
          </cell>
        </row>
        <row r="2886">
          <cell r="W2886">
            <v>0</v>
          </cell>
          <cell r="AB2886" t="str">
            <v>line item not tagged</v>
          </cell>
        </row>
        <row r="2887">
          <cell r="W2887">
            <v>0</v>
          </cell>
          <cell r="AB2887" t="str">
            <v>line item not tagged</v>
          </cell>
        </row>
        <row r="2888">
          <cell r="W2888">
            <v>0</v>
          </cell>
          <cell r="AB2888" t="str">
            <v>line item not tagged</v>
          </cell>
        </row>
        <row r="2889">
          <cell r="W2889">
            <v>0</v>
          </cell>
          <cell r="AB2889" t="str">
            <v>line item not tagged</v>
          </cell>
        </row>
        <row r="2890">
          <cell r="W2890">
            <v>0</v>
          </cell>
          <cell r="AB2890" t="str">
            <v>line item not tagged</v>
          </cell>
        </row>
        <row r="2891">
          <cell r="W2891">
            <v>0</v>
          </cell>
          <cell r="AB2891" t="str">
            <v>line item not tagged</v>
          </cell>
        </row>
        <row r="2892">
          <cell r="W2892">
            <v>0</v>
          </cell>
          <cell r="AB2892" t="str">
            <v>line item not tagged</v>
          </cell>
        </row>
        <row r="2893">
          <cell r="W2893">
            <v>0</v>
          </cell>
          <cell r="AB2893" t="str">
            <v>line item not tagged</v>
          </cell>
        </row>
        <row r="2894">
          <cell r="W2894">
            <v>0</v>
          </cell>
          <cell r="AB2894" t="str">
            <v>line item not tagged</v>
          </cell>
        </row>
        <row r="2895">
          <cell r="W2895">
            <v>0</v>
          </cell>
          <cell r="AB2895" t="str">
            <v>line item not tagged</v>
          </cell>
        </row>
        <row r="2896">
          <cell r="W2896">
            <v>0</v>
          </cell>
          <cell r="AB2896" t="str">
            <v>line item not tagged</v>
          </cell>
        </row>
        <row r="2897">
          <cell r="W2897">
            <v>0</v>
          </cell>
          <cell r="AB2897" t="str">
            <v>line item not tagged</v>
          </cell>
        </row>
        <row r="2898">
          <cell r="W2898">
            <v>0</v>
          </cell>
          <cell r="AB2898" t="str">
            <v>line item not tagged</v>
          </cell>
        </row>
        <row r="2899">
          <cell r="W2899">
            <v>0</v>
          </cell>
          <cell r="AB2899" t="str">
            <v>line item not tagged</v>
          </cell>
        </row>
        <row r="2900">
          <cell r="W2900">
            <v>0</v>
          </cell>
          <cell r="AB2900" t="str">
            <v>line item not tagged</v>
          </cell>
        </row>
        <row r="2901">
          <cell r="W2901">
            <v>0</v>
          </cell>
          <cell r="AB2901" t="str">
            <v>line item not tagged</v>
          </cell>
        </row>
        <row r="2902">
          <cell r="W2902">
            <v>0</v>
          </cell>
          <cell r="AB2902" t="str">
            <v>line item not tagged</v>
          </cell>
        </row>
        <row r="2903">
          <cell r="W2903">
            <v>0</v>
          </cell>
          <cell r="AB2903" t="str">
            <v>line item not tagged</v>
          </cell>
        </row>
        <row r="2904">
          <cell r="W2904">
            <v>0</v>
          </cell>
          <cell r="AB2904" t="str">
            <v>line item not tagged</v>
          </cell>
        </row>
        <row r="2905">
          <cell r="W2905">
            <v>0</v>
          </cell>
          <cell r="AB2905" t="str">
            <v>line item not tagged</v>
          </cell>
        </row>
        <row r="2906">
          <cell r="W2906">
            <v>0</v>
          </cell>
          <cell r="AB2906" t="str">
            <v>line item not tagged</v>
          </cell>
        </row>
        <row r="2907">
          <cell r="W2907">
            <v>0</v>
          </cell>
          <cell r="AB2907" t="str">
            <v>line item not tagged</v>
          </cell>
        </row>
        <row r="2908">
          <cell r="W2908">
            <v>0</v>
          </cell>
          <cell r="AB2908" t="str">
            <v>line item not tagged</v>
          </cell>
        </row>
        <row r="2909">
          <cell r="W2909">
            <v>0</v>
          </cell>
          <cell r="AB2909" t="str">
            <v>line item not tagged</v>
          </cell>
        </row>
        <row r="2910">
          <cell r="W2910">
            <v>0</v>
          </cell>
          <cell r="AB2910" t="str">
            <v>line item not tagged</v>
          </cell>
        </row>
        <row r="2911">
          <cell r="W2911">
            <v>0</v>
          </cell>
          <cell r="AB2911" t="str">
            <v>line item not tagged</v>
          </cell>
        </row>
        <row r="2912">
          <cell r="W2912">
            <v>0</v>
          </cell>
          <cell r="AB2912" t="str">
            <v>line item not tagged</v>
          </cell>
        </row>
        <row r="2913">
          <cell r="W2913">
            <v>0</v>
          </cell>
          <cell r="AB2913" t="str">
            <v>line item not tagged</v>
          </cell>
        </row>
        <row r="2914">
          <cell r="W2914">
            <v>0</v>
          </cell>
          <cell r="AB2914" t="str">
            <v>line item not tagged</v>
          </cell>
        </row>
        <row r="2915">
          <cell r="W2915">
            <v>0</v>
          </cell>
          <cell r="AB2915" t="str">
            <v>line item not tagged</v>
          </cell>
        </row>
        <row r="2916">
          <cell r="W2916">
            <v>0</v>
          </cell>
          <cell r="AB2916" t="str">
            <v>line item not tagged</v>
          </cell>
        </row>
        <row r="2917">
          <cell r="W2917">
            <v>0</v>
          </cell>
          <cell r="AB2917" t="str">
            <v>line item not tagged</v>
          </cell>
        </row>
        <row r="2918">
          <cell r="W2918">
            <v>0</v>
          </cell>
          <cell r="AB2918" t="str">
            <v>line item not tagged</v>
          </cell>
        </row>
        <row r="2919">
          <cell r="W2919">
            <v>0</v>
          </cell>
          <cell r="AB2919" t="str">
            <v>line item not tagged</v>
          </cell>
        </row>
        <row r="2920">
          <cell r="W2920">
            <v>0</v>
          </cell>
          <cell r="AB2920" t="str">
            <v>line item not tagged</v>
          </cell>
        </row>
        <row r="2921">
          <cell r="W2921">
            <v>0</v>
          </cell>
          <cell r="AB2921" t="str">
            <v>line item not tagged</v>
          </cell>
        </row>
        <row r="2922">
          <cell r="W2922">
            <v>0</v>
          </cell>
          <cell r="AB2922" t="str">
            <v>line item not tagged</v>
          </cell>
        </row>
        <row r="2923">
          <cell r="W2923">
            <v>0</v>
          </cell>
          <cell r="AB2923" t="str">
            <v>line item not tagged</v>
          </cell>
        </row>
        <row r="2924">
          <cell r="W2924">
            <v>0</v>
          </cell>
          <cell r="AB2924" t="str">
            <v>line item not tagged</v>
          </cell>
        </row>
        <row r="2925">
          <cell r="W2925">
            <v>0</v>
          </cell>
          <cell r="AB2925" t="str">
            <v>line item not tagged</v>
          </cell>
        </row>
        <row r="2926">
          <cell r="W2926">
            <v>0</v>
          </cell>
          <cell r="AB2926" t="str">
            <v>line item not tagged</v>
          </cell>
        </row>
        <row r="2927">
          <cell r="W2927">
            <v>0</v>
          </cell>
          <cell r="AB2927" t="str">
            <v>line item not tagged</v>
          </cell>
        </row>
        <row r="2928">
          <cell r="W2928">
            <v>0</v>
          </cell>
          <cell r="AB2928" t="str">
            <v>line item not tagged</v>
          </cell>
        </row>
        <row r="2929">
          <cell r="W2929">
            <v>0</v>
          </cell>
          <cell r="AB2929" t="str">
            <v>line item not tagged</v>
          </cell>
        </row>
        <row r="2930">
          <cell r="W2930">
            <v>0</v>
          </cell>
          <cell r="AB2930" t="str">
            <v>line item not tagged</v>
          </cell>
        </row>
        <row r="2931">
          <cell r="W2931">
            <v>0</v>
          </cell>
          <cell r="AB2931" t="str">
            <v>line item not tagged</v>
          </cell>
        </row>
        <row r="2932">
          <cell r="W2932">
            <v>0</v>
          </cell>
          <cell r="AB2932" t="str">
            <v>line item not tagged</v>
          </cell>
        </row>
        <row r="2933">
          <cell r="W2933">
            <v>0</v>
          </cell>
          <cell r="AB2933" t="str">
            <v>line item not tagged</v>
          </cell>
        </row>
        <row r="2934">
          <cell r="W2934">
            <v>0</v>
          </cell>
          <cell r="AB2934" t="str">
            <v>line item not tagged</v>
          </cell>
        </row>
        <row r="2935">
          <cell r="W2935">
            <v>0</v>
          </cell>
          <cell r="AB2935" t="str">
            <v>line item not tagged</v>
          </cell>
        </row>
        <row r="2936">
          <cell r="W2936">
            <v>0</v>
          </cell>
          <cell r="AB2936" t="str">
            <v>line item not tagged</v>
          </cell>
        </row>
        <row r="2937">
          <cell r="W2937">
            <v>0</v>
          </cell>
          <cell r="AB2937" t="str">
            <v>line item not tagged</v>
          </cell>
        </row>
        <row r="2938">
          <cell r="W2938">
            <v>0</v>
          </cell>
          <cell r="AB2938" t="str">
            <v>line item not tagged</v>
          </cell>
        </row>
        <row r="2939">
          <cell r="W2939">
            <v>0</v>
          </cell>
          <cell r="AB2939" t="str">
            <v>line item not tagged</v>
          </cell>
        </row>
        <row r="2940">
          <cell r="W2940">
            <v>0</v>
          </cell>
          <cell r="AB2940" t="str">
            <v>line item not tagged</v>
          </cell>
        </row>
        <row r="2941">
          <cell r="W2941">
            <v>0</v>
          </cell>
          <cell r="AB2941" t="str">
            <v>line item not tagged</v>
          </cell>
        </row>
        <row r="2942">
          <cell r="W2942">
            <v>0</v>
          </cell>
          <cell r="AB2942" t="str">
            <v>line item not tagged</v>
          </cell>
        </row>
        <row r="2943">
          <cell r="W2943">
            <v>0</v>
          </cell>
          <cell r="AB2943" t="str">
            <v>line item not tagged</v>
          </cell>
        </row>
        <row r="2944">
          <cell r="W2944">
            <v>0</v>
          </cell>
          <cell r="AB2944" t="str">
            <v>line item not tagged</v>
          </cell>
        </row>
        <row r="2945">
          <cell r="W2945">
            <v>0</v>
          </cell>
          <cell r="AB2945" t="str">
            <v>line item not tagged</v>
          </cell>
        </row>
        <row r="2946">
          <cell r="W2946">
            <v>0</v>
          </cell>
          <cell r="AB2946" t="str">
            <v>line item not tagged</v>
          </cell>
        </row>
        <row r="2947">
          <cell r="W2947">
            <v>0</v>
          </cell>
          <cell r="AB2947" t="str">
            <v>line item not tagged</v>
          </cell>
        </row>
        <row r="2948">
          <cell r="W2948">
            <v>0</v>
          </cell>
          <cell r="AB2948" t="str">
            <v>line item not tagged</v>
          </cell>
        </row>
        <row r="2949">
          <cell r="W2949">
            <v>0</v>
          </cell>
          <cell r="AB2949" t="str">
            <v>line item not tagged</v>
          </cell>
        </row>
        <row r="2950">
          <cell r="W2950">
            <v>0</v>
          </cell>
          <cell r="AB2950" t="str">
            <v>line item not tagged</v>
          </cell>
        </row>
        <row r="2951">
          <cell r="W2951">
            <v>0</v>
          </cell>
          <cell r="AB2951" t="str">
            <v>line item not tagged</v>
          </cell>
        </row>
        <row r="2952">
          <cell r="W2952">
            <v>0</v>
          </cell>
          <cell r="AB2952" t="str">
            <v>line item not tagged</v>
          </cell>
        </row>
        <row r="2953">
          <cell r="W2953">
            <v>0</v>
          </cell>
          <cell r="AB2953" t="str">
            <v>line item not tagged</v>
          </cell>
        </row>
        <row r="2954">
          <cell r="W2954">
            <v>0</v>
          </cell>
          <cell r="AB2954" t="str">
            <v>line item not tagged</v>
          </cell>
        </row>
        <row r="2955">
          <cell r="W2955">
            <v>0</v>
          </cell>
          <cell r="AB2955" t="str">
            <v>line item not tagged</v>
          </cell>
        </row>
        <row r="2956">
          <cell r="W2956">
            <v>0</v>
          </cell>
          <cell r="AB2956" t="str">
            <v>line item not tagged</v>
          </cell>
        </row>
        <row r="2957">
          <cell r="W2957">
            <v>0</v>
          </cell>
          <cell r="AB2957" t="str">
            <v>line item not tagged</v>
          </cell>
        </row>
        <row r="2958">
          <cell r="W2958">
            <v>0</v>
          </cell>
          <cell r="AB2958" t="str">
            <v>line item not tagged</v>
          </cell>
        </row>
        <row r="2959">
          <cell r="W2959">
            <v>0</v>
          </cell>
          <cell r="AB2959" t="str">
            <v>line item not tagged</v>
          </cell>
        </row>
        <row r="2960">
          <cell r="W2960">
            <v>0</v>
          </cell>
          <cell r="AB2960" t="str">
            <v>line item not tagged</v>
          </cell>
        </row>
        <row r="2961">
          <cell r="W2961">
            <v>0</v>
          </cell>
          <cell r="AB2961" t="str">
            <v>line item not tagged</v>
          </cell>
        </row>
        <row r="2962">
          <cell r="W2962">
            <v>0</v>
          </cell>
          <cell r="AB2962" t="str">
            <v>line item not tagged</v>
          </cell>
        </row>
        <row r="2963">
          <cell r="W2963">
            <v>0</v>
          </cell>
          <cell r="AB2963" t="str">
            <v>line item not tagged</v>
          </cell>
        </row>
        <row r="2964">
          <cell r="W2964">
            <v>0</v>
          </cell>
          <cell r="AB2964" t="str">
            <v>line item not tagged</v>
          </cell>
        </row>
        <row r="2965">
          <cell r="W2965">
            <v>0</v>
          </cell>
          <cell r="AB2965" t="str">
            <v>line item not tagged</v>
          </cell>
        </row>
        <row r="2966">
          <cell r="W2966">
            <v>0</v>
          </cell>
          <cell r="AB2966" t="str">
            <v>line item not tagged</v>
          </cell>
        </row>
        <row r="2967">
          <cell r="W2967">
            <v>0</v>
          </cell>
          <cell r="AB2967" t="str">
            <v>line item not tagged</v>
          </cell>
        </row>
        <row r="2968">
          <cell r="W2968">
            <v>0</v>
          </cell>
          <cell r="AB2968" t="str">
            <v>line item not tagged</v>
          </cell>
        </row>
        <row r="2969">
          <cell r="W2969">
            <v>0</v>
          </cell>
          <cell r="AB2969" t="str">
            <v>line item not tagged</v>
          </cell>
        </row>
        <row r="2970">
          <cell r="W2970">
            <v>0</v>
          </cell>
          <cell r="AB2970" t="str">
            <v>line item not tagged</v>
          </cell>
        </row>
        <row r="2971">
          <cell r="W2971">
            <v>0</v>
          </cell>
          <cell r="AB2971" t="str">
            <v>line item not tagged</v>
          </cell>
        </row>
        <row r="2972">
          <cell r="W2972">
            <v>0</v>
          </cell>
          <cell r="AB2972" t="str">
            <v>line item not tagged</v>
          </cell>
        </row>
        <row r="2973">
          <cell r="W2973">
            <v>0</v>
          </cell>
          <cell r="AB2973" t="str">
            <v>line item not tagged</v>
          </cell>
        </row>
        <row r="2974">
          <cell r="W2974">
            <v>0</v>
          </cell>
          <cell r="AB2974" t="str">
            <v>line item not tagged</v>
          </cell>
        </row>
        <row r="2975">
          <cell r="W2975">
            <v>0</v>
          </cell>
          <cell r="AB2975" t="str">
            <v>line item not tagged</v>
          </cell>
        </row>
        <row r="2976">
          <cell r="W2976">
            <v>0</v>
          </cell>
          <cell r="AB2976" t="str">
            <v>line item not tagged</v>
          </cell>
        </row>
        <row r="2977">
          <cell r="W2977">
            <v>0</v>
          </cell>
          <cell r="AB2977" t="str">
            <v>line item not tagged</v>
          </cell>
        </row>
        <row r="2978">
          <cell r="W2978">
            <v>0</v>
          </cell>
          <cell r="AB2978" t="str">
            <v>line item not tagged</v>
          </cell>
        </row>
        <row r="2979">
          <cell r="W2979">
            <v>0</v>
          </cell>
          <cell r="AB2979" t="str">
            <v>line item not tagged</v>
          </cell>
        </row>
        <row r="2980">
          <cell r="W2980">
            <v>0</v>
          </cell>
          <cell r="AB2980" t="str">
            <v>line item not tagged</v>
          </cell>
        </row>
        <row r="2981">
          <cell r="W2981">
            <v>0</v>
          </cell>
          <cell r="AB2981" t="str">
            <v>line item not tagged</v>
          </cell>
        </row>
        <row r="2982">
          <cell r="W2982">
            <v>0</v>
          </cell>
          <cell r="AB2982" t="str">
            <v>line item not tagged</v>
          </cell>
        </row>
        <row r="2983">
          <cell r="W2983">
            <v>0</v>
          </cell>
          <cell r="AB2983" t="str">
            <v>line item not tagged</v>
          </cell>
        </row>
        <row r="2984">
          <cell r="W2984">
            <v>0</v>
          </cell>
          <cell r="AB2984" t="str">
            <v>line item not tagged</v>
          </cell>
        </row>
        <row r="2985">
          <cell r="W2985">
            <v>0</v>
          </cell>
          <cell r="AB2985" t="str">
            <v>line item not tagged</v>
          </cell>
        </row>
        <row r="2986">
          <cell r="W2986">
            <v>0</v>
          </cell>
          <cell r="AB2986" t="str">
            <v>line item not tagged</v>
          </cell>
        </row>
        <row r="2987">
          <cell r="W2987">
            <v>0</v>
          </cell>
          <cell r="AB2987" t="str">
            <v>line item not tagged</v>
          </cell>
        </row>
        <row r="2988">
          <cell r="W2988">
            <v>0</v>
          </cell>
          <cell r="AB2988" t="str">
            <v>line item not tagged</v>
          </cell>
        </row>
        <row r="2989">
          <cell r="W2989">
            <v>0</v>
          </cell>
          <cell r="AB2989" t="str">
            <v>line item not tagged</v>
          </cell>
        </row>
        <row r="2990">
          <cell r="W2990">
            <v>0</v>
          </cell>
          <cell r="AB2990" t="str">
            <v>line item not tagged</v>
          </cell>
        </row>
        <row r="2991">
          <cell r="W2991">
            <v>0</v>
          </cell>
          <cell r="AB2991" t="str">
            <v>line item not tagged</v>
          </cell>
        </row>
        <row r="2992">
          <cell r="W2992">
            <v>0</v>
          </cell>
          <cell r="AB2992" t="str">
            <v>line item not tagged</v>
          </cell>
        </row>
        <row r="2993">
          <cell r="W2993">
            <v>0</v>
          </cell>
          <cell r="AB2993" t="str">
            <v>line item not tagged</v>
          </cell>
        </row>
        <row r="2994">
          <cell r="W2994">
            <v>0</v>
          </cell>
          <cell r="AB2994" t="str">
            <v>line item not tagged</v>
          </cell>
        </row>
        <row r="2995">
          <cell r="W2995">
            <v>0</v>
          </cell>
          <cell r="AB2995" t="str">
            <v>line item not tagged</v>
          </cell>
        </row>
        <row r="2996">
          <cell r="W2996">
            <v>0</v>
          </cell>
          <cell r="AB2996" t="str">
            <v>line item not tagged</v>
          </cell>
        </row>
        <row r="2997">
          <cell r="W2997">
            <v>0</v>
          </cell>
          <cell r="AB2997" t="str">
            <v>line item not tagged</v>
          </cell>
        </row>
        <row r="2998">
          <cell r="W2998">
            <v>0</v>
          </cell>
          <cell r="AB2998" t="str">
            <v>line item not tagged</v>
          </cell>
        </row>
        <row r="2999">
          <cell r="W2999">
            <v>0</v>
          </cell>
          <cell r="AB2999" t="str">
            <v>line item not tagged</v>
          </cell>
        </row>
        <row r="3000">
          <cell r="W3000">
            <v>0</v>
          </cell>
          <cell r="AB3000" t="str">
            <v>line item not tagged</v>
          </cell>
        </row>
        <row r="3001">
          <cell r="W3001">
            <v>0</v>
          </cell>
          <cell r="AB3001" t="str">
            <v>line item not tagged</v>
          </cell>
        </row>
        <row r="3002">
          <cell r="W3002">
            <v>0</v>
          </cell>
          <cell r="AB3002" t="str">
            <v>line item not tagged</v>
          </cell>
        </row>
        <row r="3003">
          <cell r="W3003">
            <v>0</v>
          </cell>
          <cell r="AB3003" t="str">
            <v>line item not tagged</v>
          </cell>
        </row>
        <row r="3004">
          <cell r="W3004">
            <v>0</v>
          </cell>
          <cell r="AB3004" t="str">
            <v>line item not tagged</v>
          </cell>
        </row>
        <row r="3005">
          <cell r="W3005">
            <v>0</v>
          </cell>
          <cell r="AB3005" t="str">
            <v>line item not tagged</v>
          </cell>
        </row>
        <row r="3006">
          <cell r="W3006">
            <v>0</v>
          </cell>
          <cell r="AB3006" t="str">
            <v>line item not tagged</v>
          </cell>
        </row>
        <row r="3007">
          <cell r="W3007">
            <v>0</v>
          </cell>
          <cell r="AB3007" t="str">
            <v>line item not tagged</v>
          </cell>
        </row>
        <row r="3008">
          <cell r="W3008">
            <v>0</v>
          </cell>
          <cell r="AB3008" t="str">
            <v>line item not tagged</v>
          </cell>
        </row>
        <row r="3009">
          <cell r="W3009">
            <v>0</v>
          </cell>
          <cell r="AB3009" t="str">
            <v>line item not tagged</v>
          </cell>
        </row>
        <row r="3010">
          <cell r="W3010">
            <v>0</v>
          </cell>
          <cell r="AB3010" t="str">
            <v>line item not tagged</v>
          </cell>
        </row>
        <row r="3011">
          <cell r="W3011">
            <v>0</v>
          </cell>
          <cell r="AB3011" t="str">
            <v>line item not tagged</v>
          </cell>
        </row>
        <row r="3012">
          <cell r="W3012">
            <v>0</v>
          </cell>
          <cell r="AB3012" t="str">
            <v>line item not tagged</v>
          </cell>
        </row>
        <row r="3013">
          <cell r="W3013">
            <v>0</v>
          </cell>
          <cell r="AB3013" t="str">
            <v>line item not tagged</v>
          </cell>
        </row>
        <row r="3014">
          <cell r="W3014">
            <v>0</v>
          </cell>
          <cell r="AB3014" t="str">
            <v>line item not tagged</v>
          </cell>
        </row>
        <row r="3015">
          <cell r="W3015">
            <v>0</v>
          </cell>
          <cell r="AB3015" t="str">
            <v>line item not tagged</v>
          </cell>
        </row>
        <row r="3016">
          <cell r="W3016">
            <v>0</v>
          </cell>
          <cell r="AB3016" t="str">
            <v>line item not tagged</v>
          </cell>
        </row>
        <row r="3017">
          <cell r="W3017">
            <v>0</v>
          </cell>
          <cell r="AB3017" t="str">
            <v>line item not tagged</v>
          </cell>
        </row>
        <row r="3018">
          <cell r="W3018">
            <v>0</v>
          </cell>
          <cell r="AB3018" t="str">
            <v>line item not tagged</v>
          </cell>
        </row>
        <row r="3019">
          <cell r="W3019">
            <v>0</v>
          </cell>
          <cell r="AB3019" t="str">
            <v>line item not tagged</v>
          </cell>
        </row>
        <row r="3020">
          <cell r="W3020">
            <v>0</v>
          </cell>
          <cell r="AB3020" t="str">
            <v>line item not tagged</v>
          </cell>
        </row>
        <row r="3021">
          <cell r="W3021">
            <v>0</v>
          </cell>
          <cell r="AB3021" t="str">
            <v>line item not tagged</v>
          </cell>
        </row>
        <row r="3022">
          <cell r="W3022">
            <v>0</v>
          </cell>
          <cell r="AB3022" t="str">
            <v>line item not tagged</v>
          </cell>
        </row>
        <row r="3023">
          <cell r="W3023">
            <v>0</v>
          </cell>
          <cell r="AB3023" t="str">
            <v>line item not tagged</v>
          </cell>
        </row>
        <row r="3024">
          <cell r="W3024">
            <v>0</v>
          </cell>
          <cell r="AB3024" t="str">
            <v>line item not tagged</v>
          </cell>
        </row>
        <row r="3025">
          <cell r="W3025">
            <v>0</v>
          </cell>
          <cell r="AB3025" t="str">
            <v>line item not tagged</v>
          </cell>
        </row>
        <row r="3026">
          <cell r="W3026">
            <v>0</v>
          </cell>
          <cell r="AB3026" t="str">
            <v>line item not tagged</v>
          </cell>
        </row>
        <row r="3027">
          <cell r="W3027">
            <v>0</v>
          </cell>
          <cell r="AB3027" t="str">
            <v>line item not tagged</v>
          </cell>
        </row>
        <row r="3028">
          <cell r="W3028">
            <v>0</v>
          </cell>
          <cell r="AB3028" t="str">
            <v>line item not tagged</v>
          </cell>
        </row>
        <row r="3029">
          <cell r="W3029">
            <v>0</v>
          </cell>
          <cell r="AB3029" t="str">
            <v>line item not tagged</v>
          </cell>
        </row>
        <row r="3030">
          <cell r="W3030">
            <v>0</v>
          </cell>
          <cell r="AB3030" t="str">
            <v>line item not tagged</v>
          </cell>
        </row>
        <row r="3031">
          <cell r="W3031">
            <v>0</v>
          </cell>
          <cell r="AB3031" t="str">
            <v>line item not tagged</v>
          </cell>
        </row>
        <row r="3032">
          <cell r="W3032">
            <v>0</v>
          </cell>
          <cell r="AB3032" t="str">
            <v>line item not tagged</v>
          </cell>
        </row>
        <row r="3033">
          <cell r="W3033">
            <v>0</v>
          </cell>
          <cell r="AB3033" t="str">
            <v>line item not tagged</v>
          </cell>
        </row>
        <row r="3034">
          <cell r="W3034">
            <v>0</v>
          </cell>
          <cell r="AB3034" t="str">
            <v>line item not tagged</v>
          </cell>
        </row>
        <row r="3035">
          <cell r="W3035">
            <v>0</v>
          </cell>
          <cell r="AB3035" t="str">
            <v>line item not tagged</v>
          </cell>
        </row>
        <row r="3036">
          <cell r="W3036">
            <v>0</v>
          </cell>
          <cell r="AB3036" t="str">
            <v>line item not tagged</v>
          </cell>
        </row>
        <row r="3037">
          <cell r="W3037">
            <v>0</v>
          </cell>
          <cell r="AB3037" t="str">
            <v>line item not tagged</v>
          </cell>
        </row>
        <row r="3038">
          <cell r="W3038">
            <v>0</v>
          </cell>
          <cell r="AB3038" t="str">
            <v>line item not tagged</v>
          </cell>
        </row>
        <row r="3039">
          <cell r="W3039">
            <v>0</v>
          </cell>
          <cell r="AB3039" t="str">
            <v>line item not tagged</v>
          </cell>
        </row>
        <row r="3040">
          <cell r="W3040">
            <v>0</v>
          </cell>
          <cell r="AB3040" t="str">
            <v>line item not tagged</v>
          </cell>
        </row>
        <row r="3041">
          <cell r="W3041">
            <v>0</v>
          </cell>
          <cell r="AB3041" t="str">
            <v>line item not tagged</v>
          </cell>
        </row>
        <row r="3042">
          <cell r="W3042">
            <v>0</v>
          </cell>
          <cell r="AB3042" t="str">
            <v>line item not tagged</v>
          </cell>
        </row>
        <row r="3043">
          <cell r="W3043">
            <v>0</v>
          </cell>
          <cell r="AB3043" t="str">
            <v>line item not tagged</v>
          </cell>
        </row>
        <row r="3044">
          <cell r="W3044">
            <v>0</v>
          </cell>
          <cell r="AB3044" t="str">
            <v>line item not tagged</v>
          </cell>
        </row>
        <row r="3045">
          <cell r="W3045">
            <v>0</v>
          </cell>
          <cell r="AB3045" t="str">
            <v>line item not tagged</v>
          </cell>
        </row>
        <row r="3046">
          <cell r="W3046">
            <v>0</v>
          </cell>
          <cell r="AB3046" t="str">
            <v>line item not tagged</v>
          </cell>
        </row>
        <row r="3047">
          <cell r="W3047">
            <v>0</v>
          </cell>
          <cell r="AB3047" t="str">
            <v>line item not tagged</v>
          </cell>
        </row>
        <row r="3048">
          <cell r="W3048">
            <v>0</v>
          </cell>
          <cell r="AB3048" t="str">
            <v>line item not tagged</v>
          </cell>
        </row>
        <row r="3049">
          <cell r="W3049">
            <v>0</v>
          </cell>
          <cell r="AB3049" t="str">
            <v>line item not tagged</v>
          </cell>
        </row>
        <row r="3050">
          <cell r="W3050">
            <v>0</v>
          </cell>
          <cell r="AB3050" t="str">
            <v>line item not tagged</v>
          </cell>
        </row>
        <row r="3051">
          <cell r="W3051">
            <v>0</v>
          </cell>
          <cell r="AB3051" t="str">
            <v>line item not tagged</v>
          </cell>
        </row>
        <row r="3052">
          <cell r="W3052">
            <v>0</v>
          </cell>
          <cell r="AB3052" t="str">
            <v>line item not tagged</v>
          </cell>
        </row>
        <row r="3053">
          <cell r="W3053">
            <v>0</v>
          </cell>
          <cell r="AB3053" t="str">
            <v>line item not tagged</v>
          </cell>
        </row>
        <row r="3054">
          <cell r="W3054">
            <v>0</v>
          </cell>
          <cell r="AB3054" t="str">
            <v>line item not tagged</v>
          </cell>
        </row>
        <row r="3055">
          <cell r="W3055">
            <v>0</v>
          </cell>
          <cell r="AB3055" t="str">
            <v>line item not tagged</v>
          </cell>
        </row>
        <row r="3056">
          <cell r="W3056">
            <v>0</v>
          </cell>
          <cell r="AB3056" t="str">
            <v>line item not tagged</v>
          </cell>
        </row>
        <row r="3057">
          <cell r="W3057">
            <v>0</v>
          </cell>
          <cell r="AB3057" t="str">
            <v>line item not tagged</v>
          </cell>
        </row>
        <row r="3058">
          <cell r="W3058">
            <v>0</v>
          </cell>
          <cell r="AB3058" t="str">
            <v>line item not tagged</v>
          </cell>
        </row>
        <row r="3059">
          <cell r="W3059">
            <v>0</v>
          </cell>
          <cell r="AB3059" t="str">
            <v>line item not tagged</v>
          </cell>
        </row>
        <row r="3060">
          <cell r="W3060">
            <v>0</v>
          </cell>
          <cell r="AB3060" t="str">
            <v>line item not tagged</v>
          </cell>
        </row>
        <row r="3061">
          <cell r="W3061">
            <v>0</v>
          </cell>
          <cell r="AB3061" t="str">
            <v>line item not tagged</v>
          </cell>
        </row>
        <row r="3062">
          <cell r="W3062">
            <v>0</v>
          </cell>
          <cell r="AB3062" t="str">
            <v>line item not tagged</v>
          </cell>
        </row>
        <row r="3063">
          <cell r="W3063">
            <v>0</v>
          </cell>
          <cell r="AB3063" t="str">
            <v>line item not tagged</v>
          </cell>
        </row>
        <row r="3064">
          <cell r="W3064">
            <v>0</v>
          </cell>
          <cell r="AB3064" t="str">
            <v>line item not tagged</v>
          </cell>
        </row>
        <row r="3065">
          <cell r="W3065">
            <v>0</v>
          </cell>
          <cell r="AB3065" t="str">
            <v>line item not tagged</v>
          </cell>
        </row>
        <row r="3066">
          <cell r="W3066">
            <v>0</v>
          </cell>
          <cell r="AB3066" t="str">
            <v>line item not tagged</v>
          </cell>
        </row>
        <row r="3067">
          <cell r="W3067">
            <v>0</v>
          </cell>
          <cell r="AB3067" t="str">
            <v>line item not tagged</v>
          </cell>
        </row>
        <row r="3068">
          <cell r="W3068">
            <v>0</v>
          </cell>
          <cell r="AB3068" t="str">
            <v>line item not tagged</v>
          </cell>
        </row>
        <row r="3069">
          <cell r="W3069">
            <v>0</v>
          </cell>
          <cell r="AB3069" t="str">
            <v>line item not tagged</v>
          </cell>
        </row>
        <row r="3070">
          <cell r="W3070">
            <v>0</v>
          </cell>
          <cell r="AB3070" t="str">
            <v>line item not tagged</v>
          </cell>
        </row>
        <row r="3071">
          <cell r="W3071">
            <v>0</v>
          </cell>
          <cell r="AB3071" t="str">
            <v>line item not tagged</v>
          </cell>
        </row>
        <row r="3072">
          <cell r="W3072">
            <v>0</v>
          </cell>
          <cell r="AB3072" t="str">
            <v>line item not tagged</v>
          </cell>
        </row>
        <row r="3073">
          <cell r="W3073">
            <v>0</v>
          </cell>
          <cell r="AB3073" t="str">
            <v>line item not tagged</v>
          </cell>
        </row>
        <row r="3074">
          <cell r="W3074">
            <v>0</v>
          </cell>
          <cell r="AB3074" t="str">
            <v>line item not tagged</v>
          </cell>
        </row>
        <row r="3075">
          <cell r="W3075">
            <v>0</v>
          </cell>
          <cell r="AB3075" t="str">
            <v>line item not tagged</v>
          </cell>
        </row>
        <row r="3076">
          <cell r="W3076">
            <v>0</v>
          </cell>
          <cell r="AB3076" t="str">
            <v>line item not tagged</v>
          </cell>
        </row>
        <row r="3077">
          <cell r="W3077">
            <v>0</v>
          </cell>
          <cell r="AB3077" t="str">
            <v>line item not tagged</v>
          </cell>
        </row>
        <row r="3078">
          <cell r="W3078">
            <v>0</v>
          </cell>
          <cell r="AB3078" t="str">
            <v>line item not tagged</v>
          </cell>
        </row>
        <row r="3079">
          <cell r="W3079">
            <v>0</v>
          </cell>
          <cell r="AB3079" t="str">
            <v>line item not tagged</v>
          </cell>
        </row>
        <row r="3080">
          <cell r="W3080">
            <v>0</v>
          </cell>
          <cell r="AB3080" t="str">
            <v>line item not tagged</v>
          </cell>
        </row>
        <row r="3081">
          <cell r="W3081">
            <v>0</v>
          </cell>
          <cell r="AB3081" t="str">
            <v>line item not tagged</v>
          </cell>
        </row>
        <row r="3082">
          <cell r="W3082">
            <v>0</v>
          </cell>
          <cell r="AB3082" t="str">
            <v>line item not tagged</v>
          </cell>
        </row>
        <row r="3083">
          <cell r="W3083">
            <v>0</v>
          </cell>
          <cell r="AB3083" t="str">
            <v>line item not tagged</v>
          </cell>
        </row>
        <row r="3084">
          <cell r="W3084">
            <v>0</v>
          </cell>
          <cell r="AB3084" t="str">
            <v>line item not tagged</v>
          </cell>
        </row>
        <row r="3085">
          <cell r="W3085">
            <v>0</v>
          </cell>
          <cell r="AB3085" t="str">
            <v>line item not tagged</v>
          </cell>
        </row>
        <row r="3086">
          <cell r="W3086">
            <v>0</v>
          </cell>
          <cell r="AB3086" t="str">
            <v>line item not tagged</v>
          </cell>
        </row>
        <row r="3087">
          <cell r="W3087">
            <v>0</v>
          </cell>
          <cell r="AB3087" t="str">
            <v>line item not tagged</v>
          </cell>
        </row>
        <row r="3088">
          <cell r="W3088">
            <v>0</v>
          </cell>
          <cell r="AB3088" t="str">
            <v>line item not tagged</v>
          </cell>
        </row>
        <row r="3089">
          <cell r="W3089">
            <v>0</v>
          </cell>
          <cell r="AB3089" t="str">
            <v>line item not tagged</v>
          </cell>
        </row>
        <row r="3090">
          <cell r="W3090">
            <v>0</v>
          </cell>
          <cell r="AB3090" t="str">
            <v>line item not tagged</v>
          </cell>
        </row>
        <row r="3091">
          <cell r="W3091">
            <v>0</v>
          </cell>
          <cell r="AB3091" t="str">
            <v>line item not tagged</v>
          </cell>
        </row>
        <row r="3092">
          <cell r="W3092">
            <v>0</v>
          </cell>
          <cell r="AB3092" t="str">
            <v>line item not tagged</v>
          </cell>
        </row>
        <row r="3093">
          <cell r="W3093">
            <v>0</v>
          </cell>
          <cell r="AB3093" t="str">
            <v>line item not tagged</v>
          </cell>
        </row>
        <row r="3094">
          <cell r="W3094">
            <v>0</v>
          </cell>
          <cell r="AB3094" t="str">
            <v>line item not tagged</v>
          </cell>
        </row>
        <row r="3095">
          <cell r="W3095">
            <v>0</v>
          </cell>
          <cell r="AB3095" t="str">
            <v>line item not tagged</v>
          </cell>
        </row>
        <row r="3096">
          <cell r="W3096">
            <v>0</v>
          </cell>
          <cell r="AB3096" t="str">
            <v>line item not tagged</v>
          </cell>
        </row>
        <row r="3097">
          <cell r="W3097">
            <v>0</v>
          </cell>
          <cell r="AB3097" t="str">
            <v>line item not tagged</v>
          </cell>
        </row>
        <row r="3098">
          <cell r="W3098">
            <v>0</v>
          </cell>
          <cell r="AB3098" t="str">
            <v>line item not tagged</v>
          </cell>
        </row>
        <row r="3099">
          <cell r="W3099">
            <v>0</v>
          </cell>
          <cell r="AB3099" t="str">
            <v>line item not tagged</v>
          </cell>
        </row>
        <row r="3100">
          <cell r="W3100">
            <v>0</v>
          </cell>
          <cell r="AB3100" t="str">
            <v>line item not tagged</v>
          </cell>
        </row>
        <row r="3101">
          <cell r="W3101">
            <v>0</v>
          </cell>
          <cell r="AB3101" t="str">
            <v>line item not tagged</v>
          </cell>
        </row>
        <row r="3102">
          <cell r="W3102">
            <v>0</v>
          </cell>
          <cell r="AB3102" t="str">
            <v>line item not tagged</v>
          </cell>
        </row>
        <row r="3103">
          <cell r="W3103">
            <v>0</v>
          </cell>
          <cell r="AB3103" t="str">
            <v>line item not tagged</v>
          </cell>
        </row>
        <row r="3104">
          <cell r="W3104">
            <v>0</v>
          </cell>
          <cell r="AB3104" t="str">
            <v>line item not tagged</v>
          </cell>
        </row>
        <row r="3105">
          <cell r="W3105">
            <v>0</v>
          </cell>
          <cell r="AB3105" t="str">
            <v>line item not tagged</v>
          </cell>
        </row>
        <row r="3106">
          <cell r="W3106">
            <v>0</v>
          </cell>
          <cell r="AB3106" t="str">
            <v>line item not tagged</v>
          </cell>
        </row>
        <row r="3107">
          <cell r="W3107">
            <v>0</v>
          </cell>
          <cell r="AB3107" t="str">
            <v>line item not tagged</v>
          </cell>
        </row>
        <row r="3108">
          <cell r="W3108">
            <v>0</v>
          </cell>
          <cell r="AB3108" t="str">
            <v>line item not tagged</v>
          </cell>
        </row>
        <row r="3109">
          <cell r="W3109">
            <v>0</v>
          </cell>
          <cell r="AB3109" t="str">
            <v>line item not tagged</v>
          </cell>
        </row>
        <row r="3110">
          <cell r="W3110">
            <v>0</v>
          </cell>
          <cell r="AB3110" t="str">
            <v>line item not tagged</v>
          </cell>
        </row>
        <row r="3111">
          <cell r="W3111">
            <v>0</v>
          </cell>
          <cell r="AB3111" t="str">
            <v>line item not tagged</v>
          </cell>
        </row>
        <row r="3112">
          <cell r="W3112">
            <v>0</v>
          </cell>
          <cell r="AB3112" t="str">
            <v>line item not tagged</v>
          </cell>
        </row>
        <row r="3113">
          <cell r="W3113">
            <v>0</v>
          </cell>
          <cell r="AB3113" t="str">
            <v>line item not tagged</v>
          </cell>
        </row>
        <row r="3114">
          <cell r="W3114">
            <v>0</v>
          </cell>
          <cell r="AB3114" t="str">
            <v>line item not tagged</v>
          </cell>
        </row>
        <row r="3115">
          <cell r="W3115">
            <v>0</v>
          </cell>
          <cell r="AB3115" t="str">
            <v>line item not tagged</v>
          </cell>
        </row>
        <row r="3116">
          <cell r="W3116">
            <v>0</v>
          </cell>
          <cell r="AB3116" t="str">
            <v>line item not tagged</v>
          </cell>
        </row>
        <row r="3117">
          <cell r="W3117">
            <v>0</v>
          </cell>
          <cell r="AB3117" t="str">
            <v>line item not tagged</v>
          </cell>
        </row>
        <row r="3118">
          <cell r="W3118">
            <v>0</v>
          </cell>
          <cell r="AB3118" t="str">
            <v>line item not tagged</v>
          </cell>
        </row>
        <row r="3119">
          <cell r="W3119">
            <v>0</v>
          </cell>
          <cell r="AB3119" t="str">
            <v>line item not tagged</v>
          </cell>
        </row>
        <row r="3120">
          <cell r="W3120">
            <v>0</v>
          </cell>
          <cell r="AB3120" t="str">
            <v>line item not tagged</v>
          </cell>
        </row>
        <row r="3121">
          <cell r="W3121">
            <v>0</v>
          </cell>
          <cell r="AB3121" t="str">
            <v>line item not tagged</v>
          </cell>
        </row>
        <row r="3122">
          <cell r="W3122">
            <v>0</v>
          </cell>
          <cell r="AB3122" t="str">
            <v>line item not tagged</v>
          </cell>
        </row>
        <row r="3123">
          <cell r="W3123">
            <v>0</v>
          </cell>
          <cell r="AB3123" t="str">
            <v>line item not tagged</v>
          </cell>
        </row>
        <row r="3124">
          <cell r="W3124">
            <v>0</v>
          </cell>
          <cell r="AB3124" t="str">
            <v>line item not tagged</v>
          </cell>
        </row>
        <row r="3125">
          <cell r="W3125">
            <v>0</v>
          </cell>
          <cell r="AB3125" t="str">
            <v>line item not tagged</v>
          </cell>
        </row>
        <row r="3126">
          <cell r="W3126">
            <v>0</v>
          </cell>
          <cell r="AB3126" t="str">
            <v>line item not tagged</v>
          </cell>
        </row>
        <row r="3127">
          <cell r="W3127">
            <v>0</v>
          </cell>
          <cell r="AB3127" t="str">
            <v>line item not tagged</v>
          </cell>
        </row>
        <row r="3128">
          <cell r="W3128">
            <v>0</v>
          </cell>
          <cell r="AB3128" t="str">
            <v>line item not tagged</v>
          </cell>
        </row>
        <row r="3129">
          <cell r="W3129">
            <v>0</v>
          </cell>
          <cell r="AB3129" t="str">
            <v>line item not tagged</v>
          </cell>
        </row>
        <row r="3130">
          <cell r="W3130">
            <v>0</v>
          </cell>
          <cell r="AB3130" t="str">
            <v>line item not tagged</v>
          </cell>
        </row>
        <row r="3131">
          <cell r="W3131">
            <v>0</v>
          </cell>
          <cell r="AB3131" t="str">
            <v>line item not tagged</v>
          </cell>
        </row>
        <row r="3132">
          <cell r="W3132">
            <v>0</v>
          </cell>
          <cell r="AB3132" t="str">
            <v>line item not tagged</v>
          </cell>
        </row>
        <row r="3133">
          <cell r="W3133">
            <v>0</v>
          </cell>
          <cell r="AB3133" t="str">
            <v>line item not tagged</v>
          </cell>
        </row>
        <row r="3134">
          <cell r="W3134">
            <v>0</v>
          </cell>
          <cell r="AB3134" t="str">
            <v>line item not tagged</v>
          </cell>
        </row>
        <row r="3135">
          <cell r="W3135">
            <v>0</v>
          </cell>
          <cell r="AB3135" t="str">
            <v>line item not tagged</v>
          </cell>
        </row>
        <row r="3136">
          <cell r="W3136">
            <v>0</v>
          </cell>
          <cell r="AB3136" t="str">
            <v>line item not tagged</v>
          </cell>
        </row>
        <row r="3137">
          <cell r="W3137">
            <v>0</v>
          </cell>
          <cell r="AB3137" t="str">
            <v>line item not tagged</v>
          </cell>
        </row>
        <row r="3138">
          <cell r="W3138">
            <v>0</v>
          </cell>
          <cell r="AB3138" t="str">
            <v>line item not tagged</v>
          </cell>
        </row>
        <row r="3139">
          <cell r="W3139">
            <v>0</v>
          </cell>
          <cell r="AB3139" t="str">
            <v>line item not tagged</v>
          </cell>
        </row>
        <row r="3140">
          <cell r="W3140">
            <v>0</v>
          </cell>
          <cell r="AB3140" t="str">
            <v>line item not tagged</v>
          </cell>
        </row>
        <row r="3141">
          <cell r="W3141">
            <v>0</v>
          </cell>
          <cell r="AB3141" t="str">
            <v>line item not tagged</v>
          </cell>
        </row>
        <row r="3142">
          <cell r="W3142">
            <v>0</v>
          </cell>
          <cell r="AB3142" t="str">
            <v>line item not tagged</v>
          </cell>
        </row>
        <row r="3143">
          <cell r="W3143">
            <v>0</v>
          </cell>
          <cell r="AB3143" t="str">
            <v>line item not tagged</v>
          </cell>
        </row>
        <row r="3144">
          <cell r="W3144">
            <v>0</v>
          </cell>
          <cell r="AB3144" t="str">
            <v>line item not tagged</v>
          </cell>
        </row>
        <row r="3145">
          <cell r="W3145">
            <v>0</v>
          </cell>
          <cell r="AB3145" t="str">
            <v>line item not tagged</v>
          </cell>
        </row>
        <row r="3146">
          <cell r="W3146">
            <v>0</v>
          </cell>
          <cell r="AB3146" t="str">
            <v>line item not tagged</v>
          </cell>
        </row>
        <row r="3147">
          <cell r="W3147">
            <v>0</v>
          </cell>
          <cell r="AB3147" t="str">
            <v>line item not tagged</v>
          </cell>
        </row>
        <row r="3148">
          <cell r="W3148">
            <v>0</v>
          </cell>
          <cell r="AB3148" t="str">
            <v>line item not tagged</v>
          </cell>
        </row>
        <row r="3149">
          <cell r="W3149">
            <v>0</v>
          </cell>
          <cell r="AB3149" t="str">
            <v>line item not tagged</v>
          </cell>
        </row>
        <row r="3150">
          <cell r="W3150">
            <v>0</v>
          </cell>
          <cell r="AB3150" t="str">
            <v>line item not tagged</v>
          </cell>
        </row>
        <row r="3151">
          <cell r="W3151">
            <v>0</v>
          </cell>
          <cell r="AB3151" t="str">
            <v>line item not tagged</v>
          </cell>
        </row>
        <row r="3152">
          <cell r="W3152">
            <v>0</v>
          </cell>
          <cell r="AB3152" t="str">
            <v>line item not tagged</v>
          </cell>
        </row>
        <row r="3153">
          <cell r="W3153">
            <v>0</v>
          </cell>
          <cell r="AB3153" t="str">
            <v>line item not tagged</v>
          </cell>
        </row>
        <row r="3154">
          <cell r="W3154">
            <v>0</v>
          </cell>
          <cell r="AB3154" t="str">
            <v>line item not tagged</v>
          </cell>
        </row>
        <row r="3155">
          <cell r="W3155">
            <v>0</v>
          </cell>
          <cell r="AB3155" t="str">
            <v>line item not tagged</v>
          </cell>
        </row>
        <row r="3156">
          <cell r="W3156">
            <v>0</v>
          </cell>
          <cell r="AB3156" t="str">
            <v>line item not tagged</v>
          </cell>
        </row>
        <row r="3157">
          <cell r="W3157">
            <v>0</v>
          </cell>
          <cell r="AB3157" t="str">
            <v>line item not tagged</v>
          </cell>
        </row>
        <row r="3158">
          <cell r="W3158">
            <v>0</v>
          </cell>
          <cell r="AB3158" t="str">
            <v>line item not tagged</v>
          </cell>
        </row>
        <row r="3159">
          <cell r="W3159">
            <v>0</v>
          </cell>
          <cell r="AB3159" t="str">
            <v>line item not tagged</v>
          </cell>
        </row>
        <row r="3160">
          <cell r="W3160">
            <v>0</v>
          </cell>
          <cell r="AB3160" t="str">
            <v>line item not tagged</v>
          </cell>
        </row>
        <row r="3161">
          <cell r="W3161">
            <v>0</v>
          </cell>
          <cell r="AB3161" t="str">
            <v>line item not tagged</v>
          </cell>
        </row>
        <row r="3162">
          <cell r="W3162">
            <v>0</v>
          </cell>
          <cell r="AB3162" t="str">
            <v>line item not tagged</v>
          </cell>
        </row>
        <row r="3163">
          <cell r="W3163">
            <v>0</v>
          </cell>
          <cell r="AB3163" t="str">
            <v>line item not tagged</v>
          </cell>
        </row>
        <row r="3164">
          <cell r="W3164">
            <v>0</v>
          </cell>
          <cell r="AB3164" t="str">
            <v>line item not tagged</v>
          </cell>
        </row>
        <row r="3165">
          <cell r="W3165">
            <v>0</v>
          </cell>
          <cell r="AB3165" t="str">
            <v>line item not tagged</v>
          </cell>
        </row>
        <row r="3166">
          <cell r="W3166">
            <v>0</v>
          </cell>
          <cell r="AB3166" t="str">
            <v>line item not tagged</v>
          </cell>
        </row>
        <row r="3167">
          <cell r="W3167">
            <v>0</v>
          </cell>
          <cell r="AB3167" t="str">
            <v>line item not tagged</v>
          </cell>
        </row>
        <row r="3168">
          <cell r="W3168">
            <v>0</v>
          </cell>
          <cell r="AB3168" t="str">
            <v>line item not tagged</v>
          </cell>
        </row>
        <row r="3169">
          <cell r="W3169">
            <v>0</v>
          </cell>
          <cell r="AB3169" t="str">
            <v>line item not tagged</v>
          </cell>
        </row>
        <row r="3170">
          <cell r="W3170">
            <v>0</v>
          </cell>
          <cell r="AB3170" t="str">
            <v>line item not tagged</v>
          </cell>
        </row>
        <row r="3171">
          <cell r="W3171">
            <v>0</v>
          </cell>
          <cell r="AB3171" t="str">
            <v>line item not tagged</v>
          </cell>
        </row>
        <row r="3172">
          <cell r="W3172">
            <v>0</v>
          </cell>
          <cell r="AB3172" t="str">
            <v>line item not tagged</v>
          </cell>
        </row>
        <row r="3173">
          <cell r="W3173">
            <v>0</v>
          </cell>
          <cell r="AB3173" t="str">
            <v>line item not tagged</v>
          </cell>
        </row>
        <row r="3174">
          <cell r="W3174">
            <v>0</v>
          </cell>
          <cell r="AB3174" t="str">
            <v>line item not tagged</v>
          </cell>
        </row>
        <row r="3175">
          <cell r="W3175">
            <v>0</v>
          </cell>
          <cell r="AB3175" t="str">
            <v>line item not tagged</v>
          </cell>
        </row>
        <row r="3176">
          <cell r="W3176">
            <v>0</v>
          </cell>
          <cell r="AB3176" t="str">
            <v>line item not tagged</v>
          </cell>
        </row>
        <row r="3177">
          <cell r="W3177">
            <v>0</v>
          </cell>
          <cell r="AB3177" t="str">
            <v>line item not tagged</v>
          </cell>
        </row>
        <row r="3178">
          <cell r="W3178">
            <v>0</v>
          </cell>
          <cell r="AB3178" t="str">
            <v>line item not tagged</v>
          </cell>
        </row>
        <row r="3179">
          <cell r="W3179">
            <v>0</v>
          </cell>
          <cell r="AB3179" t="str">
            <v>line item not tagged</v>
          </cell>
        </row>
        <row r="3180">
          <cell r="W3180">
            <v>0</v>
          </cell>
          <cell r="AB3180" t="str">
            <v>line item not tagged</v>
          </cell>
        </row>
        <row r="3181">
          <cell r="W3181">
            <v>0</v>
          </cell>
          <cell r="AB3181" t="str">
            <v>line item not tagged</v>
          </cell>
        </row>
        <row r="3182">
          <cell r="W3182">
            <v>0</v>
          </cell>
          <cell r="AB3182" t="str">
            <v>line item not tagged</v>
          </cell>
        </row>
        <row r="3183">
          <cell r="W3183">
            <v>0</v>
          </cell>
          <cell r="AB3183" t="str">
            <v>line item not tagged</v>
          </cell>
        </row>
        <row r="3184">
          <cell r="W3184">
            <v>0</v>
          </cell>
          <cell r="AB3184" t="str">
            <v>line item not tagged</v>
          </cell>
        </row>
        <row r="3185">
          <cell r="W3185">
            <v>0</v>
          </cell>
          <cell r="AB3185" t="str">
            <v>line item not tagged</v>
          </cell>
        </row>
        <row r="3186">
          <cell r="W3186">
            <v>0</v>
          </cell>
          <cell r="AB3186" t="str">
            <v>line item not tagged</v>
          </cell>
        </row>
        <row r="3187">
          <cell r="W3187">
            <v>0</v>
          </cell>
          <cell r="AB3187" t="str">
            <v>line item not tagged</v>
          </cell>
        </row>
        <row r="3188">
          <cell r="W3188">
            <v>0</v>
          </cell>
          <cell r="AB3188" t="str">
            <v>line item not tagged</v>
          </cell>
        </row>
        <row r="3189">
          <cell r="W3189">
            <v>0</v>
          </cell>
          <cell r="AB3189" t="str">
            <v>line item not tagged</v>
          </cell>
        </row>
        <row r="3190">
          <cell r="W3190">
            <v>0</v>
          </cell>
          <cell r="AB3190" t="str">
            <v>line item not tagged</v>
          </cell>
        </row>
        <row r="3191">
          <cell r="W3191">
            <v>0</v>
          </cell>
          <cell r="AB3191" t="str">
            <v>line item not tagged</v>
          </cell>
        </row>
        <row r="3192">
          <cell r="W3192">
            <v>0</v>
          </cell>
          <cell r="AB3192" t="str">
            <v>line item not tagged</v>
          </cell>
        </row>
        <row r="3193">
          <cell r="W3193">
            <v>0</v>
          </cell>
          <cell r="AB3193" t="str">
            <v>line item not tagged</v>
          </cell>
        </row>
        <row r="3194">
          <cell r="W3194">
            <v>0</v>
          </cell>
          <cell r="AB3194" t="str">
            <v>line item not tagged</v>
          </cell>
        </row>
        <row r="3195">
          <cell r="W3195">
            <v>0</v>
          </cell>
          <cell r="AB3195" t="str">
            <v>line item not tagged</v>
          </cell>
        </row>
        <row r="3196">
          <cell r="W3196">
            <v>0</v>
          </cell>
          <cell r="AB3196" t="str">
            <v>line item not tagged</v>
          </cell>
        </row>
        <row r="3197">
          <cell r="W3197">
            <v>0</v>
          </cell>
          <cell r="AB3197" t="str">
            <v>line item not tagged</v>
          </cell>
        </row>
        <row r="3198">
          <cell r="W3198">
            <v>0</v>
          </cell>
          <cell r="AB3198" t="str">
            <v>line item not tagged</v>
          </cell>
        </row>
        <row r="3199">
          <cell r="W3199">
            <v>0</v>
          </cell>
          <cell r="AB3199" t="str">
            <v>line item not tagged</v>
          </cell>
        </row>
        <row r="3200">
          <cell r="W3200">
            <v>0</v>
          </cell>
          <cell r="AB3200" t="str">
            <v>line item not tagged</v>
          </cell>
        </row>
        <row r="3201">
          <cell r="W3201">
            <v>0</v>
          </cell>
          <cell r="AB3201" t="str">
            <v>line item not tagged</v>
          </cell>
        </row>
        <row r="3202">
          <cell r="W3202">
            <v>0</v>
          </cell>
          <cell r="AB3202" t="str">
            <v>line item not tagged</v>
          </cell>
        </row>
        <row r="3203">
          <cell r="W3203">
            <v>0</v>
          </cell>
          <cell r="AB3203" t="str">
            <v>line item not tagged</v>
          </cell>
        </row>
        <row r="3204">
          <cell r="W3204">
            <v>0</v>
          </cell>
          <cell r="AB3204" t="str">
            <v>line item not tagged</v>
          </cell>
        </row>
        <row r="3205">
          <cell r="W3205">
            <v>0</v>
          </cell>
          <cell r="AB3205" t="str">
            <v>line item not tagged</v>
          </cell>
        </row>
        <row r="3206">
          <cell r="W3206">
            <v>0</v>
          </cell>
          <cell r="AB3206" t="str">
            <v>line item not tagged</v>
          </cell>
        </row>
        <row r="3207">
          <cell r="W3207">
            <v>0</v>
          </cell>
          <cell r="AB3207" t="str">
            <v>line item not tagged</v>
          </cell>
        </row>
        <row r="3208">
          <cell r="W3208">
            <v>0</v>
          </cell>
          <cell r="AB3208" t="str">
            <v>line item not tagged</v>
          </cell>
        </row>
        <row r="3209">
          <cell r="W3209">
            <v>0</v>
          </cell>
          <cell r="AB3209" t="str">
            <v>line item not tagged</v>
          </cell>
        </row>
        <row r="3210">
          <cell r="W3210">
            <v>0</v>
          </cell>
          <cell r="AB3210" t="str">
            <v>line item not tagged</v>
          </cell>
        </row>
        <row r="3211">
          <cell r="W3211">
            <v>0</v>
          </cell>
          <cell r="AB3211" t="str">
            <v>line item not tagged</v>
          </cell>
        </row>
        <row r="3212">
          <cell r="W3212">
            <v>0</v>
          </cell>
          <cell r="AB3212" t="str">
            <v>line item not tagged</v>
          </cell>
        </row>
        <row r="3213">
          <cell r="W3213">
            <v>0</v>
          </cell>
          <cell r="AB3213" t="str">
            <v>line item not tagged</v>
          </cell>
        </row>
        <row r="3214">
          <cell r="W3214">
            <v>0</v>
          </cell>
          <cell r="AB3214" t="str">
            <v>line item not tagged</v>
          </cell>
        </row>
        <row r="3215">
          <cell r="W3215">
            <v>0</v>
          </cell>
          <cell r="AB3215" t="str">
            <v>line item not tagged</v>
          </cell>
        </row>
        <row r="3216">
          <cell r="W3216">
            <v>0</v>
          </cell>
          <cell r="AB3216" t="str">
            <v>line item not tagged</v>
          </cell>
        </row>
        <row r="3217">
          <cell r="W3217">
            <v>0</v>
          </cell>
          <cell r="AB3217" t="str">
            <v>line item not tagged</v>
          </cell>
        </row>
        <row r="3218">
          <cell r="W3218">
            <v>0</v>
          </cell>
          <cell r="AB3218" t="str">
            <v>line item not tagged</v>
          </cell>
        </row>
        <row r="3219">
          <cell r="W3219">
            <v>0</v>
          </cell>
          <cell r="AB3219" t="str">
            <v>line item not tagged</v>
          </cell>
        </row>
        <row r="3220">
          <cell r="W3220">
            <v>0</v>
          </cell>
          <cell r="AB3220" t="str">
            <v>line item not tagged</v>
          </cell>
        </row>
        <row r="3221">
          <cell r="W3221">
            <v>0</v>
          </cell>
          <cell r="AB3221" t="str">
            <v>line item not tagged</v>
          </cell>
        </row>
        <row r="3222">
          <cell r="W3222">
            <v>0</v>
          </cell>
          <cell r="AB3222" t="str">
            <v>line item not tagged</v>
          </cell>
        </row>
        <row r="3223">
          <cell r="W3223">
            <v>0</v>
          </cell>
          <cell r="AB3223" t="str">
            <v>line item not tagged</v>
          </cell>
        </row>
        <row r="3224">
          <cell r="W3224">
            <v>0</v>
          </cell>
          <cell r="AB3224" t="str">
            <v>line item not tagged</v>
          </cell>
        </row>
        <row r="3225">
          <cell r="W3225">
            <v>0</v>
          </cell>
          <cell r="AB3225" t="str">
            <v>line item not tagged</v>
          </cell>
        </row>
        <row r="3226">
          <cell r="W3226">
            <v>0</v>
          </cell>
          <cell r="AB3226" t="str">
            <v>line item not tagged</v>
          </cell>
        </row>
        <row r="3227">
          <cell r="W3227">
            <v>0</v>
          </cell>
          <cell r="AB3227" t="str">
            <v>line item not tagged</v>
          </cell>
        </row>
        <row r="3228">
          <cell r="W3228">
            <v>0</v>
          </cell>
          <cell r="AB3228" t="str">
            <v>line item not tagged</v>
          </cell>
        </row>
        <row r="3229">
          <cell r="W3229">
            <v>0</v>
          </cell>
          <cell r="AB3229" t="str">
            <v>line item not tagged</v>
          </cell>
        </row>
        <row r="3230">
          <cell r="W3230">
            <v>0</v>
          </cell>
          <cell r="AB3230" t="str">
            <v>line item not tagged</v>
          </cell>
        </row>
        <row r="3231">
          <cell r="W3231">
            <v>0</v>
          </cell>
          <cell r="AB3231" t="str">
            <v>line item not tagged</v>
          </cell>
        </row>
        <row r="3232">
          <cell r="W3232">
            <v>0</v>
          </cell>
          <cell r="AB3232" t="str">
            <v>line item not tagged</v>
          </cell>
        </row>
        <row r="3233">
          <cell r="W3233">
            <v>0</v>
          </cell>
          <cell r="AB3233" t="str">
            <v>line item not tagged</v>
          </cell>
        </row>
        <row r="3234">
          <cell r="W3234">
            <v>0</v>
          </cell>
          <cell r="AB3234" t="str">
            <v>line item not tagged</v>
          </cell>
        </row>
        <row r="3235">
          <cell r="W3235">
            <v>0</v>
          </cell>
          <cell r="AB3235" t="str">
            <v>line item not tagged</v>
          </cell>
        </row>
        <row r="3236">
          <cell r="W3236">
            <v>0</v>
          </cell>
          <cell r="AB3236" t="str">
            <v>line item not tagged</v>
          </cell>
        </row>
        <row r="3237">
          <cell r="W3237">
            <v>0</v>
          </cell>
          <cell r="AB3237" t="str">
            <v>line item not tagged</v>
          </cell>
        </row>
        <row r="3238">
          <cell r="W3238">
            <v>0</v>
          </cell>
          <cell r="AB3238" t="str">
            <v>line item not tagged</v>
          </cell>
        </row>
        <row r="3239">
          <cell r="W3239">
            <v>0</v>
          </cell>
          <cell r="AB3239" t="str">
            <v>line item not tagged</v>
          </cell>
        </row>
        <row r="3240">
          <cell r="W3240">
            <v>0</v>
          </cell>
          <cell r="AB3240" t="str">
            <v>line item not tagged</v>
          </cell>
        </row>
        <row r="3241">
          <cell r="W3241">
            <v>0</v>
          </cell>
          <cell r="AB3241" t="str">
            <v>line item not tagged</v>
          </cell>
        </row>
        <row r="3242">
          <cell r="W3242">
            <v>0</v>
          </cell>
          <cell r="AB3242" t="str">
            <v>line item not tagged</v>
          </cell>
        </row>
        <row r="3243">
          <cell r="W3243">
            <v>0</v>
          </cell>
          <cell r="AB3243" t="str">
            <v>line item not tagged</v>
          </cell>
        </row>
        <row r="3244">
          <cell r="W3244">
            <v>0</v>
          </cell>
          <cell r="AB3244" t="str">
            <v>line item not tagged</v>
          </cell>
        </row>
        <row r="3245">
          <cell r="W3245">
            <v>0</v>
          </cell>
          <cell r="AB3245" t="str">
            <v>line item not tagged</v>
          </cell>
        </row>
        <row r="3246">
          <cell r="W3246">
            <v>0</v>
          </cell>
          <cell r="AB3246" t="str">
            <v>line item not tagged</v>
          </cell>
        </row>
        <row r="3247">
          <cell r="W3247">
            <v>0</v>
          </cell>
          <cell r="AB3247" t="str">
            <v>line item not tagged</v>
          </cell>
        </row>
        <row r="3248">
          <cell r="W3248">
            <v>0</v>
          </cell>
          <cell r="AB3248" t="str">
            <v>line item not tagged</v>
          </cell>
        </row>
        <row r="3249">
          <cell r="W3249">
            <v>0</v>
          </cell>
          <cell r="AB3249" t="str">
            <v>line item not tagged</v>
          </cell>
        </row>
        <row r="3250">
          <cell r="W3250">
            <v>0</v>
          </cell>
          <cell r="AB3250" t="str">
            <v>line item not tagged</v>
          </cell>
        </row>
        <row r="3251">
          <cell r="W3251">
            <v>0</v>
          </cell>
          <cell r="AB3251" t="str">
            <v>line item not tagged</v>
          </cell>
        </row>
        <row r="3252">
          <cell r="W3252">
            <v>0</v>
          </cell>
          <cell r="AB3252" t="str">
            <v>line item not tagged</v>
          </cell>
        </row>
        <row r="3253">
          <cell r="W3253">
            <v>0</v>
          </cell>
          <cell r="AB3253" t="str">
            <v>line item not tagged</v>
          </cell>
        </row>
        <row r="3254">
          <cell r="W3254">
            <v>0</v>
          </cell>
          <cell r="AB3254" t="str">
            <v>line item not tagged</v>
          </cell>
        </row>
        <row r="3255">
          <cell r="W3255">
            <v>0</v>
          </cell>
          <cell r="AB3255" t="str">
            <v>line item not tagged</v>
          </cell>
        </row>
        <row r="3256">
          <cell r="W3256">
            <v>0</v>
          </cell>
          <cell r="AB3256" t="str">
            <v>line item not tagged</v>
          </cell>
        </row>
        <row r="3257">
          <cell r="W3257">
            <v>0</v>
          </cell>
          <cell r="AB3257" t="str">
            <v>line item not tagged</v>
          </cell>
        </row>
        <row r="3258">
          <cell r="W3258">
            <v>0</v>
          </cell>
          <cell r="AB3258" t="str">
            <v>line item not tagged</v>
          </cell>
        </row>
        <row r="3259">
          <cell r="W3259">
            <v>0</v>
          </cell>
          <cell r="AB3259" t="str">
            <v>line item not tagged</v>
          </cell>
        </row>
        <row r="3260">
          <cell r="W3260">
            <v>0</v>
          </cell>
          <cell r="AB3260" t="str">
            <v>line item not tagged</v>
          </cell>
        </row>
        <row r="3261">
          <cell r="W3261">
            <v>0</v>
          </cell>
          <cell r="AB3261" t="str">
            <v>line item not tagged</v>
          </cell>
        </row>
        <row r="3262">
          <cell r="W3262">
            <v>0</v>
          </cell>
          <cell r="AB3262" t="str">
            <v>line item not tagged</v>
          </cell>
        </row>
        <row r="3263">
          <cell r="W3263">
            <v>0</v>
          </cell>
          <cell r="AB3263" t="str">
            <v>line item not tagged</v>
          </cell>
        </row>
        <row r="3264">
          <cell r="W3264">
            <v>0</v>
          </cell>
          <cell r="AB3264" t="str">
            <v>line item not tagged</v>
          </cell>
        </row>
        <row r="3265">
          <cell r="W3265">
            <v>0</v>
          </cell>
          <cell r="AB3265" t="str">
            <v>line item not tagged</v>
          </cell>
        </row>
        <row r="3266">
          <cell r="W3266">
            <v>0</v>
          </cell>
          <cell r="AB3266" t="str">
            <v>line item not tagged</v>
          </cell>
        </row>
        <row r="3267">
          <cell r="W3267">
            <v>0</v>
          </cell>
          <cell r="AB3267" t="str">
            <v>line item not tagged</v>
          </cell>
        </row>
        <row r="3268">
          <cell r="W3268">
            <v>0</v>
          </cell>
          <cell r="AB3268" t="str">
            <v>line item not tagged</v>
          </cell>
        </row>
        <row r="3269">
          <cell r="W3269">
            <v>0</v>
          </cell>
          <cell r="AB3269" t="str">
            <v>line item not tagged</v>
          </cell>
        </row>
        <row r="3270">
          <cell r="W3270">
            <v>0</v>
          </cell>
          <cell r="AB3270" t="str">
            <v>line item not tagged</v>
          </cell>
        </row>
        <row r="3271">
          <cell r="W3271">
            <v>0</v>
          </cell>
          <cell r="AB3271" t="str">
            <v>line item not tagged</v>
          </cell>
        </row>
        <row r="3272">
          <cell r="W3272">
            <v>0</v>
          </cell>
          <cell r="AB3272" t="str">
            <v>line item not tagged</v>
          </cell>
        </row>
        <row r="3273">
          <cell r="W3273">
            <v>0</v>
          </cell>
          <cell r="AB3273" t="str">
            <v>line item not tagged</v>
          </cell>
        </row>
        <row r="3274">
          <cell r="W3274">
            <v>0</v>
          </cell>
          <cell r="AB3274" t="str">
            <v>line item not tagged</v>
          </cell>
        </row>
        <row r="3275">
          <cell r="W3275">
            <v>0</v>
          </cell>
          <cell r="AB3275" t="str">
            <v>line item not tagged</v>
          </cell>
        </row>
        <row r="3276">
          <cell r="W3276">
            <v>0</v>
          </cell>
          <cell r="AB3276" t="str">
            <v>line item not tagged</v>
          </cell>
        </row>
        <row r="3277">
          <cell r="W3277">
            <v>0</v>
          </cell>
          <cell r="AB3277" t="str">
            <v>line item not tagged</v>
          </cell>
        </row>
        <row r="3278">
          <cell r="W3278">
            <v>0</v>
          </cell>
          <cell r="AB3278" t="str">
            <v>line item not tagged</v>
          </cell>
        </row>
        <row r="3279">
          <cell r="W3279">
            <v>0</v>
          </cell>
          <cell r="AB3279" t="str">
            <v>line item not tagged</v>
          </cell>
        </row>
        <row r="3280">
          <cell r="W3280">
            <v>0</v>
          </cell>
          <cell r="AB3280" t="str">
            <v>line item not tagged</v>
          </cell>
        </row>
        <row r="3281">
          <cell r="W3281">
            <v>0</v>
          </cell>
          <cell r="AB3281" t="str">
            <v>line item not tagged</v>
          </cell>
        </row>
        <row r="3282">
          <cell r="W3282">
            <v>0</v>
          </cell>
          <cell r="AB3282" t="str">
            <v>line item not tagged</v>
          </cell>
        </row>
        <row r="3283">
          <cell r="W3283">
            <v>0</v>
          </cell>
          <cell r="AB3283" t="str">
            <v>line item not tagged</v>
          </cell>
        </row>
        <row r="3284">
          <cell r="W3284">
            <v>0</v>
          </cell>
          <cell r="AB3284" t="str">
            <v>line item not tagged</v>
          </cell>
        </row>
        <row r="3285">
          <cell r="W3285">
            <v>0</v>
          </cell>
          <cell r="AB3285" t="str">
            <v>line item not tagged</v>
          </cell>
        </row>
        <row r="3286">
          <cell r="W3286">
            <v>0</v>
          </cell>
          <cell r="AB3286" t="str">
            <v>line item not tagged</v>
          </cell>
        </row>
        <row r="3287">
          <cell r="W3287">
            <v>0</v>
          </cell>
          <cell r="AB3287" t="str">
            <v>line item not tagged</v>
          </cell>
        </row>
        <row r="3288">
          <cell r="W3288">
            <v>0</v>
          </cell>
          <cell r="AB3288" t="str">
            <v>line item not tagged</v>
          </cell>
        </row>
        <row r="3289">
          <cell r="W3289">
            <v>0</v>
          </cell>
          <cell r="AB3289" t="str">
            <v>line item not tagged</v>
          </cell>
        </row>
        <row r="3290">
          <cell r="W3290">
            <v>0</v>
          </cell>
          <cell r="AB3290" t="str">
            <v>line item not tagged</v>
          </cell>
        </row>
        <row r="3291">
          <cell r="W3291">
            <v>0</v>
          </cell>
          <cell r="AB3291" t="str">
            <v>line item not tagged</v>
          </cell>
        </row>
        <row r="3292">
          <cell r="W3292">
            <v>0</v>
          </cell>
          <cell r="AB3292" t="str">
            <v>line item not tagged</v>
          </cell>
        </row>
        <row r="3293">
          <cell r="W3293">
            <v>0</v>
          </cell>
          <cell r="AB3293" t="str">
            <v>line item not tagged</v>
          </cell>
        </row>
        <row r="3294">
          <cell r="W3294">
            <v>0</v>
          </cell>
          <cell r="AB3294" t="str">
            <v>line item not tagged</v>
          </cell>
        </row>
        <row r="3295">
          <cell r="W3295">
            <v>0</v>
          </cell>
          <cell r="AB3295" t="str">
            <v>line item not tagged</v>
          </cell>
        </row>
        <row r="3296">
          <cell r="W3296">
            <v>0</v>
          </cell>
          <cell r="AB3296" t="str">
            <v>line item not tagged</v>
          </cell>
        </row>
        <row r="3297">
          <cell r="W3297">
            <v>0</v>
          </cell>
          <cell r="AB3297" t="str">
            <v>line item not tagged</v>
          </cell>
        </row>
        <row r="3298">
          <cell r="W3298">
            <v>0</v>
          </cell>
          <cell r="AB3298" t="str">
            <v>line item not tagged</v>
          </cell>
        </row>
        <row r="3299">
          <cell r="W3299">
            <v>0</v>
          </cell>
          <cell r="AB3299" t="str">
            <v>line item not tagged</v>
          </cell>
        </row>
        <row r="3300">
          <cell r="W3300">
            <v>0</v>
          </cell>
          <cell r="AB3300" t="str">
            <v>line item not tagged</v>
          </cell>
        </row>
        <row r="3301">
          <cell r="W3301">
            <v>0</v>
          </cell>
          <cell r="AB3301" t="str">
            <v>line item not tagged</v>
          </cell>
        </row>
        <row r="3302">
          <cell r="W3302">
            <v>0</v>
          </cell>
          <cell r="AB3302" t="str">
            <v>line item not tagged</v>
          </cell>
        </row>
        <row r="3303">
          <cell r="W3303">
            <v>0</v>
          </cell>
          <cell r="AB3303" t="str">
            <v>line item not tagged</v>
          </cell>
        </row>
        <row r="3304">
          <cell r="W3304">
            <v>0</v>
          </cell>
          <cell r="AB3304" t="str">
            <v>line item not tagged</v>
          </cell>
        </row>
        <row r="3305">
          <cell r="W3305">
            <v>0</v>
          </cell>
          <cell r="AB3305" t="str">
            <v>line item not tagged</v>
          </cell>
        </row>
        <row r="3306">
          <cell r="W3306">
            <v>0</v>
          </cell>
          <cell r="AB3306" t="str">
            <v>line item not tagged</v>
          </cell>
        </row>
        <row r="3307">
          <cell r="W3307">
            <v>0</v>
          </cell>
          <cell r="AB3307" t="str">
            <v>line item not tagged</v>
          </cell>
        </row>
        <row r="3308">
          <cell r="W3308">
            <v>0</v>
          </cell>
          <cell r="AB3308" t="str">
            <v>line item not tagged</v>
          </cell>
        </row>
        <row r="3309">
          <cell r="W3309">
            <v>0</v>
          </cell>
          <cell r="AB3309" t="str">
            <v>line item not tagged</v>
          </cell>
        </row>
        <row r="3310">
          <cell r="W3310">
            <v>0</v>
          </cell>
          <cell r="AB3310" t="str">
            <v>line item not tagged</v>
          </cell>
        </row>
        <row r="3311">
          <cell r="W3311">
            <v>0</v>
          </cell>
          <cell r="AB3311" t="str">
            <v>line item not tagged</v>
          </cell>
        </row>
        <row r="3312">
          <cell r="W3312">
            <v>0</v>
          </cell>
          <cell r="AB3312" t="str">
            <v>line item not tagged</v>
          </cell>
        </row>
        <row r="3313">
          <cell r="W3313">
            <v>0</v>
          </cell>
          <cell r="AB3313" t="str">
            <v>line item not tagged</v>
          </cell>
        </row>
        <row r="3314">
          <cell r="W3314">
            <v>0</v>
          </cell>
          <cell r="AB3314" t="str">
            <v>line item not tagged</v>
          </cell>
        </row>
        <row r="3315">
          <cell r="W3315">
            <v>0</v>
          </cell>
          <cell r="AB3315" t="str">
            <v>line item not tagged</v>
          </cell>
        </row>
        <row r="3316">
          <cell r="W3316">
            <v>0</v>
          </cell>
          <cell r="AB3316" t="str">
            <v>line item not tagged</v>
          </cell>
        </row>
        <row r="3317">
          <cell r="W3317">
            <v>0</v>
          </cell>
          <cell r="AB3317" t="str">
            <v>line item not tagged</v>
          </cell>
        </row>
        <row r="3318">
          <cell r="W3318">
            <v>0</v>
          </cell>
          <cell r="AB3318" t="str">
            <v>line item not tagged</v>
          </cell>
        </row>
        <row r="3319">
          <cell r="W3319">
            <v>0</v>
          </cell>
          <cell r="AB3319" t="str">
            <v>line item not tagged</v>
          </cell>
        </row>
        <row r="3320">
          <cell r="W3320">
            <v>0</v>
          </cell>
          <cell r="AB3320" t="str">
            <v>line item not tagged</v>
          </cell>
        </row>
        <row r="3321">
          <cell r="W3321">
            <v>0</v>
          </cell>
          <cell r="AB3321" t="str">
            <v>line item not tagged</v>
          </cell>
        </row>
        <row r="3322">
          <cell r="W3322">
            <v>0</v>
          </cell>
          <cell r="AB3322" t="str">
            <v>line item not tagged</v>
          </cell>
        </row>
        <row r="3323">
          <cell r="W3323">
            <v>0</v>
          </cell>
          <cell r="AB3323" t="str">
            <v>line item not tagged</v>
          </cell>
        </row>
        <row r="3324">
          <cell r="W3324">
            <v>0</v>
          </cell>
          <cell r="AB3324" t="str">
            <v>line item not tagged</v>
          </cell>
        </row>
        <row r="3325">
          <cell r="W3325">
            <v>0</v>
          </cell>
          <cell r="AB3325" t="str">
            <v>line item not tagged</v>
          </cell>
        </row>
        <row r="3326">
          <cell r="W3326">
            <v>0</v>
          </cell>
          <cell r="AB3326" t="str">
            <v>line item not tagged</v>
          </cell>
        </row>
        <row r="3327">
          <cell r="W3327">
            <v>0</v>
          </cell>
          <cell r="AB3327" t="str">
            <v>line item not tagged</v>
          </cell>
        </row>
        <row r="3328">
          <cell r="W3328">
            <v>0</v>
          </cell>
          <cell r="AB3328" t="str">
            <v>line item not tagged</v>
          </cell>
        </row>
        <row r="3329">
          <cell r="W3329">
            <v>0</v>
          </cell>
          <cell r="AB3329" t="str">
            <v>line item not tagged</v>
          </cell>
        </row>
        <row r="3330">
          <cell r="W3330">
            <v>0</v>
          </cell>
          <cell r="AB3330" t="str">
            <v>line item not tagged</v>
          </cell>
        </row>
        <row r="3331">
          <cell r="W3331">
            <v>0</v>
          </cell>
          <cell r="AB3331" t="str">
            <v>line item not tagged</v>
          </cell>
        </row>
        <row r="3332">
          <cell r="W3332">
            <v>0</v>
          </cell>
          <cell r="AB3332" t="str">
            <v>line item not tagged</v>
          </cell>
        </row>
        <row r="3333">
          <cell r="W3333">
            <v>0</v>
          </cell>
          <cell r="AB3333" t="str">
            <v>line item not tagged</v>
          </cell>
        </row>
        <row r="3334">
          <cell r="W3334">
            <v>0</v>
          </cell>
          <cell r="AB3334" t="str">
            <v>line item not tagged</v>
          </cell>
        </row>
        <row r="3335">
          <cell r="W3335">
            <v>0</v>
          </cell>
          <cell r="AB3335" t="str">
            <v>line item not tagged</v>
          </cell>
        </row>
        <row r="3336">
          <cell r="W3336">
            <v>0</v>
          </cell>
          <cell r="AB3336" t="str">
            <v>line item not tagged</v>
          </cell>
        </row>
        <row r="3337">
          <cell r="W3337">
            <v>0</v>
          </cell>
          <cell r="AB3337" t="str">
            <v>line item not tagged</v>
          </cell>
        </row>
        <row r="3338">
          <cell r="W3338">
            <v>0</v>
          </cell>
          <cell r="AB3338" t="str">
            <v>line item not tagged</v>
          </cell>
        </row>
        <row r="3339">
          <cell r="W3339">
            <v>0</v>
          </cell>
          <cell r="AB3339" t="str">
            <v>line item not tagged</v>
          </cell>
        </row>
        <row r="3340">
          <cell r="W3340">
            <v>0</v>
          </cell>
          <cell r="AB3340" t="str">
            <v>line item not tagged</v>
          </cell>
        </row>
        <row r="3341">
          <cell r="W3341">
            <v>0</v>
          </cell>
          <cell r="AB3341" t="str">
            <v>line item not tagged</v>
          </cell>
        </row>
        <row r="3342">
          <cell r="W3342">
            <v>0</v>
          </cell>
          <cell r="AB3342" t="str">
            <v>line item not tagged</v>
          </cell>
        </row>
        <row r="3343">
          <cell r="W3343">
            <v>0</v>
          </cell>
          <cell r="AB3343" t="str">
            <v>line item not tagged</v>
          </cell>
        </row>
        <row r="3344">
          <cell r="W3344">
            <v>0</v>
          </cell>
          <cell r="AB3344" t="str">
            <v>line item not tagged</v>
          </cell>
        </row>
        <row r="3345">
          <cell r="W3345">
            <v>0</v>
          </cell>
          <cell r="AB3345" t="str">
            <v>line item not tagged</v>
          </cell>
        </row>
        <row r="3346">
          <cell r="W3346">
            <v>0</v>
          </cell>
          <cell r="AB3346" t="str">
            <v>line item not tagged</v>
          </cell>
        </row>
        <row r="3347">
          <cell r="W3347">
            <v>0</v>
          </cell>
          <cell r="AB3347" t="str">
            <v>line item not tagged</v>
          </cell>
        </row>
        <row r="3348">
          <cell r="W3348">
            <v>0</v>
          </cell>
          <cell r="AB3348" t="str">
            <v>line item not tagged</v>
          </cell>
        </row>
        <row r="3349">
          <cell r="W3349">
            <v>0</v>
          </cell>
          <cell r="AB3349" t="str">
            <v>line item not tagged</v>
          </cell>
        </row>
        <row r="3350">
          <cell r="W3350">
            <v>0</v>
          </cell>
          <cell r="AB3350" t="str">
            <v>line item not tagged</v>
          </cell>
        </row>
        <row r="3351">
          <cell r="W3351">
            <v>0</v>
          </cell>
          <cell r="AB3351" t="str">
            <v>line item not tagged</v>
          </cell>
        </row>
        <row r="3352">
          <cell r="W3352">
            <v>0</v>
          </cell>
          <cell r="AB3352" t="str">
            <v>line item not tagged</v>
          </cell>
        </row>
        <row r="3353">
          <cell r="W3353">
            <v>0</v>
          </cell>
          <cell r="AB3353" t="str">
            <v>line item not tagged</v>
          </cell>
        </row>
        <row r="3354">
          <cell r="W3354">
            <v>0</v>
          </cell>
          <cell r="AB3354" t="str">
            <v>line item not tagged</v>
          </cell>
        </row>
        <row r="3355">
          <cell r="W3355">
            <v>0</v>
          </cell>
          <cell r="AB3355" t="str">
            <v>line item not tagged</v>
          </cell>
        </row>
        <row r="3356">
          <cell r="W3356">
            <v>0</v>
          </cell>
          <cell r="AB3356" t="str">
            <v>line item not tagged</v>
          </cell>
        </row>
        <row r="3357">
          <cell r="W3357">
            <v>0</v>
          </cell>
          <cell r="AB3357" t="str">
            <v>line item not tagged</v>
          </cell>
        </row>
        <row r="3358">
          <cell r="W3358">
            <v>0</v>
          </cell>
          <cell r="AB3358" t="str">
            <v>line item not tagged</v>
          </cell>
        </row>
        <row r="3359">
          <cell r="W3359">
            <v>0</v>
          </cell>
          <cell r="AB3359" t="str">
            <v>line item not tagged</v>
          </cell>
        </row>
        <row r="3360">
          <cell r="W3360">
            <v>0</v>
          </cell>
          <cell r="AB3360" t="str">
            <v>line item not tagged</v>
          </cell>
        </row>
        <row r="3361">
          <cell r="W3361">
            <v>0</v>
          </cell>
          <cell r="AB3361" t="str">
            <v>line item not tagged</v>
          </cell>
        </row>
        <row r="3362">
          <cell r="W3362">
            <v>0</v>
          </cell>
          <cell r="AB3362" t="str">
            <v>line item not tagged</v>
          </cell>
        </row>
        <row r="3363">
          <cell r="W3363">
            <v>0</v>
          </cell>
          <cell r="AB3363" t="str">
            <v>line item not tagged</v>
          </cell>
        </row>
        <row r="3364">
          <cell r="W3364">
            <v>0</v>
          </cell>
          <cell r="AB3364" t="str">
            <v>line item not tagged</v>
          </cell>
        </row>
        <row r="3365">
          <cell r="W3365">
            <v>0</v>
          </cell>
          <cell r="AB3365" t="str">
            <v>line item not tagged</v>
          </cell>
        </row>
        <row r="3366">
          <cell r="W3366">
            <v>0</v>
          </cell>
          <cell r="AB3366" t="str">
            <v>line item not tagged</v>
          </cell>
        </row>
        <row r="3367">
          <cell r="W3367">
            <v>0</v>
          </cell>
          <cell r="AB3367" t="str">
            <v>line item not tagged</v>
          </cell>
        </row>
        <row r="3368">
          <cell r="W3368">
            <v>0</v>
          </cell>
          <cell r="AB3368" t="str">
            <v>line item not tagged</v>
          </cell>
        </row>
        <row r="3369">
          <cell r="W3369">
            <v>0</v>
          </cell>
          <cell r="AB3369" t="str">
            <v>line item not tagged</v>
          </cell>
        </row>
        <row r="3370">
          <cell r="W3370">
            <v>0</v>
          </cell>
          <cell r="AB3370" t="str">
            <v>line item not tagged</v>
          </cell>
        </row>
        <row r="3371">
          <cell r="W3371">
            <v>0</v>
          </cell>
          <cell r="AB3371" t="str">
            <v>line item not tagged</v>
          </cell>
        </row>
        <row r="3372">
          <cell r="W3372">
            <v>0</v>
          </cell>
          <cell r="AB3372" t="str">
            <v>line item not tagged</v>
          </cell>
        </row>
        <row r="3373">
          <cell r="W3373">
            <v>0</v>
          </cell>
          <cell r="AB3373" t="str">
            <v>line item not tagged</v>
          </cell>
        </row>
        <row r="3374">
          <cell r="W3374">
            <v>0</v>
          </cell>
          <cell r="AB3374" t="str">
            <v>line item not tagged</v>
          </cell>
        </row>
        <row r="3375">
          <cell r="W3375">
            <v>0</v>
          </cell>
          <cell r="AB3375" t="str">
            <v>line item not tagged</v>
          </cell>
        </row>
        <row r="3376">
          <cell r="W3376">
            <v>0</v>
          </cell>
          <cell r="AB3376" t="str">
            <v>line item not tagged</v>
          </cell>
        </row>
        <row r="3377">
          <cell r="W3377">
            <v>0</v>
          </cell>
          <cell r="AB3377" t="str">
            <v>line item not tagged</v>
          </cell>
        </row>
        <row r="3378">
          <cell r="W3378">
            <v>0</v>
          </cell>
          <cell r="AB3378" t="str">
            <v>line item not tagged</v>
          </cell>
        </row>
        <row r="3379">
          <cell r="W3379">
            <v>0</v>
          </cell>
          <cell r="AB3379" t="str">
            <v>line item not tagged</v>
          </cell>
        </row>
        <row r="3380">
          <cell r="W3380">
            <v>0</v>
          </cell>
          <cell r="AB3380" t="str">
            <v>line item not tagged</v>
          </cell>
        </row>
        <row r="3381">
          <cell r="W3381">
            <v>0</v>
          </cell>
          <cell r="AB3381" t="str">
            <v>line item not tagged</v>
          </cell>
        </row>
        <row r="3382">
          <cell r="W3382">
            <v>0</v>
          </cell>
          <cell r="AB3382" t="str">
            <v>line item not tagged</v>
          </cell>
        </row>
        <row r="3383">
          <cell r="W3383">
            <v>0</v>
          </cell>
          <cell r="AB3383" t="str">
            <v>line item not tagged</v>
          </cell>
        </row>
        <row r="3384">
          <cell r="W3384">
            <v>0</v>
          </cell>
          <cell r="AB3384" t="str">
            <v>line item not tagged</v>
          </cell>
        </row>
        <row r="3385">
          <cell r="W3385">
            <v>0</v>
          </cell>
          <cell r="AB3385" t="str">
            <v>line item not tagged</v>
          </cell>
        </row>
        <row r="3386">
          <cell r="W3386">
            <v>0</v>
          </cell>
          <cell r="AB3386" t="str">
            <v>line item not tagged</v>
          </cell>
        </row>
        <row r="3387">
          <cell r="W3387">
            <v>0</v>
          </cell>
          <cell r="AB3387" t="str">
            <v>line item not tagged</v>
          </cell>
        </row>
        <row r="3388">
          <cell r="W3388">
            <v>0</v>
          </cell>
          <cell r="AB3388" t="str">
            <v>line item not tagged</v>
          </cell>
        </row>
        <row r="3389">
          <cell r="W3389">
            <v>0</v>
          </cell>
          <cell r="AB3389" t="str">
            <v>line item not tagged</v>
          </cell>
        </row>
        <row r="3390">
          <cell r="W3390">
            <v>0</v>
          </cell>
          <cell r="AB3390" t="str">
            <v>line item not tagged</v>
          </cell>
        </row>
        <row r="3391">
          <cell r="W3391">
            <v>0</v>
          </cell>
          <cell r="AB3391" t="str">
            <v>line item not tagged</v>
          </cell>
        </row>
        <row r="3392">
          <cell r="W3392">
            <v>0</v>
          </cell>
          <cell r="AB3392" t="str">
            <v>line item not tagged</v>
          </cell>
        </row>
        <row r="3393">
          <cell r="W3393">
            <v>0</v>
          </cell>
          <cell r="AB3393" t="str">
            <v>line item not tagged</v>
          </cell>
        </row>
        <row r="3394">
          <cell r="W3394">
            <v>0</v>
          </cell>
          <cell r="AB3394" t="str">
            <v>line item not tagged</v>
          </cell>
        </row>
        <row r="3395">
          <cell r="W3395">
            <v>0</v>
          </cell>
          <cell r="AB3395" t="str">
            <v>line item not tagged</v>
          </cell>
        </row>
        <row r="3396">
          <cell r="W3396">
            <v>0</v>
          </cell>
          <cell r="AB3396" t="str">
            <v>line item not tagged</v>
          </cell>
        </row>
        <row r="3397">
          <cell r="W3397">
            <v>0</v>
          </cell>
          <cell r="AB3397" t="str">
            <v>line item not tagged</v>
          </cell>
        </row>
        <row r="3398">
          <cell r="W3398">
            <v>0</v>
          </cell>
          <cell r="AB3398" t="str">
            <v>line item not tagged</v>
          </cell>
        </row>
        <row r="3399">
          <cell r="W3399">
            <v>0</v>
          </cell>
          <cell r="AB3399" t="str">
            <v>line item not tagged</v>
          </cell>
        </row>
        <row r="3400">
          <cell r="W3400">
            <v>0</v>
          </cell>
          <cell r="AB3400" t="str">
            <v>line item not tagged</v>
          </cell>
        </row>
        <row r="3401">
          <cell r="W3401">
            <v>0</v>
          </cell>
          <cell r="AB3401" t="str">
            <v>line item not tagged</v>
          </cell>
        </row>
        <row r="3402">
          <cell r="W3402">
            <v>0</v>
          </cell>
          <cell r="AB3402" t="str">
            <v>line item not tagged</v>
          </cell>
        </row>
        <row r="3403">
          <cell r="W3403">
            <v>0</v>
          </cell>
          <cell r="AB3403" t="str">
            <v>line item not tagged</v>
          </cell>
        </row>
        <row r="3404">
          <cell r="W3404">
            <v>0</v>
          </cell>
          <cell r="AB3404" t="str">
            <v>line item not tagged</v>
          </cell>
        </row>
        <row r="3405">
          <cell r="W3405">
            <v>0</v>
          </cell>
          <cell r="AB3405" t="str">
            <v>line item not tagged</v>
          </cell>
        </row>
        <row r="3406">
          <cell r="W3406">
            <v>0</v>
          </cell>
          <cell r="AB3406" t="str">
            <v>line item not tagged</v>
          </cell>
        </row>
        <row r="3407">
          <cell r="W3407">
            <v>0</v>
          </cell>
          <cell r="AB3407" t="str">
            <v>line item not tagged</v>
          </cell>
        </row>
        <row r="3408">
          <cell r="W3408">
            <v>0</v>
          </cell>
          <cell r="AB3408" t="str">
            <v>line item not tagged</v>
          </cell>
        </row>
        <row r="3409">
          <cell r="W3409">
            <v>0</v>
          </cell>
          <cell r="AB3409" t="str">
            <v>line item not tagged</v>
          </cell>
        </row>
        <row r="3410">
          <cell r="W3410">
            <v>0</v>
          </cell>
          <cell r="AB3410" t="str">
            <v>line item not tagged</v>
          </cell>
        </row>
        <row r="3411">
          <cell r="W3411">
            <v>0</v>
          </cell>
          <cell r="AB3411" t="str">
            <v>line item not tagged</v>
          </cell>
        </row>
        <row r="3412">
          <cell r="W3412">
            <v>0</v>
          </cell>
          <cell r="AB3412" t="str">
            <v>line item not tagged</v>
          </cell>
        </row>
        <row r="3413">
          <cell r="W3413">
            <v>0</v>
          </cell>
          <cell r="AB3413" t="str">
            <v>line item not tagged</v>
          </cell>
        </row>
        <row r="3414">
          <cell r="W3414">
            <v>0</v>
          </cell>
          <cell r="AB3414" t="str">
            <v>line item not tagged</v>
          </cell>
        </row>
        <row r="3415">
          <cell r="W3415">
            <v>0</v>
          </cell>
          <cell r="AB3415" t="str">
            <v>line item not tagged</v>
          </cell>
        </row>
        <row r="3416">
          <cell r="W3416">
            <v>0</v>
          </cell>
          <cell r="AB3416" t="str">
            <v>line item not tagged</v>
          </cell>
        </row>
        <row r="3417">
          <cell r="W3417">
            <v>0</v>
          </cell>
          <cell r="AB3417" t="str">
            <v>line item not tagged</v>
          </cell>
        </row>
        <row r="3418">
          <cell r="W3418">
            <v>0</v>
          </cell>
          <cell r="AB3418" t="str">
            <v>line item not tagged</v>
          </cell>
        </row>
        <row r="3419">
          <cell r="W3419">
            <v>0</v>
          </cell>
          <cell r="AB3419" t="str">
            <v>line item not tagged</v>
          </cell>
        </row>
        <row r="3420">
          <cell r="W3420">
            <v>0</v>
          </cell>
          <cell r="AB3420" t="str">
            <v>line item not tagged</v>
          </cell>
        </row>
        <row r="3421">
          <cell r="W3421">
            <v>0</v>
          </cell>
          <cell r="AB3421" t="str">
            <v>line item not tagged</v>
          </cell>
        </row>
        <row r="3422">
          <cell r="W3422">
            <v>0</v>
          </cell>
          <cell r="AB3422" t="str">
            <v>line item not tagged</v>
          </cell>
        </row>
        <row r="3423">
          <cell r="W3423">
            <v>0</v>
          </cell>
          <cell r="AB3423" t="str">
            <v>line item not tagged</v>
          </cell>
        </row>
        <row r="3424">
          <cell r="W3424">
            <v>0</v>
          </cell>
          <cell r="AB3424" t="str">
            <v>line item not tagged</v>
          </cell>
        </row>
        <row r="3425">
          <cell r="W3425">
            <v>0</v>
          </cell>
          <cell r="AB3425" t="str">
            <v>line item not tagged</v>
          </cell>
        </row>
        <row r="3426">
          <cell r="W3426">
            <v>0</v>
          </cell>
          <cell r="AB3426" t="str">
            <v>line item not tagged</v>
          </cell>
        </row>
        <row r="3427">
          <cell r="W3427">
            <v>0</v>
          </cell>
          <cell r="AB3427" t="str">
            <v>line item not tagged</v>
          </cell>
        </row>
        <row r="3428">
          <cell r="W3428">
            <v>0</v>
          </cell>
          <cell r="AB3428" t="str">
            <v>line item not tagged</v>
          </cell>
        </row>
        <row r="3429">
          <cell r="W3429">
            <v>0</v>
          </cell>
          <cell r="AB3429" t="str">
            <v>line item not tagged</v>
          </cell>
        </row>
        <row r="3430">
          <cell r="W3430">
            <v>0</v>
          </cell>
          <cell r="AB3430" t="str">
            <v>line item not tagged</v>
          </cell>
        </row>
        <row r="3431">
          <cell r="W3431">
            <v>0</v>
          </cell>
          <cell r="AB3431" t="str">
            <v>line item not tagged</v>
          </cell>
        </row>
        <row r="3432">
          <cell r="W3432">
            <v>0</v>
          </cell>
          <cell r="AB3432" t="str">
            <v>line item not tagged</v>
          </cell>
        </row>
        <row r="3433">
          <cell r="W3433">
            <v>0</v>
          </cell>
          <cell r="AB3433" t="str">
            <v>line item not tagged</v>
          </cell>
        </row>
        <row r="3434">
          <cell r="W3434">
            <v>0</v>
          </cell>
          <cell r="AB3434" t="str">
            <v>line item not tagged</v>
          </cell>
        </row>
        <row r="3435">
          <cell r="W3435">
            <v>0</v>
          </cell>
          <cell r="AB3435" t="str">
            <v>line item not tagged</v>
          </cell>
        </row>
        <row r="3436">
          <cell r="W3436">
            <v>0</v>
          </cell>
          <cell r="AB3436" t="str">
            <v>line item not tagged</v>
          </cell>
        </row>
        <row r="3437">
          <cell r="W3437">
            <v>0</v>
          </cell>
          <cell r="AB3437" t="str">
            <v>line item not tagged</v>
          </cell>
        </row>
        <row r="3438">
          <cell r="W3438">
            <v>0</v>
          </cell>
          <cell r="AB3438" t="str">
            <v>line item not tagged</v>
          </cell>
        </row>
        <row r="3439">
          <cell r="W3439">
            <v>0</v>
          </cell>
          <cell r="AB3439" t="str">
            <v>line item not tagged</v>
          </cell>
        </row>
        <row r="3440">
          <cell r="W3440">
            <v>0</v>
          </cell>
          <cell r="AB3440" t="str">
            <v>line item not tagged</v>
          </cell>
        </row>
        <row r="3441">
          <cell r="W3441">
            <v>0</v>
          </cell>
          <cell r="AB3441" t="str">
            <v>line item not tagged</v>
          </cell>
        </row>
        <row r="3442">
          <cell r="W3442">
            <v>0</v>
          </cell>
          <cell r="AB3442" t="str">
            <v>line item not tagged</v>
          </cell>
        </row>
        <row r="3443">
          <cell r="W3443">
            <v>0</v>
          </cell>
          <cell r="AB3443" t="str">
            <v>line item not tagged</v>
          </cell>
        </row>
        <row r="3444">
          <cell r="W3444">
            <v>0</v>
          </cell>
          <cell r="AB3444" t="str">
            <v>line item not tagged</v>
          </cell>
        </row>
        <row r="3445">
          <cell r="W3445">
            <v>0</v>
          </cell>
          <cell r="AB3445" t="str">
            <v>line item not tagged</v>
          </cell>
        </row>
        <row r="3446">
          <cell r="W3446">
            <v>0</v>
          </cell>
          <cell r="AB3446" t="str">
            <v>line item not tagged</v>
          </cell>
        </row>
        <row r="3447">
          <cell r="W3447">
            <v>0</v>
          </cell>
          <cell r="AB3447" t="str">
            <v>line item not tagged</v>
          </cell>
        </row>
        <row r="3448">
          <cell r="W3448">
            <v>0</v>
          </cell>
          <cell r="AB3448" t="str">
            <v>line item not tagged</v>
          </cell>
        </row>
        <row r="3449">
          <cell r="W3449">
            <v>0</v>
          </cell>
          <cell r="AB3449" t="str">
            <v>line item not tagged</v>
          </cell>
        </row>
        <row r="3450">
          <cell r="W3450">
            <v>0</v>
          </cell>
          <cell r="AB3450" t="str">
            <v>line item not tagged</v>
          </cell>
        </row>
        <row r="3451">
          <cell r="W3451">
            <v>0</v>
          </cell>
          <cell r="AB3451" t="str">
            <v>line item not tagged</v>
          </cell>
        </row>
        <row r="3452">
          <cell r="W3452">
            <v>0</v>
          </cell>
          <cell r="AB3452" t="str">
            <v>line item not tagged</v>
          </cell>
        </row>
        <row r="3453">
          <cell r="W3453">
            <v>0</v>
          </cell>
          <cell r="AB3453" t="str">
            <v>line item not tagged</v>
          </cell>
        </row>
        <row r="3454">
          <cell r="W3454">
            <v>0</v>
          </cell>
          <cell r="AB3454" t="str">
            <v>line item not tagged</v>
          </cell>
        </row>
        <row r="3455">
          <cell r="W3455">
            <v>0</v>
          </cell>
          <cell r="AB3455" t="str">
            <v>line item not tagged</v>
          </cell>
        </row>
        <row r="3456">
          <cell r="W3456">
            <v>0</v>
          </cell>
          <cell r="AB3456" t="str">
            <v>line item not tagged</v>
          </cell>
        </row>
        <row r="3457">
          <cell r="W3457">
            <v>0</v>
          </cell>
          <cell r="AB3457" t="str">
            <v>line item not tagged</v>
          </cell>
        </row>
        <row r="3458">
          <cell r="W3458">
            <v>0</v>
          </cell>
          <cell r="AB3458" t="str">
            <v>line item not tagged</v>
          </cell>
        </row>
        <row r="3459">
          <cell r="W3459">
            <v>0</v>
          </cell>
          <cell r="AB3459" t="str">
            <v>line item not tagged</v>
          </cell>
        </row>
        <row r="3460">
          <cell r="W3460">
            <v>0</v>
          </cell>
          <cell r="AB3460" t="str">
            <v>line item not tagged</v>
          </cell>
        </row>
        <row r="3461">
          <cell r="W3461">
            <v>0</v>
          </cell>
          <cell r="AB3461" t="str">
            <v>line item not tagged</v>
          </cell>
        </row>
        <row r="3462">
          <cell r="W3462">
            <v>0</v>
          </cell>
          <cell r="AB3462" t="str">
            <v>line item not tagged</v>
          </cell>
        </row>
        <row r="3463">
          <cell r="W3463">
            <v>0</v>
          </cell>
          <cell r="AB3463" t="str">
            <v>line item not tagged</v>
          </cell>
        </row>
        <row r="3464">
          <cell r="W3464">
            <v>0</v>
          </cell>
          <cell r="AB3464" t="str">
            <v>line item not tagged</v>
          </cell>
        </row>
        <row r="3465">
          <cell r="W3465">
            <v>0</v>
          </cell>
          <cell r="AB3465" t="str">
            <v>line item not tagged</v>
          </cell>
        </row>
        <row r="3466">
          <cell r="W3466">
            <v>0</v>
          </cell>
          <cell r="AB3466" t="str">
            <v>line item not tagged</v>
          </cell>
        </row>
        <row r="3467">
          <cell r="W3467">
            <v>0</v>
          </cell>
          <cell r="AB3467" t="str">
            <v>line item not tagged</v>
          </cell>
        </row>
        <row r="3468">
          <cell r="W3468">
            <v>0</v>
          </cell>
          <cell r="AB3468" t="str">
            <v>line item not tagged</v>
          </cell>
        </row>
        <row r="3469">
          <cell r="W3469">
            <v>0</v>
          </cell>
          <cell r="AB3469" t="str">
            <v>line item not tagged</v>
          </cell>
        </row>
        <row r="3470">
          <cell r="W3470">
            <v>0</v>
          </cell>
          <cell r="AB3470" t="str">
            <v>line item not tagged</v>
          </cell>
        </row>
        <row r="3471">
          <cell r="W3471">
            <v>0</v>
          </cell>
          <cell r="AB3471" t="str">
            <v>line item not tagged</v>
          </cell>
        </row>
        <row r="3472">
          <cell r="W3472">
            <v>0</v>
          </cell>
          <cell r="AB3472" t="str">
            <v>line item not tagged</v>
          </cell>
        </row>
        <row r="3473">
          <cell r="W3473">
            <v>0</v>
          </cell>
          <cell r="AB3473" t="str">
            <v>line item not tagged</v>
          </cell>
        </row>
        <row r="3474">
          <cell r="W3474">
            <v>0</v>
          </cell>
          <cell r="AB3474" t="str">
            <v>line item not tagged</v>
          </cell>
        </row>
        <row r="3475">
          <cell r="W3475">
            <v>0</v>
          </cell>
          <cell r="AB3475" t="str">
            <v>line item not tagged</v>
          </cell>
        </row>
        <row r="3476">
          <cell r="W3476">
            <v>0</v>
          </cell>
          <cell r="AB3476" t="str">
            <v>line item not tagged</v>
          </cell>
        </row>
        <row r="3477">
          <cell r="W3477">
            <v>0</v>
          </cell>
          <cell r="AB3477" t="str">
            <v>line item not tagged</v>
          </cell>
        </row>
        <row r="3478">
          <cell r="W3478">
            <v>0</v>
          </cell>
          <cell r="AB3478" t="str">
            <v>line item not tagged</v>
          </cell>
        </row>
        <row r="3479">
          <cell r="W3479">
            <v>0</v>
          </cell>
          <cell r="AB3479" t="str">
            <v>line item not tagged</v>
          </cell>
        </row>
        <row r="3480">
          <cell r="W3480">
            <v>0</v>
          </cell>
          <cell r="AB3480" t="str">
            <v>line item not tagged</v>
          </cell>
        </row>
        <row r="3481">
          <cell r="W3481">
            <v>0</v>
          </cell>
          <cell r="AB3481" t="str">
            <v>line item not tagged</v>
          </cell>
        </row>
        <row r="3482">
          <cell r="W3482">
            <v>0</v>
          </cell>
          <cell r="AB3482" t="str">
            <v>line item not tagged</v>
          </cell>
        </row>
        <row r="3483">
          <cell r="W3483">
            <v>0</v>
          </cell>
          <cell r="AB3483" t="str">
            <v>line item not tagged</v>
          </cell>
        </row>
        <row r="3484">
          <cell r="W3484">
            <v>0</v>
          </cell>
          <cell r="AB3484" t="str">
            <v>line item not tagged</v>
          </cell>
        </row>
        <row r="3485">
          <cell r="W3485">
            <v>0</v>
          </cell>
          <cell r="AB3485" t="str">
            <v>line item not tagged</v>
          </cell>
        </row>
        <row r="3486">
          <cell r="W3486">
            <v>0</v>
          </cell>
          <cell r="AB3486" t="str">
            <v>line item not tagged</v>
          </cell>
        </row>
        <row r="3487">
          <cell r="W3487">
            <v>0</v>
          </cell>
          <cell r="AB3487" t="str">
            <v>line item not tagged</v>
          </cell>
        </row>
        <row r="3488">
          <cell r="W3488">
            <v>0</v>
          </cell>
          <cell r="AB3488" t="str">
            <v>line item not tagged</v>
          </cell>
        </row>
        <row r="3489">
          <cell r="W3489">
            <v>0</v>
          </cell>
          <cell r="AB3489" t="str">
            <v>line item not tagged</v>
          </cell>
        </row>
        <row r="3490">
          <cell r="W3490">
            <v>0</v>
          </cell>
          <cell r="AB3490" t="str">
            <v>line item not tagged</v>
          </cell>
        </row>
        <row r="3491">
          <cell r="W3491">
            <v>0</v>
          </cell>
          <cell r="AB3491" t="str">
            <v>line item not tagged</v>
          </cell>
        </row>
        <row r="3492">
          <cell r="W3492">
            <v>0</v>
          </cell>
          <cell r="AB3492" t="str">
            <v>line item not tagged</v>
          </cell>
        </row>
        <row r="3493">
          <cell r="W3493">
            <v>0</v>
          </cell>
          <cell r="AB3493" t="str">
            <v>line item not tagged</v>
          </cell>
        </row>
        <row r="3494">
          <cell r="W3494">
            <v>0</v>
          </cell>
          <cell r="AB3494" t="str">
            <v>line item not tagged</v>
          </cell>
        </row>
        <row r="3495">
          <cell r="W3495">
            <v>0</v>
          </cell>
          <cell r="AB3495" t="str">
            <v>line item not tagged</v>
          </cell>
        </row>
        <row r="3496">
          <cell r="W3496">
            <v>0</v>
          </cell>
          <cell r="AB3496" t="str">
            <v>line item not tagged</v>
          </cell>
        </row>
        <row r="3497">
          <cell r="W3497">
            <v>0</v>
          </cell>
          <cell r="AB3497" t="str">
            <v>line item not tagged</v>
          </cell>
        </row>
        <row r="3498">
          <cell r="W3498">
            <v>0</v>
          </cell>
          <cell r="AB3498" t="str">
            <v>line item not tagged</v>
          </cell>
        </row>
        <row r="3499">
          <cell r="W3499">
            <v>0</v>
          </cell>
          <cell r="AB3499" t="str">
            <v>line item not tagged</v>
          </cell>
        </row>
        <row r="3500">
          <cell r="W3500">
            <v>0</v>
          </cell>
          <cell r="AB3500" t="str">
            <v>line item not tagged</v>
          </cell>
        </row>
        <row r="3501">
          <cell r="W3501">
            <v>0</v>
          </cell>
          <cell r="AB3501" t="str">
            <v>line item not tagged</v>
          </cell>
        </row>
        <row r="3502">
          <cell r="W3502">
            <v>0</v>
          </cell>
          <cell r="AB3502" t="str">
            <v>line item not tagged</v>
          </cell>
        </row>
        <row r="3503">
          <cell r="W3503">
            <v>0</v>
          </cell>
          <cell r="AB3503" t="str">
            <v>line item not tagged</v>
          </cell>
        </row>
        <row r="3504">
          <cell r="W3504">
            <v>0</v>
          </cell>
          <cell r="AB3504" t="str">
            <v>line item not tagged</v>
          </cell>
        </row>
        <row r="3505">
          <cell r="W3505">
            <v>0</v>
          </cell>
          <cell r="AB3505" t="str">
            <v>line item not tagged</v>
          </cell>
        </row>
        <row r="3506">
          <cell r="W3506">
            <v>0</v>
          </cell>
          <cell r="AB3506" t="str">
            <v>line item not tagged</v>
          </cell>
        </row>
        <row r="3507">
          <cell r="W3507">
            <v>0</v>
          </cell>
          <cell r="AB3507" t="str">
            <v>line item not tagged</v>
          </cell>
        </row>
        <row r="3508">
          <cell r="W3508">
            <v>0</v>
          </cell>
          <cell r="AB3508" t="str">
            <v>line item not tagged</v>
          </cell>
        </row>
        <row r="3509">
          <cell r="W3509">
            <v>0</v>
          </cell>
          <cell r="AB3509" t="str">
            <v>line item not tagged</v>
          </cell>
        </row>
        <row r="3510">
          <cell r="W3510">
            <v>0</v>
          </cell>
          <cell r="AB3510" t="str">
            <v>line item not tagged</v>
          </cell>
        </row>
        <row r="3511">
          <cell r="W3511">
            <v>0</v>
          </cell>
          <cell r="AB3511" t="str">
            <v>line item not tagged</v>
          </cell>
        </row>
        <row r="3512">
          <cell r="W3512">
            <v>0</v>
          </cell>
          <cell r="AB3512" t="str">
            <v>line item not tagged</v>
          </cell>
        </row>
        <row r="3513">
          <cell r="W3513">
            <v>0</v>
          </cell>
          <cell r="AB3513" t="str">
            <v>line item not tagged</v>
          </cell>
        </row>
        <row r="3514">
          <cell r="W3514">
            <v>0</v>
          </cell>
          <cell r="AB3514" t="str">
            <v>line item not tagged</v>
          </cell>
        </row>
        <row r="3515">
          <cell r="W3515">
            <v>0</v>
          </cell>
          <cell r="AB3515" t="str">
            <v>line item not tagged</v>
          </cell>
        </row>
        <row r="3516">
          <cell r="W3516">
            <v>0</v>
          </cell>
          <cell r="AB3516" t="str">
            <v>line item not tagged</v>
          </cell>
        </row>
        <row r="3517">
          <cell r="W3517">
            <v>0</v>
          </cell>
          <cell r="AB3517" t="str">
            <v>line item not tagged</v>
          </cell>
        </row>
        <row r="3518">
          <cell r="W3518">
            <v>0</v>
          </cell>
          <cell r="AB3518" t="str">
            <v>line item not tagged</v>
          </cell>
        </row>
        <row r="3519">
          <cell r="W3519">
            <v>0</v>
          </cell>
          <cell r="AB3519" t="str">
            <v>line item not tagged</v>
          </cell>
        </row>
        <row r="3520">
          <cell r="W3520">
            <v>0</v>
          </cell>
          <cell r="AB3520" t="str">
            <v>line item not tagged</v>
          </cell>
        </row>
        <row r="3521">
          <cell r="W3521">
            <v>0</v>
          </cell>
          <cell r="AB3521" t="str">
            <v>line item not tagged</v>
          </cell>
        </row>
        <row r="3522">
          <cell r="W3522">
            <v>0</v>
          </cell>
          <cell r="AB3522" t="str">
            <v>line item not tagged</v>
          </cell>
        </row>
        <row r="3523">
          <cell r="W3523">
            <v>0</v>
          </cell>
          <cell r="AB3523" t="str">
            <v>line item not tagged</v>
          </cell>
        </row>
        <row r="3524">
          <cell r="W3524">
            <v>0</v>
          </cell>
          <cell r="AB3524" t="str">
            <v>line item not tagged</v>
          </cell>
        </row>
        <row r="3525">
          <cell r="W3525">
            <v>0</v>
          </cell>
          <cell r="AB3525" t="str">
            <v>line item not tagged</v>
          </cell>
        </row>
        <row r="3526">
          <cell r="W3526">
            <v>0</v>
          </cell>
          <cell r="AB3526" t="str">
            <v>line item not tagged</v>
          </cell>
        </row>
        <row r="3527">
          <cell r="W3527">
            <v>0</v>
          </cell>
          <cell r="AB3527" t="str">
            <v>line item not tagged</v>
          </cell>
        </row>
        <row r="3528">
          <cell r="W3528">
            <v>0</v>
          </cell>
          <cell r="AB3528" t="str">
            <v>line item not tagged</v>
          </cell>
        </row>
        <row r="3529">
          <cell r="W3529">
            <v>0</v>
          </cell>
          <cell r="AB3529" t="str">
            <v>line item not tagged</v>
          </cell>
        </row>
        <row r="3530">
          <cell r="W3530">
            <v>0</v>
          </cell>
          <cell r="AB3530" t="str">
            <v>line item not tagged</v>
          </cell>
        </row>
        <row r="3531">
          <cell r="W3531">
            <v>0</v>
          </cell>
          <cell r="AB3531" t="str">
            <v>line item not tagged</v>
          </cell>
        </row>
        <row r="3532">
          <cell r="W3532">
            <v>0</v>
          </cell>
          <cell r="AB3532" t="str">
            <v>line item not tagged</v>
          </cell>
        </row>
        <row r="3533">
          <cell r="W3533">
            <v>0</v>
          </cell>
          <cell r="AB3533" t="str">
            <v>line item not tagged</v>
          </cell>
        </row>
        <row r="3534">
          <cell r="W3534">
            <v>0</v>
          </cell>
          <cell r="AB3534" t="str">
            <v>line item not tagged</v>
          </cell>
        </row>
        <row r="3535">
          <cell r="W3535">
            <v>0</v>
          </cell>
          <cell r="AB3535" t="str">
            <v>line item not tagged</v>
          </cell>
        </row>
        <row r="3536">
          <cell r="W3536">
            <v>0</v>
          </cell>
          <cell r="AB3536" t="str">
            <v>line item not tagged</v>
          </cell>
        </row>
        <row r="3537">
          <cell r="W3537">
            <v>0</v>
          </cell>
          <cell r="AB3537" t="str">
            <v>line item not tagged</v>
          </cell>
        </row>
        <row r="3538">
          <cell r="W3538">
            <v>0</v>
          </cell>
          <cell r="AB3538" t="str">
            <v>line item not tagged</v>
          </cell>
        </row>
        <row r="3539">
          <cell r="W3539">
            <v>0</v>
          </cell>
          <cell r="AB3539" t="str">
            <v>line item not tagged</v>
          </cell>
        </row>
        <row r="3540">
          <cell r="W3540">
            <v>0</v>
          </cell>
          <cell r="AB3540" t="str">
            <v>line item not tagged</v>
          </cell>
        </row>
        <row r="3541">
          <cell r="W3541">
            <v>0</v>
          </cell>
          <cell r="AB3541" t="str">
            <v>line item not tagged</v>
          </cell>
        </row>
        <row r="3542">
          <cell r="W3542">
            <v>0</v>
          </cell>
          <cell r="AB3542" t="str">
            <v>line item not tagged</v>
          </cell>
        </row>
        <row r="3543">
          <cell r="W3543">
            <v>0</v>
          </cell>
          <cell r="AB3543" t="str">
            <v>line item not tagged</v>
          </cell>
        </row>
        <row r="3544">
          <cell r="W3544">
            <v>0</v>
          </cell>
          <cell r="AB3544" t="str">
            <v>line item not tagged</v>
          </cell>
        </row>
        <row r="3545">
          <cell r="W3545">
            <v>0</v>
          </cell>
          <cell r="AB3545" t="str">
            <v>line item not tagged</v>
          </cell>
        </row>
        <row r="3546">
          <cell r="W3546">
            <v>0</v>
          </cell>
          <cell r="AB3546" t="str">
            <v>line item not tagged</v>
          </cell>
        </row>
        <row r="3547">
          <cell r="W3547">
            <v>0</v>
          </cell>
          <cell r="AB3547" t="str">
            <v>line item not tagged</v>
          </cell>
        </row>
        <row r="3548">
          <cell r="W3548">
            <v>0</v>
          </cell>
          <cell r="AB3548" t="str">
            <v>line item not tagged</v>
          </cell>
        </row>
        <row r="3549">
          <cell r="W3549">
            <v>0</v>
          </cell>
          <cell r="AB3549" t="str">
            <v>line item not tagged</v>
          </cell>
        </row>
        <row r="3550">
          <cell r="W3550">
            <v>0</v>
          </cell>
          <cell r="AB3550" t="str">
            <v>line item not tagged</v>
          </cell>
        </row>
        <row r="3551">
          <cell r="W3551">
            <v>0</v>
          </cell>
          <cell r="AB3551" t="str">
            <v>line item not tagged</v>
          </cell>
        </row>
        <row r="3552">
          <cell r="W3552">
            <v>0</v>
          </cell>
          <cell r="AB3552" t="str">
            <v>line item not tagged</v>
          </cell>
        </row>
        <row r="3553">
          <cell r="W3553">
            <v>0</v>
          </cell>
          <cell r="AB3553" t="str">
            <v>line item not tagged</v>
          </cell>
        </row>
        <row r="3554">
          <cell r="W3554">
            <v>0</v>
          </cell>
          <cell r="AB3554" t="str">
            <v>line item not tagged</v>
          </cell>
        </row>
        <row r="3555">
          <cell r="W3555">
            <v>0</v>
          </cell>
          <cell r="AB3555" t="str">
            <v>line item not tagged</v>
          </cell>
        </row>
        <row r="3556">
          <cell r="W3556">
            <v>0</v>
          </cell>
          <cell r="AB3556" t="str">
            <v>line item not tagged</v>
          </cell>
        </row>
        <row r="3557">
          <cell r="W3557">
            <v>0</v>
          </cell>
          <cell r="AB3557" t="str">
            <v>line item not tagged</v>
          </cell>
        </row>
        <row r="3558">
          <cell r="W3558">
            <v>0</v>
          </cell>
          <cell r="AB3558" t="str">
            <v>line item not tagged</v>
          </cell>
        </row>
        <row r="3559">
          <cell r="W3559">
            <v>0</v>
          </cell>
          <cell r="AB3559" t="str">
            <v>line item not tagged</v>
          </cell>
        </row>
        <row r="3560">
          <cell r="W3560">
            <v>0</v>
          </cell>
          <cell r="AB3560" t="str">
            <v>line item not tagged</v>
          </cell>
        </row>
        <row r="3561">
          <cell r="W3561">
            <v>0</v>
          </cell>
          <cell r="AB3561" t="str">
            <v>line item not tagged</v>
          </cell>
        </row>
        <row r="3562">
          <cell r="W3562">
            <v>0</v>
          </cell>
          <cell r="AB3562" t="str">
            <v>line item not tagged</v>
          </cell>
        </row>
        <row r="3563">
          <cell r="W3563">
            <v>0</v>
          </cell>
          <cell r="AB3563" t="str">
            <v>line item not tagged</v>
          </cell>
        </row>
        <row r="3564">
          <cell r="W3564">
            <v>0</v>
          </cell>
          <cell r="AB3564" t="str">
            <v>line item not tagged</v>
          </cell>
        </row>
        <row r="3565">
          <cell r="W3565">
            <v>0</v>
          </cell>
          <cell r="AB3565" t="str">
            <v>line item not tagged</v>
          </cell>
        </row>
        <row r="3566">
          <cell r="W3566">
            <v>0</v>
          </cell>
          <cell r="AB3566" t="str">
            <v>line item not tagged</v>
          </cell>
        </row>
        <row r="3567">
          <cell r="W3567">
            <v>0</v>
          </cell>
          <cell r="AB3567" t="str">
            <v>line item not tagged</v>
          </cell>
        </row>
        <row r="3568">
          <cell r="W3568">
            <v>0</v>
          </cell>
          <cell r="AB3568" t="str">
            <v>line item not tagged</v>
          </cell>
        </row>
        <row r="3569">
          <cell r="W3569">
            <v>0</v>
          </cell>
          <cell r="AB3569" t="str">
            <v>line item not tagged</v>
          </cell>
        </row>
        <row r="3570">
          <cell r="W3570">
            <v>0</v>
          </cell>
          <cell r="AB3570" t="str">
            <v>line item not tagged</v>
          </cell>
        </row>
        <row r="3571">
          <cell r="W3571">
            <v>0</v>
          </cell>
          <cell r="AB3571" t="str">
            <v>line item not tagged</v>
          </cell>
        </row>
        <row r="3572">
          <cell r="W3572">
            <v>0</v>
          </cell>
          <cell r="AB3572" t="str">
            <v>line item not tagged</v>
          </cell>
        </row>
        <row r="3573">
          <cell r="W3573">
            <v>0</v>
          </cell>
          <cell r="AB3573" t="str">
            <v>line item not tagged</v>
          </cell>
        </row>
        <row r="3574">
          <cell r="W3574">
            <v>0</v>
          </cell>
          <cell r="AB3574" t="str">
            <v>line item not tagged</v>
          </cell>
        </row>
        <row r="3575">
          <cell r="W3575">
            <v>0</v>
          </cell>
          <cell r="AB3575" t="str">
            <v>line item not tagged</v>
          </cell>
        </row>
        <row r="3576">
          <cell r="W3576">
            <v>0</v>
          </cell>
          <cell r="AB3576" t="str">
            <v>line item not tagged</v>
          </cell>
        </row>
        <row r="3577">
          <cell r="W3577">
            <v>0</v>
          </cell>
          <cell r="AB3577" t="str">
            <v>line item not tagged</v>
          </cell>
        </row>
        <row r="3578">
          <cell r="W3578">
            <v>0</v>
          </cell>
          <cell r="AB3578" t="str">
            <v>line item not tagged</v>
          </cell>
        </row>
        <row r="3579">
          <cell r="W3579">
            <v>0</v>
          </cell>
          <cell r="AB3579" t="str">
            <v>line item not tagged</v>
          </cell>
        </row>
        <row r="3580">
          <cell r="W3580">
            <v>0</v>
          </cell>
          <cell r="AB3580" t="str">
            <v>line item not tagged</v>
          </cell>
        </row>
        <row r="3581">
          <cell r="W3581">
            <v>0</v>
          </cell>
          <cell r="AB3581" t="str">
            <v>line item not tagged</v>
          </cell>
        </row>
        <row r="3582">
          <cell r="W3582">
            <v>0</v>
          </cell>
          <cell r="AB3582" t="str">
            <v>line item not tagged</v>
          </cell>
        </row>
        <row r="3583">
          <cell r="W3583">
            <v>0</v>
          </cell>
          <cell r="AB3583" t="str">
            <v>line item not tagged</v>
          </cell>
        </row>
        <row r="3584">
          <cell r="W3584">
            <v>0</v>
          </cell>
          <cell r="AB3584" t="str">
            <v>line item not tagged</v>
          </cell>
        </row>
        <row r="3585">
          <cell r="W3585">
            <v>0</v>
          </cell>
          <cell r="AB3585" t="str">
            <v>line item not tagged</v>
          </cell>
        </row>
        <row r="3586">
          <cell r="W3586">
            <v>0</v>
          </cell>
          <cell r="AB3586" t="str">
            <v>line item not tagged</v>
          </cell>
        </row>
        <row r="3587">
          <cell r="W3587">
            <v>0</v>
          </cell>
          <cell r="AB3587" t="str">
            <v>line item not tagged</v>
          </cell>
        </row>
        <row r="3588">
          <cell r="W3588">
            <v>0</v>
          </cell>
          <cell r="AB3588" t="str">
            <v>line item not tagged</v>
          </cell>
        </row>
        <row r="3589">
          <cell r="W3589">
            <v>0</v>
          </cell>
          <cell r="AB3589" t="str">
            <v>line item not tagged</v>
          </cell>
        </row>
        <row r="3590">
          <cell r="W3590">
            <v>0</v>
          </cell>
          <cell r="AB3590" t="str">
            <v>line item not tagged</v>
          </cell>
        </row>
        <row r="3591">
          <cell r="W3591">
            <v>0</v>
          </cell>
          <cell r="AB3591" t="str">
            <v>line item not tagged</v>
          </cell>
        </row>
        <row r="3592">
          <cell r="W3592">
            <v>0</v>
          </cell>
          <cell r="AB3592" t="str">
            <v>line item not tagged</v>
          </cell>
        </row>
        <row r="3593">
          <cell r="W3593">
            <v>0</v>
          </cell>
          <cell r="AB3593" t="str">
            <v>line item not tagged</v>
          </cell>
        </row>
        <row r="3594">
          <cell r="W3594">
            <v>0</v>
          </cell>
          <cell r="AB3594" t="str">
            <v>line item not tagged</v>
          </cell>
        </row>
        <row r="3595">
          <cell r="W3595">
            <v>0</v>
          </cell>
          <cell r="AB3595" t="str">
            <v>line item not tagged</v>
          </cell>
        </row>
        <row r="3596">
          <cell r="W3596">
            <v>0</v>
          </cell>
          <cell r="AB3596" t="str">
            <v>line item not tagged</v>
          </cell>
        </row>
        <row r="3597">
          <cell r="W3597">
            <v>0</v>
          </cell>
          <cell r="AB3597" t="str">
            <v>line item not tagged</v>
          </cell>
        </row>
        <row r="3598">
          <cell r="W3598">
            <v>0</v>
          </cell>
          <cell r="AB3598" t="str">
            <v>line item not tagged</v>
          </cell>
        </row>
        <row r="3599">
          <cell r="W3599">
            <v>0</v>
          </cell>
          <cell r="AB3599" t="str">
            <v>line item not tagged</v>
          </cell>
        </row>
        <row r="3600">
          <cell r="W3600">
            <v>0</v>
          </cell>
          <cell r="AB3600" t="str">
            <v>line item not tagged</v>
          </cell>
        </row>
        <row r="3601">
          <cell r="W3601">
            <v>0</v>
          </cell>
          <cell r="AB3601" t="str">
            <v>line item not tagged</v>
          </cell>
        </row>
        <row r="3602">
          <cell r="W3602">
            <v>0</v>
          </cell>
          <cell r="AB3602" t="str">
            <v>line item not tagged</v>
          </cell>
        </row>
        <row r="3603">
          <cell r="W3603">
            <v>0</v>
          </cell>
          <cell r="AB3603" t="str">
            <v>line item not tagged</v>
          </cell>
        </row>
        <row r="3604">
          <cell r="W3604">
            <v>0</v>
          </cell>
          <cell r="AB3604" t="str">
            <v>line item not tagged</v>
          </cell>
        </row>
        <row r="3605">
          <cell r="W3605">
            <v>0</v>
          </cell>
          <cell r="AB3605" t="str">
            <v>line item not tagged</v>
          </cell>
        </row>
        <row r="3606">
          <cell r="W3606">
            <v>0</v>
          </cell>
          <cell r="AB3606" t="str">
            <v>line item not tagged</v>
          </cell>
        </row>
        <row r="3607">
          <cell r="W3607">
            <v>0</v>
          </cell>
          <cell r="AB3607" t="str">
            <v>line item not tagged</v>
          </cell>
        </row>
        <row r="3608">
          <cell r="W3608">
            <v>0</v>
          </cell>
          <cell r="AB3608" t="str">
            <v>line item not tagged</v>
          </cell>
        </row>
        <row r="3609">
          <cell r="W3609">
            <v>0</v>
          </cell>
          <cell r="AB3609" t="str">
            <v>line item not tagged</v>
          </cell>
        </row>
        <row r="3610">
          <cell r="W3610">
            <v>0</v>
          </cell>
          <cell r="AB3610" t="str">
            <v>line item not tagged</v>
          </cell>
        </row>
        <row r="3611">
          <cell r="W3611">
            <v>0</v>
          </cell>
          <cell r="AB3611" t="str">
            <v>line item not tagged</v>
          </cell>
        </row>
        <row r="3612">
          <cell r="W3612">
            <v>0</v>
          </cell>
          <cell r="AB3612" t="str">
            <v>line item not tagged</v>
          </cell>
        </row>
        <row r="3613">
          <cell r="W3613">
            <v>0</v>
          </cell>
          <cell r="AB3613" t="str">
            <v>line item not tagged</v>
          </cell>
        </row>
        <row r="3614">
          <cell r="W3614">
            <v>0</v>
          </cell>
          <cell r="AB3614" t="str">
            <v>line item not tagged</v>
          </cell>
        </row>
        <row r="3615">
          <cell r="W3615">
            <v>0</v>
          </cell>
          <cell r="AB3615" t="str">
            <v>line item not tagged</v>
          </cell>
        </row>
        <row r="3616">
          <cell r="W3616">
            <v>0</v>
          </cell>
          <cell r="AB3616" t="str">
            <v>line item not tagged</v>
          </cell>
        </row>
        <row r="3617">
          <cell r="W3617">
            <v>0</v>
          </cell>
          <cell r="AB3617" t="str">
            <v>line item not tagged</v>
          </cell>
        </row>
        <row r="3618">
          <cell r="W3618">
            <v>0</v>
          </cell>
          <cell r="AB3618" t="str">
            <v>line item not tagged</v>
          </cell>
        </row>
        <row r="3619">
          <cell r="W3619">
            <v>0</v>
          </cell>
          <cell r="AB3619" t="str">
            <v>line item not tagged</v>
          </cell>
        </row>
        <row r="3620">
          <cell r="W3620">
            <v>0</v>
          </cell>
          <cell r="AB3620" t="str">
            <v>line item not tagged</v>
          </cell>
        </row>
        <row r="3621">
          <cell r="W3621">
            <v>0</v>
          </cell>
          <cell r="AB3621" t="str">
            <v>line item not tagged</v>
          </cell>
        </row>
        <row r="3622">
          <cell r="W3622">
            <v>0</v>
          </cell>
          <cell r="AB3622" t="str">
            <v>line item not tagged</v>
          </cell>
        </row>
        <row r="3623">
          <cell r="W3623">
            <v>0</v>
          </cell>
          <cell r="AB3623" t="str">
            <v>line item not tagged</v>
          </cell>
        </row>
        <row r="3624">
          <cell r="W3624">
            <v>0</v>
          </cell>
          <cell r="AB3624" t="str">
            <v>line item not tagged</v>
          </cell>
        </row>
        <row r="3625">
          <cell r="W3625">
            <v>0</v>
          </cell>
          <cell r="AB3625" t="str">
            <v>line item not tagged</v>
          </cell>
        </row>
        <row r="3626">
          <cell r="W3626">
            <v>0</v>
          </cell>
          <cell r="AB3626" t="str">
            <v>line item not tagged</v>
          </cell>
        </row>
        <row r="3627">
          <cell r="W3627">
            <v>0</v>
          </cell>
          <cell r="AB3627" t="str">
            <v>line item not tagged</v>
          </cell>
        </row>
        <row r="3628">
          <cell r="W3628">
            <v>0</v>
          </cell>
          <cell r="AB3628" t="str">
            <v>line item not tagged</v>
          </cell>
        </row>
        <row r="3629">
          <cell r="W3629">
            <v>0</v>
          </cell>
          <cell r="AB3629" t="str">
            <v>line item not tagged</v>
          </cell>
        </row>
        <row r="3630">
          <cell r="W3630">
            <v>0</v>
          </cell>
          <cell r="AB3630" t="str">
            <v>line item not tagged</v>
          </cell>
        </row>
        <row r="3631">
          <cell r="W3631">
            <v>0</v>
          </cell>
          <cell r="AB3631" t="str">
            <v>line item not tagged</v>
          </cell>
        </row>
        <row r="3632">
          <cell r="W3632">
            <v>0</v>
          </cell>
          <cell r="AB3632" t="str">
            <v>line item not tagged</v>
          </cell>
        </row>
        <row r="3633">
          <cell r="W3633">
            <v>0</v>
          </cell>
          <cell r="AB3633" t="str">
            <v>line item not tagged</v>
          </cell>
        </row>
        <row r="3634">
          <cell r="W3634">
            <v>0</v>
          </cell>
          <cell r="AB3634" t="str">
            <v>line item not tagged</v>
          </cell>
        </row>
        <row r="3635">
          <cell r="W3635">
            <v>0</v>
          </cell>
          <cell r="AB3635" t="str">
            <v>line item not tagged</v>
          </cell>
        </row>
        <row r="3636">
          <cell r="W3636">
            <v>0</v>
          </cell>
          <cell r="AB3636" t="str">
            <v>line item not tagged</v>
          </cell>
        </row>
        <row r="3637">
          <cell r="W3637">
            <v>0</v>
          </cell>
          <cell r="AB3637" t="str">
            <v>line item not tagged</v>
          </cell>
        </row>
        <row r="3638">
          <cell r="W3638">
            <v>0</v>
          </cell>
          <cell r="AB3638" t="str">
            <v>line item not tagged</v>
          </cell>
        </row>
        <row r="3639">
          <cell r="W3639">
            <v>0</v>
          </cell>
          <cell r="AB3639" t="str">
            <v>line item not tagged</v>
          </cell>
        </row>
        <row r="3640">
          <cell r="W3640">
            <v>0</v>
          </cell>
          <cell r="AB3640" t="str">
            <v>line item not tagged</v>
          </cell>
        </row>
        <row r="3641">
          <cell r="W3641">
            <v>0</v>
          </cell>
          <cell r="AB3641" t="str">
            <v>line item not tagged</v>
          </cell>
        </row>
        <row r="3642">
          <cell r="W3642">
            <v>0</v>
          </cell>
          <cell r="AB3642" t="str">
            <v>line item not tagged</v>
          </cell>
        </row>
        <row r="3643">
          <cell r="W3643">
            <v>0</v>
          </cell>
          <cell r="AB3643" t="str">
            <v>line item not tagged</v>
          </cell>
        </row>
        <row r="3644">
          <cell r="W3644">
            <v>0</v>
          </cell>
          <cell r="AB3644" t="str">
            <v>line item not tagged</v>
          </cell>
        </row>
        <row r="3645">
          <cell r="W3645">
            <v>0</v>
          </cell>
          <cell r="AB3645" t="str">
            <v>line item not tagged</v>
          </cell>
        </row>
        <row r="3646">
          <cell r="W3646">
            <v>0</v>
          </cell>
          <cell r="AB3646" t="str">
            <v>line item not tagged</v>
          </cell>
        </row>
        <row r="3647">
          <cell r="W3647">
            <v>0</v>
          </cell>
          <cell r="AB3647" t="str">
            <v>line item not tagged</v>
          </cell>
        </row>
        <row r="3648">
          <cell r="W3648">
            <v>0</v>
          </cell>
          <cell r="AB3648" t="str">
            <v>line item not tagged</v>
          </cell>
        </row>
        <row r="3649">
          <cell r="W3649">
            <v>0</v>
          </cell>
          <cell r="AB3649" t="str">
            <v>line item not tagged</v>
          </cell>
        </row>
        <row r="3650">
          <cell r="W3650">
            <v>0</v>
          </cell>
          <cell r="AB3650" t="str">
            <v>line item not tagged</v>
          </cell>
        </row>
        <row r="3651">
          <cell r="W3651">
            <v>0</v>
          </cell>
          <cell r="AB3651" t="str">
            <v>line item not tagged</v>
          </cell>
        </row>
        <row r="3652">
          <cell r="W3652">
            <v>0</v>
          </cell>
          <cell r="AB3652" t="str">
            <v>line item not tagged</v>
          </cell>
        </row>
        <row r="3653">
          <cell r="W3653">
            <v>0</v>
          </cell>
          <cell r="AB3653" t="str">
            <v>line item not tagged</v>
          </cell>
        </row>
        <row r="3654">
          <cell r="W3654">
            <v>0</v>
          </cell>
          <cell r="AB3654" t="str">
            <v>line item not tagged</v>
          </cell>
        </row>
        <row r="3655">
          <cell r="W3655">
            <v>0</v>
          </cell>
          <cell r="AB3655" t="str">
            <v>line item not tagged</v>
          </cell>
        </row>
        <row r="3656">
          <cell r="W3656">
            <v>0</v>
          </cell>
          <cell r="AB3656" t="str">
            <v>line item not tagged</v>
          </cell>
        </row>
        <row r="3657">
          <cell r="W3657">
            <v>0</v>
          </cell>
          <cell r="AB3657" t="str">
            <v>line item not tagged</v>
          </cell>
        </row>
        <row r="3658">
          <cell r="W3658">
            <v>0</v>
          </cell>
          <cell r="AB3658" t="str">
            <v>line item not tagged</v>
          </cell>
        </row>
        <row r="3659">
          <cell r="W3659">
            <v>0</v>
          </cell>
          <cell r="AB3659" t="str">
            <v>line item not tagged</v>
          </cell>
        </row>
        <row r="3660">
          <cell r="W3660">
            <v>0</v>
          </cell>
          <cell r="AB3660" t="str">
            <v>line item not tagged</v>
          </cell>
        </row>
        <row r="3661">
          <cell r="W3661">
            <v>0</v>
          </cell>
          <cell r="AB3661" t="str">
            <v>line item not tagged</v>
          </cell>
        </row>
        <row r="3662">
          <cell r="W3662">
            <v>0</v>
          </cell>
          <cell r="AB3662" t="str">
            <v>line item not tagged</v>
          </cell>
        </row>
        <row r="3663">
          <cell r="W3663">
            <v>0</v>
          </cell>
          <cell r="AB3663" t="str">
            <v>line item not tagged</v>
          </cell>
        </row>
        <row r="3664">
          <cell r="W3664">
            <v>0</v>
          </cell>
          <cell r="AB3664" t="str">
            <v>line item not tagged</v>
          </cell>
        </row>
        <row r="3665">
          <cell r="W3665">
            <v>0</v>
          </cell>
          <cell r="AB3665" t="str">
            <v>line item not tagged</v>
          </cell>
        </row>
        <row r="3666">
          <cell r="W3666">
            <v>0</v>
          </cell>
          <cell r="AB3666" t="str">
            <v>line item not tagged</v>
          </cell>
        </row>
        <row r="3667">
          <cell r="W3667">
            <v>0</v>
          </cell>
          <cell r="AB3667" t="str">
            <v>line item not tagged</v>
          </cell>
        </row>
        <row r="3668">
          <cell r="W3668">
            <v>0</v>
          </cell>
          <cell r="AB3668" t="str">
            <v>line item not tagged</v>
          </cell>
        </row>
        <row r="3669">
          <cell r="W3669">
            <v>0</v>
          </cell>
          <cell r="AB3669" t="str">
            <v>line item not tagged</v>
          </cell>
        </row>
        <row r="3670">
          <cell r="W3670">
            <v>0</v>
          </cell>
          <cell r="AB3670" t="str">
            <v>line item not tagged</v>
          </cell>
        </row>
        <row r="3671">
          <cell r="W3671">
            <v>0</v>
          </cell>
          <cell r="AB3671" t="str">
            <v>line item not tagged</v>
          </cell>
        </row>
        <row r="3672">
          <cell r="W3672">
            <v>0</v>
          </cell>
          <cell r="AB3672" t="str">
            <v>line item not tagged</v>
          </cell>
        </row>
        <row r="3673">
          <cell r="W3673">
            <v>0</v>
          </cell>
          <cell r="AB3673" t="str">
            <v>line item not tagged</v>
          </cell>
        </row>
        <row r="3674">
          <cell r="W3674">
            <v>0</v>
          </cell>
          <cell r="AB3674" t="str">
            <v>line item not tagged</v>
          </cell>
        </row>
        <row r="3675">
          <cell r="W3675">
            <v>0</v>
          </cell>
          <cell r="AB3675" t="str">
            <v>line item not tagged</v>
          </cell>
        </row>
        <row r="3676">
          <cell r="W3676">
            <v>0</v>
          </cell>
          <cell r="AB3676" t="str">
            <v>line item not tagged</v>
          </cell>
        </row>
        <row r="3677">
          <cell r="W3677">
            <v>0</v>
          </cell>
          <cell r="AB3677" t="str">
            <v>line item not tagged</v>
          </cell>
        </row>
        <row r="3678">
          <cell r="W3678">
            <v>0</v>
          </cell>
          <cell r="AB3678" t="str">
            <v>line item not tagged</v>
          </cell>
        </row>
        <row r="3679">
          <cell r="W3679">
            <v>0</v>
          </cell>
          <cell r="AB3679" t="str">
            <v>line item not tagged</v>
          </cell>
        </row>
        <row r="3680">
          <cell r="W3680">
            <v>0</v>
          </cell>
          <cell r="AB3680" t="str">
            <v>line item not tagged</v>
          </cell>
        </row>
        <row r="3681">
          <cell r="W3681">
            <v>0</v>
          </cell>
          <cell r="AB3681" t="str">
            <v>line item not tagged</v>
          </cell>
        </row>
        <row r="3682">
          <cell r="W3682">
            <v>0</v>
          </cell>
          <cell r="AB3682" t="str">
            <v>line item not tagged</v>
          </cell>
        </row>
        <row r="3683">
          <cell r="W3683">
            <v>0</v>
          </cell>
          <cell r="AB3683" t="str">
            <v>line item not tagged</v>
          </cell>
        </row>
        <row r="3684">
          <cell r="W3684">
            <v>0</v>
          </cell>
          <cell r="AB3684" t="str">
            <v>line item not tagged</v>
          </cell>
        </row>
        <row r="3685">
          <cell r="W3685">
            <v>0</v>
          </cell>
          <cell r="AB3685" t="str">
            <v>line item not tagged</v>
          </cell>
        </row>
        <row r="3686">
          <cell r="W3686">
            <v>0</v>
          </cell>
          <cell r="AB3686" t="str">
            <v>line item not tagged</v>
          </cell>
        </row>
        <row r="3687">
          <cell r="W3687">
            <v>0</v>
          </cell>
          <cell r="AB3687" t="str">
            <v>line item not tagged</v>
          </cell>
        </row>
        <row r="3688">
          <cell r="W3688">
            <v>0</v>
          </cell>
          <cell r="AB3688" t="str">
            <v>line item not tagged</v>
          </cell>
        </row>
        <row r="3689">
          <cell r="W3689">
            <v>0</v>
          </cell>
          <cell r="AB3689" t="str">
            <v>line item not tagged</v>
          </cell>
        </row>
        <row r="3690">
          <cell r="W3690">
            <v>0</v>
          </cell>
          <cell r="AB3690" t="str">
            <v>line item not tagged</v>
          </cell>
        </row>
        <row r="3691">
          <cell r="W3691">
            <v>0</v>
          </cell>
          <cell r="AB3691" t="str">
            <v>line item not tagged</v>
          </cell>
        </row>
        <row r="3692">
          <cell r="W3692">
            <v>0</v>
          </cell>
          <cell r="AB3692" t="str">
            <v>line item not tagged</v>
          </cell>
        </row>
        <row r="3693">
          <cell r="W3693">
            <v>0</v>
          </cell>
          <cell r="AB3693" t="str">
            <v>line item not tagged</v>
          </cell>
        </row>
        <row r="3694">
          <cell r="W3694">
            <v>0</v>
          </cell>
          <cell r="AB3694" t="str">
            <v>line item not tagged</v>
          </cell>
        </row>
        <row r="3695">
          <cell r="W3695">
            <v>0</v>
          </cell>
          <cell r="AB3695" t="str">
            <v>line item not tagged</v>
          </cell>
        </row>
        <row r="3696">
          <cell r="W3696">
            <v>0</v>
          </cell>
          <cell r="AB3696" t="str">
            <v>line item not tagged</v>
          </cell>
        </row>
        <row r="3697">
          <cell r="W3697">
            <v>0</v>
          </cell>
          <cell r="AB3697" t="str">
            <v>line item not tagged</v>
          </cell>
        </row>
        <row r="3698">
          <cell r="W3698">
            <v>0</v>
          </cell>
          <cell r="AB3698" t="str">
            <v>line item not tagged</v>
          </cell>
        </row>
        <row r="3699">
          <cell r="W3699">
            <v>0</v>
          </cell>
          <cell r="AB3699" t="str">
            <v>line item not tagged</v>
          </cell>
        </row>
        <row r="3700">
          <cell r="W3700">
            <v>0</v>
          </cell>
          <cell r="AB3700" t="str">
            <v>line item not tagged</v>
          </cell>
        </row>
        <row r="3701">
          <cell r="W3701">
            <v>0</v>
          </cell>
          <cell r="AB3701" t="str">
            <v>line item not tagged</v>
          </cell>
        </row>
        <row r="3702">
          <cell r="W3702">
            <v>0</v>
          </cell>
          <cell r="AB3702" t="str">
            <v>line item not tagged</v>
          </cell>
        </row>
        <row r="3703">
          <cell r="W3703">
            <v>0</v>
          </cell>
          <cell r="AB3703" t="str">
            <v>line item not tagged</v>
          </cell>
        </row>
        <row r="3704">
          <cell r="W3704">
            <v>0</v>
          </cell>
          <cell r="AB3704" t="str">
            <v>line item not tagged</v>
          </cell>
        </row>
        <row r="3705">
          <cell r="W3705">
            <v>0</v>
          </cell>
          <cell r="AB3705" t="str">
            <v>line item not tagged</v>
          </cell>
        </row>
        <row r="3706">
          <cell r="W3706">
            <v>0</v>
          </cell>
          <cell r="AB3706" t="str">
            <v>line item not tagged</v>
          </cell>
        </row>
        <row r="3707">
          <cell r="W3707">
            <v>0</v>
          </cell>
          <cell r="AB3707" t="str">
            <v>line item not tagged</v>
          </cell>
        </row>
        <row r="3708">
          <cell r="W3708">
            <v>0</v>
          </cell>
          <cell r="AB3708" t="str">
            <v>line item not tagged</v>
          </cell>
        </row>
        <row r="3709">
          <cell r="W3709">
            <v>0</v>
          </cell>
          <cell r="AB3709" t="str">
            <v>line item not tagged</v>
          </cell>
        </row>
        <row r="3710">
          <cell r="W3710">
            <v>0</v>
          </cell>
          <cell r="AB3710" t="str">
            <v>line item not tagged</v>
          </cell>
        </row>
        <row r="3711">
          <cell r="W3711">
            <v>0</v>
          </cell>
          <cell r="AB3711" t="str">
            <v>line item not tagged</v>
          </cell>
        </row>
        <row r="3712">
          <cell r="W3712">
            <v>0</v>
          </cell>
          <cell r="AB3712" t="str">
            <v>line item not tagged</v>
          </cell>
        </row>
        <row r="3713">
          <cell r="W3713">
            <v>0</v>
          </cell>
          <cell r="AB3713" t="str">
            <v>line item not tagged</v>
          </cell>
        </row>
        <row r="3714">
          <cell r="W3714">
            <v>0</v>
          </cell>
          <cell r="AB3714" t="str">
            <v>line item not tagged</v>
          </cell>
        </row>
        <row r="3715">
          <cell r="W3715">
            <v>0</v>
          </cell>
          <cell r="AB3715" t="str">
            <v>line item not tagged</v>
          </cell>
        </row>
        <row r="3716">
          <cell r="W3716">
            <v>0</v>
          </cell>
          <cell r="AB3716" t="str">
            <v>line item not tagged</v>
          </cell>
        </row>
        <row r="3717">
          <cell r="W3717">
            <v>0</v>
          </cell>
          <cell r="AB3717" t="str">
            <v>line item not tagged</v>
          </cell>
        </row>
        <row r="3718">
          <cell r="W3718">
            <v>0</v>
          </cell>
          <cell r="AB3718" t="str">
            <v>line item not tagged</v>
          </cell>
        </row>
        <row r="3719">
          <cell r="W3719">
            <v>0</v>
          </cell>
          <cell r="AB3719" t="str">
            <v>line item not tagged</v>
          </cell>
        </row>
        <row r="3720">
          <cell r="W3720">
            <v>0</v>
          </cell>
          <cell r="AB3720" t="str">
            <v>line item not tagged</v>
          </cell>
        </row>
        <row r="3721">
          <cell r="W3721">
            <v>0</v>
          </cell>
          <cell r="AB3721" t="str">
            <v>line item not tagged</v>
          </cell>
        </row>
        <row r="3722">
          <cell r="W3722">
            <v>0</v>
          </cell>
          <cell r="AB3722" t="str">
            <v>line item not tagged</v>
          </cell>
        </row>
        <row r="3723">
          <cell r="W3723">
            <v>0</v>
          </cell>
          <cell r="AB3723" t="str">
            <v>line item not tagged</v>
          </cell>
        </row>
        <row r="3724">
          <cell r="W3724">
            <v>0</v>
          </cell>
          <cell r="AB3724" t="str">
            <v>line item not tagged</v>
          </cell>
        </row>
        <row r="3725">
          <cell r="W3725">
            <v>0</v>
          </cell>
          <cell r="AB3725" t="str">
            <v>line item not tagged</v>
          </cell>
        </row>
        <row r="3726">
          <cell r="W3726">
            <v>0</v>
          </cell>
          <cell r="AB3726" t="str">
            <v>line item not tagged</v>
          </cell>
        </row>
        <row r="3727">
          <cell r="W3727">
            <v>0</v>
          </cell>
          <cell r="AB3727" t="str">
            <v>line item not tagged</v>
          </cell>
        </row>
        <row r="3728">
          <cell r="W3728">
            <v>0</v>
          </cell>
          <cell r="AB3728" t="str">
            <v>line item not tagged</v>
          </cell>
        </row>
        <row r="3729">
          <cell r="W3729">
            <v>0</v>
          </cell>
          <cell r="AB3729" t="str">
            <v>line item not tagged</v>
          </cell>
        </row>
        <row r="3730">
          <cell r="W3730">
            <v>0</v>
          </cell>
          <cell r="AB3730" t="str">
            <v>line item not tagged</v>
          </cell>
        </row>
        <row r="3731">
          <cell r="W3731">
            <v>0</v>
          </cell>
          <cell r="AB3731" t="str">
            <v>line item not tagged</v>
          </cell>
        </row>
        <row r="3732">
          <cell r="W3732">
            <v>0</v>
          </cell>
          <cell r="AB3732" t="str">
            <v>line item not tagged</v>
          </cell>
        </row>
        <row r="3733">
          <cell r="W3733">
            <v>0</v>
          </cell>
          <cell r="AB3733" t="str">
            <v>line item not tagged</v>
          </cell>
        </row>
        <row r="3734">
          <cell r="W3734">
            <v>0</v>
          </cell>
          <cell r="AB3734" t="str">
            <v>line item not tagged</v>
          </cell>
        </row>
        <row r="3735">
          <cell r="W3735">
            <v>0</v>
          </cell>
          <cell r="AB3735" t="str">
            <v>line item not tagged</v>
          </cell>
        </row>
        <row r="3736">
          <cell r="W3736">
            <v>0</v>
          </cell>
          <cell r="AB3736" t="str">
            <v>line item not tagged</v>
          </cell>
        </row>
        <row r="3737">
          <cell r="W3737">
            <v>0</v>
          </cell>
          <cell r="AB3737" t="str">
            <v>line item not tagged</v>
          </cell>
        </row>
        <row r="3738">
          <cell r="W3738">
            <v>0</v>
          </cell>
          <cell r="AB3738" t="str">
            <v>line item not tagged</v>
          </cell>
        </row>
        <row r="3739">
          <cell r="W3739">
            <v>0</v>
          </cell>
          <cell r="AB3739" t="str">
            <v>line item not tagged</v>
          </cell>
        </row>
        <row r="3740">
          <cell r="W3740">
            <v>0</v>
          </cell>
          <cell r="AB3740" t="str">
            <v>line item not tagged</v>
          </cell>
        </row>
        <row r="3741">
          <cell r="W3741">
            <v>0</v>
          </cell>
          <cell r="AB3741" t="str">
            <v>line item not tagged</v>
          </cell>
        </row>
        <row r="3742">
          <cell r="W3742">
            <v>0</v>
          </cell>
          <cell r="AB3742" t="str">
            <v>line item not tagged</v>
          </cell>
        </row>
        <row r="3743">
          <cell r="W3743">
            <v>0</v>
          </cell>
          <cell r="AB3743" t="str">
            <v>line item not tagged</v>
          </cell>
        </row>
        <row r="3744">
          <cell r="W3744">
            <v>0</v>
          </cell>
          <cell r="AB3744" t="str">
            <v>line item not tagged</v>
          </cell>
        </row>
        <row r="3745">
          <cell r="W3745">
            <v>0</v>
          </cell>
          <cell r="AB3745" t="str">
            <v>line item not tagged</v>
          </cell>
        </row>
        <row r="3746">
          <cell r="W3746">
            <v>0</v>
          </cell>
          <cell r="AB3746" t="str">
            <v>line item not tagged</v>
          </cell>
        </row>
        <row r="3747">
          <cell r="W3747">
            <v>0</v>
          </cell>
          <cell r="AB3747" t="str">
            <v>line item not tagged</v>
          </cell>
        </row>
        <row r="3748">
          <cell r="W3748">
            <v>0</v>
          </cell>
          <cell r="AB3748" t="str">
            <v>line item not tagged</v>
          </cell>
        </row>
        <row r="3749">
          <cell r="W3749">
            <v>0</v>
          </cell>
          <cell r="AB3749" t="str">
            <v>line item not tagged</v>
          </cell>
        </row>
        <row r="3750">
          <cell r="W3750">
            <v>0</v>
          </cell>
          <cell r="AB3750" t="str">
            <v>line item not tagged</v>
          </cell>
        </row>
        <row r="3751">
          <cell r="W3751">
            <v>0</v>
          </cell>
          <cell r="AB3751" t="str">
            <v>line item not tagged</v>
          </cell>
        </row>
        <row r="3752">
          <cell r="W3752">
            <v>0</v>
          </cell>
          <cell r="AB3752" t="str">
            <v>line item not tagged</v>
          </cell>
        </row>
        <row r="3753">
          <cell r="W3753">
            <v>0</v>
          </cell>
          <cell r="AB3753" t="str">
            <v>line item not tagged</v>
          </cell>
        </row>
        <row r="3754">
          <cell r="W3754">
            <v>0</v>
          </cell>
          <cell r="AB3754" t="str">
            <v>line item not tagged</v>
          </cell>
        </row>
        <row r="3755">
          <cell r="W3755">
            <v>0</v>
          </cell>
          <cell r="AB3755" t="str">
            <v>line item not tagged</v>
          </cell>
        </row>
        <row r="3756">
          <cell r="W3756">
            <v>0</v>
          </cell>
          <cell r="AB3756" t="str">
            <v>line item not tagged</v>
          </cell>
        </row>
        <row r="3757">
          <cell r="W3757">
            <v>0</v>
          </cell>
          <cell r="AB3757" t="str">
            <v>line item not tagged</v>
          </cell>
        </row>
        <row r="3758">
          <cell r="W3758">
            <v>0</v>
          </cell>
          <cell r="AB3758" t="str">
            <v>line item not tagged</v>
          </cell>
        </row>
        <row r="3759">
          <cell r="W3759">
            <v>0</v>
          </cell>
          <cell r="AB3759" t="str">
            <v>line item not tagged</v>
          </cell>
        </row>
        <row r="3760">
          <cell r="W3760">
            <v>0</v>
          </cell>
          <cell r="AB3760" t="str">
            <v>line item not tagged</v>
          </cell>
        </row>
        <row r="3761">
          <cell r="W3761">
            <v>0</v>
          </cell>
          <cell r="AB3761" t="str">
            <v>line item not tagged</v>
          </cell>
        </row>
        <row r="3762">
          <cell r="W3762">
            <v>0</v>
          </cell>
          <cell r="AB3762" t="str">
            <v>line item not tagged</v>
          </cell>
        </row>
        <row r="3763">
          <cell r="W3763">
            <v>0</v>
          </cell>
          <cell r="AB3763" t="str">
            <v>line item not tagged</v>
          </cell>
        </row>
        <row r="3764">
          <cell r="W3764">
            <v>0</v>
          </cell>
          <cell r="AB3764" t="str">
            <v>line item not tagged</v>
          </cell>
        </row>
        <row r="3765">
          <cell r="W3765">
            <v>0</v>
          </cell>
          <cell r="AB3765" t="str">
            <v>line item not tagged</v>
          </cell>
        </row>
        <row r="3766">
          <cell r="W3766">
            <v>0</v>
          </cell>
          <cell r="AB3766" t="str">
            <v>line item not tagged</v>
          </cell>
        </row>
        <row r="3767">
          <cell r="W3767">
            <v>0</v>
          </cell>
          <cell r="AB3767" t="str">
            <v>line item not tagged</v>
          </cell>
        </row>
        <row r="3768">
          <cell r="W3768">
            <v>0</v>
          </cell>
          <cell r="AB3768" t="str">
            <v>line item not tagged</v>
          </cell>
        </row>
        <row r="3769">
          <cell r="W3769">
            <v>0</v>
          </cell>
          <cell r="AB3769" t="str">
            <v>line item not tagged</v>
          </cell>
        </row>
        <row r="3770">
          <cell r="W3770">
            <v>0</v>
          </cell>
          <cell r="AB3770" t="str">
            <v>line item not tagged</v>
          </cell>
        </row>
        <row r="3771">
          <cell r="W3771">
            <v>0</v>
          </cell>
          <cell r="AB3771" t="str">
            <v>line item not tagged</v>
          </cell>
        </row>
        <row r="3772">
          <cell r="W3772">
            <v>0</v>
          </cell>
          <cell r="AB3772" t="str">
            <v>line item not tagged</v>
          </cell>
        </row>
        <row r="3773">
          <cell r="W3773">
            <v>0</v>
          </cell>
          <cell r="AB3773" t="str">
            <v>line item not tagged</v>
          </cell>
        </row>
        <row r="3774">
          <cell r="W3774">
            <v>0</v>
          </cell>
          <cell r="AB3774" t="str">
            <v>line item not tagged</v>
          </cell>
        </row>
        <row r="3775">
          <cell r="W3775">
            <v>0</v>
          </cell>
          <cell r="AB3775" t="str">
            <v>line item not tagged</v>
          </cell>
        </row>
        <row r="3776">
          <cell r="W3776">
            <v>0</v>
          </cell>
          <cell r="AB3776" t="str">
            <v>line item not tagged</v>
          </cell>
        </row>
        <row r="3777">
          <cell r="W3777">
            <v>0</v>
          </cell>
          <cell r="AB3777" t="str">
            <v>line item not tagged</v>
          </cell>
        </row>
        <row r="3778">
          <cell r="W3778">
            <v>0</v>
          </cell>
          <cell r="AB3778" t="str">
            <v>line item not tagged</v>
          </cell>
        </row>
        <row r="3779">
          <cell r="W3779">
            <v>0</v>
          </cell>
          <cell r="AB3779" t="str">
            <v>line item not tagged</v>
          </cell>
        </row>
        <row r="3780">
          <cell r="W3780">
            <v>0</v>
          </cell>
          <cell r="AB3780" t="str">
            <v>line item not tagged</v>
          </cell>
        </row>
        <row r="3781">
          <cell r="W3781">
            <v>0</v>
          </cell>
          <cell r="AB3781" t="str">
            <v>line item not tagged</v>
          </cell>
        </row>
        <row r="3782">
          <cell r="W3782">
            <v>0</v>
          </cell>
          <cell r="AB3782" t="str">
            <v>line item not tagged</v>
          </cell>
        </row>
        <row r="3783">
          <cell r="W3783">
            <v>0</v>
          </cell>
          <cell r="AB3783" t="str">
            <v>line item not tagged</v>
          </cell>
        </row>
        <row r="3784">
          <cell r="W3784">
            <v>0</v>
          </cell>
          <cell r="AB3784" t="str">
            <v>line item not tagged</v>
          </cell>
        </row>
        <row r="3785">
          <cell r="W3785">
            <v>0</v>
          </cell>
          <cell r="AB3785" t="str">
            <v>line item not tagged</v>
          </cell>
        </row>
        <row r="3786">
          <cell r="W3786">
            <v>0</v>
          </cell>
          <cell r="AB3786" t="str">
            <v>line item not tagged</v>
          </cell>
        </row>
        <row r="3787">
          <cell r="W3787">
            <v>0</v>
          </cell>
          <cell r="AB3787" t="str">
            <v>line item not tagged</v>
          </cell>
        </row>
        <row r="3788">
          <cell r="W3788">
            <v>0</v>
          </cell>
          <cell r="AB3788" t="str">
            <v>line item not tagged</v>
          </cell>
        </row>
        <row r="3789">
          <cell r="W3789">
            <v>0</v>
          </cell>
          <cell r="AB3789" t="str">
            <v>line item not tagged</v>
          </cell>
        </row>
        <row r="3790">
          <cell r="W3790">
            <v>0</v>
          </cell>
          <cell r="AB3790" t="str">
            <v>line item not tagged</v>
          </cell>
        </row>
        <row r="3791">
          <cell r="W3791">
            <v>0</v>
          </cell>
          <cell r="AB3791" t="str">
            <v>line item not tagged</v>
          </cell>
        </row>
        <row r="3792">
          <cell r="W3792">
            <v>0</v>
          </cell>
          <cell r="AB3792" t="str">
            <v>line item not tagged</v>
          </cell>
        </row>
        <row r="3793">
          <cell r="W3793">
            <v>0</v>
          </cell>
          <cell r="AB3793" t="str">
            <v>line item not tagged</v>
          </cell>
        </row>
        <row r="3794">
          <cell r="W3794">
            <v>0</v>
          </cell>
          <cell r="AB3794" t="str">
            <v>line item not tagged</v>
          </cell>
        </row>
        <row r="3795">
          <cell r="W3795">
            <v>0</v>
          </cell>
          <cell r="AB3795" t="str">
            <v>line item not tagged</v>
          </cell>
        </row>
        <row r="3796">
          <cell r="W3796">
            <v>0</v>
          </cell>
          <cell r="AB3796" t="str">
            <v>line item not tagged</v>
          </cell>
        </row>
        <row r="3797">
          <cell r="W3797">
            <v>0</v>
          </cell>
          <cell r="AB3797" t="str">
            <v>line item not tagged</v>
          </cell>
        </row>
        <row r="3798">
          <cell r="W3798">
            <v>0</v>
          </cell>
          <cell r="AB3798" t="str">
            <v>line item not tagged</v>
          </cell>
        </row>
        <row r="3799">
          <cell r="W3799">
            <v>0</v>
          </cell>
          <cell r="AB3799" t="str">
            <v>line item not tagged</v>
          </cell>
        </row>
        <row r="3800">
          <cell r="W3800">
            <v>0</v>
          </cell>
          <cell r="AB3800" t="str">
            <v>line item not tagged</v>
          </cell>
        </row>
        <row r="3801">
          <cell r="W3801">
            <v>0</v>
          </cell>
          <cell r="AB3801" t="str">
            <v>line item not tagged</v>
          </cell>
        </row>
        <row r="3802">
          <cell r="W3802">
            <v>0</v>
          </cell>
          <cell r="AB3802" t="str">
            <v>line item not tagged</v>
          </cell>
        </row>
        <row r="3803">
          <cell r="W3803">
            <v>0</v>
          </cell>
          <cell r="AB3803" t="str">
            <v>line item not tagged</v>
          </cell>
        </row>
        <row r="3804">
          <cell r="W3804">
            <v>0</v>
          </cell>
          <cell r="AB3804" t="str">
            <v>line item not tagged</v>
          </cell>
        </row>
        <row r="3805">
          <cell r="W3805">
            <v>0</v>
          </cell>
          <cell r="AB3805" t="str">
            <v>line item not tagged</v>
          </cell>
        </row>
        <row r="3806">
          <cell r="W3806">
            <v>0</v>
          </cell>
          <cell r="AB3806" t="str">
            <v>line item not tagged</v>
          </cell>
        </row>
        <row r="3807">
          <cell r="W3807">
            <v>0</v>
          </cell>
          <cell r="AB3807" t="str">
            <v>line item not tagged</v>
          </cell>
        </row>
        <row r="3808">
          <cell r="W3808">
            <v>0</v>
          </cell>
          <cell r="AB3808" t="str">
            <v>line item not tagged</v>
          </cell>
        </row>
        <row r="3809">
          <cell r="W3809">
            <v>0</v>
          </cell>
          <cell r="AB3809" t="str">
            <v>line item not tagged</v>
          </cell>
        </row>
        <row r="3810">
          <cell r="W3810">
            <v>0</v>
          </cell>
          <cell r="AB3810" t="str">
            <v>line item not tagged</v>
          </cell>
        </row>
        <row r="3811">
          <cell r="W3811">
            <v>0</v>
          </cell>
          <cell r="AB3811" t="str">
            <v>line item not tagged</v>
          </cell>
        </row>
        <row r="3812">
          <cell r="W3812">
            <v>0</v>
          </cell>
          <cell r="AB3812" t="str">
            <v>line item not tagged</v>
          </cell>
        </row>
        <row r="3813">
          <cell r="W3813">
            <v>0</v>
          </cell>
          <cell r="AB3813" t="str">
            <v>line item not tagged</v>
          </cell>
        </row>
        <row r="3814">
          <cell r="W3814">
            <v>0</v>
          </cell>
          <cell r="AB3814" t="str">
            <v>line item not tagged</v>
          </cell>
        </row>
        <row r="3815">
          <cell r="W3815">
            <v>0</v>
          </cell>
          <cell r="AB3815" t="str">
            <v>line item not tagged</v>
          </cell>
        </row>
        <row r="3816">
          <cell r="W3816">
            <v>0</v>
          </cell>
          <cell r="AB3816" t="str">
            <v>line item not tagged</v>
          </cell>
        </row>
        <row r="3817">
          <cell r="W3817">
            <v>0</v>
          </cell>
          <cell r="AB3817" t="str">
            <v>line item not tagged</v>
          </cell>
        </row>
        <row r="3818">
          <cell r="W3818">
            <v>0</v>
          </cell>
          <cell r="AB3818" t="str">
            <v>line item not tagged</v>
          </cell>
        </row>
        <row r="3819">
          <cell r="W3819">
            <v>0</v>
          </cell>
          <cell r="AB3819" t="str">
            <v>line item not tagged</v>
          </cell>
        </row>
        <row r="3820">
          <cell r="W3820">
            <v>0</v>
          </cell>
          <cell r="AB3820" t="str">
            <v>line item not tagged</v>
          </cell>
        </row>
        <row r="3821">
          <cell r="W3821">
            <v>0</v>
          </cell>
          <cell r="AB3821" t="str">
            <v>line item not tagged</v>
          </cell>
        </row>
        <row r="3822">
          <cell r="W3822">
            <v>0</v>
          </cell>
          <cell r="AB3822" t="str">
            <v>line item not tagged</v>
          </cell>
        </row>
        <row r="3823">
          <cell r="W3823">
            <v>0</v>
          </cell>
          <cell r="AB3823" t="str">
            <v>line item not tagged</v>
          </cell>
        </row>
        <row r="3824">
          <cell r="W3824">
            <v>0</v>
          </cell>
          <cell r="AB3824" t="str">
            <v>line item not tagged</v>
          </cell>
        </row>
        <row r="3825">
          <cell r="W3825">
            <v>0</v>
          </cell>
          <cell r="AB3825" t="str">
            <v>line item not tagged</v>
          </cell>
        </row>
        <row r="3826">
          <cell r="W3826">
            <v>0</v>
          </cell>
          <cell r="AB3826" t="str">
            <v>line item not tagged</v>
          </cell>
        </row>
        <row r="3827">
          <cell r="W3827">
            <v>0</v>
          </cell>
          <cell r="AB3827" t="str">
            <v>line item not tagged</v>
          </cell>
        </row>
        <row r="3828">
          <cell r="W3828">
            <v>0</v>
          </cell>
          <cell r="AB3828" t="str">
            <v>line item not tagged</v>
          </cell>
        </row>
        <row r="3829">
          <cell r="W3829">
            <v>0</v>
          </cell>
          <cell r="AB3829" t="str">
            <v>line item not tagged</v>
          </cell>
        </row>
        <row r="3830">
          <cell r="W3830">
            <v>0</v>
          </cell>
          <cell r="AB3830" t="str">
            <v>line item not tagged</v>
          </cell>
        </row>
        <row r="3831">
          <cell r="W3831">
            <v>0</v>
          </cell>
          <cell r="AB3831" t="str">
            <v>line item not tagged</v>
          </cell>
        </row>
        <row r="3832">
          <cell r="W3832">
            <v>0</v>
          </cell>
          <cell r="AB3832" t="str">
            <v>line item not tagged</v>
          </cell>
        </row>
        <row r="3833">
          <cell r="W3833">
            <v>0</v>
          </cell>
          <cell r="AB3833" t="str">
            <v>line item not tagged</v>
          </cell>
        </row>
        <row r="3834">
          <cell r="W3834">
            <v>0</v>
          </cell>
          <cell r="AB3834" t="str">
            <v>line item not tagged</v>
          </cell>
        </row>
        <row r="3835">
          <cell r="W3835">
            <v>0</v>
          </cell>
          <cell r="AB3835" t="str">
            <v>line item not tagged</v>
          </cell>
        </row>
        <row r="3836">
          <cell r="W3836">
            <v>0</v>
          </cell>
          <cell r="AB3836" t="str">
            <v>line item not tagged</v>
          </cell>
        </row>
        <row r="3837">
          <cell r="W3837">
            <v>0</v>
          </cell>
          <cell r="AB3837" t="str">
            <v>line item not tagged</v>
          </cell>
        </row>
        <row r="3838">
          <cell r="W3838">
            <v>0</v>
          </cell>
          <cell r="AB3838" t="str">
            <v>line item not tagged</v>
          </cell>
        </row>
        <row r="3839">
          <cell r="W3839">
            <v>0</v>
          </cell>
          <cell r="AB3839" t="str">
            <v>line item not tagged</v>
          </cell>
        </row>
        <row r="3840">
          <cell r="W3840">
            <v>0</v>
          </cell>
          <cell r="AB3840" t="str">
            <v>line item not tagged</v>
          </cell>
        </row>
        <row r="3841">
          <cell r="W3841">
            <v>0</v>
          </cell>
          <cell r="AB3841" t="str">
            <v>line item not tagged</v>
          </cell>
        </row>
        <row r="3842">
          <cell r="W3842">
            <v>0</v>
          </cell>
          <cell r="AB3842" t="str">
            <v>line item not tagged</v>
          </cell>
        </row>
        <row r="3843">
          <cell r="W3843">
            <v>0</v>
          </cell>
          <cell r="AB3843" t="str">
            <v>line item not tagged</v>
          </cell>
        </row>
        <row r="3844">
          <cell r="W3844">
            <v>0</v>
          </cell>
          <cell r="AB3844" t="str">
            <v>line item not tagged</v>
          </cell>
        </row>
        <row r="3845">
          <cell r="W3845">
            <v>0</v>
          </cell>
          <cell r="AB3845" t="str">
            <v>line item not tagged</v>
          </cell>
        </row>
        <row r="3846">
          <cell r="W3846">
            <v>0</v>
          </cell>
          <cell r="AB3846" t="str">
            <v>line item not tagged</v>
          </cell>
        </row>
        <row r="3847">
          <cell r="W3847">
            <v>0</v>
          </cell>
          <cell r="AB3847" t="str">
            <v>line item not tagged</v>
          </cell>
        </row>
        <row r="3848">
          <cell r="W3848">
            <v>0</v>
          </cell>
          <cell r="AB3848" t="str">
            <v>line item not tagged</v>
          </cell>
        </row>
        <row r="3849">
          <cell r="W3849">
            <v>0</v>
          </cell>
          <cell r="AB3849" t="str">
            <v>line item not tagged</v>
          </cell>
        </row>
        <row r="3850">
          <cell r="W3850">
            <v>0</v>
          </cell>
          <cell r="AB3850" t="str">
            <v>line item not tagged</v>
          </cell>
        </row>
        <row r="3851">
          <cell r="W3851">
            <v>0</v>
          </cell>
          <cell r="AB3851" t="str">
            <v>line item not tagged</v>
          </cell>
        </row>
        <row r="3852">
          <cell r="W3852">
            <v>0</v>
          </cell>
          <cell r="AB3852" t="str">
            <v>line item not tagged</v>
          </cell>
        </row>
        <row r="3853">
          <cell r="W3853">
            <v>0</v>
          </cell>
          <cell r="AB3853" t="str">
            <v>line item not tagged</v>
          </cell>
        </row>
        <row r="3854">
          <cell r="W3854">
            <v>0</v>
          </cell>
          <cell r="AB3854" t="str">
            <v>line item not tagged</v>
          </cell>
        </row>
        <row r="3855">
          <cell r="W3855">
            <v>0</v>
          </cell>
          <cell r="AB3855" t="str">
            <v>line item not tagged</v>
          </cell>
        </row>
        <row r="3856">
          <cell r="W3856">
            <v>0</v>
          </cell>
          <cell r="AB3856" t="str">
            <v>line item not tagged</v>
          </cell>
        </row>
        <row r="3857">
          <cell r="W3857">
            <v>0</v>
          </cell>
          <cell r="AB3857" t="str">
            <v>line item not tagged</v>
          </cell>
        </row>
        <row r="3858">
          <cell r="W3858">
            <v>0</v>
          </cell>
          <cell r="AB3858" t="str">
            <v>line item not tagged</v>
          </cell>
        </row>
        <row r="3859">
          <cell r="W3859">
            <v>0</v>
          </cell>
          <cell r="AB3859" t="str">
            <v>line item not tagged</v>
          </cell>
        </row>
        <row r="3860">
          <cell r="W3860">
            <v>0</v>
          </cell>
          <cell r="AB3860" t="str">
            <v>line item not tagged</v>
          </cell>
        </row>
        <row r="3861">
          <cell r="W3861">
            <v>0</v>
          </cell>
          <cell r="AB3861" t="str">
            <v>line item not tagged</v>
          </cell>
        </row>
        <row r="3862">
          <cell r="W3862">
            <v>0</v>
          </cell>
          <cell r="AB3862" t="str">
            <v>line item not tagged</v>
          </cell>
        </row>
        <row r="3863">
          <cell r="W3863">
            <v>0</v>
          </cell>
          <cell r="AB3863" t="str">
            <v>line item not tagged</v>
          </cell>
        </row>
        <row r="3864">
          <cell r="W3864">
            <v>0</v>
          </cell>
          <cell r="AB3864" t="str">
            <v>line item not tagged</v>
          </cell>
        </row>
        <row r="3865">
          <cell r="W3865">
            <v>0</v>
          </cell>
          <cell r="AB3865" t="str">
            <v>line item not tagged</v>
          </cell>
        </row>
        <row r="3866">
          <cell r="W3866">
            <v>0</v>
          </cell>
          <cell r="AB3866" t="str">
            <v>line item not tagged</v>
          </cell>
        </row>
        <row r="3867">
          <cell r="W3867">
            <v>0</v>
          </cell>
          <cell r="AB3867" t="str">
            <v>line item not tagged</v>
          </cell>
        </row>
        <row r="3868">
          <cell r="W3868">
            <v>0</v>
          </cell>
          <cell r="AB3868" t="str">
            <v>line item not tagged</v>
          </cell>
        </row>
        <row r="3869">
          <cell r="W3869">
            <v>0</v>
          </cell>
          <cell r="AB3869" t="str">
            <v>line item not tagged</v>
          </cell>
        </row>
        <row r="3870">
          <cell r="W3870">
            <v>0</v>
          </cell>
          <cell r="AB3870" t="str">
            <v>line item not tagged</v>
          </cell>
        </row>
        <row r="3871">
          <cell r="W3871">
            <v>0</v>
          </cell>
          <cell r="AB3871" t="str">
            <v>line item not tagged</v>
          </cell>
        </row>
        <row r="3872">
          <cell r="W3872">
            <v>0</v>
          </cell>
          <cell r="AB3872" t="str">
            <v>line item not tagged</v>
          </cell>
        </row>
        <row r="3873">
          <cell r="W3873">
            <v>0</v>
          </cell>
          <cell r="AB3873" t="str">
            <v>line item not tagged</v>
          </cell>
        </row>
        <row r="3874">
          <cell r="W3874">
            <v>0</v>
          </cell>
          <cell r="AB3874" t="str">
            <v>line item not tagged</v>
          </cell>
        </row>
        <row r="3875">
          <cell r="W3875">
            <v>0</v>
          </cell>
          <cell r="AB3875" t="str">
            <v>line item not tagged</v>
          </cell>
        </row>
        <row r="3876">
          <cell r="W3876">
            <v>0</v>
          </cell>
          <cell r="AB3876" t="str">
            <v>line item not tagged</v>
          </cell>
        </row>
        <row r="3877">
          <cell r="W3877">
            <v>0</v>
          </cell>
          <cell r="AB3877" t="str">
            <v>line item not tagged</v>
          </cell>
        </row>
        <row r="3878">
          <cell r="W3878">
            <v>0</v>
          </cell>
          <cell r="AB3878" t="str">
            <v>line item not tagged</v>
          </cell>
        </row>
        <row r="3879">
          <cell r="W3879">
            <v>0</v>
          </cell>
          <cell r="AB3879" t="str">
            <v>line item not tagged</v>
          </cell>
        </row>
        <row r="3880">
          <cell r="W3880">
            <v>0</v>
          </cell>
          <cell r="AB3880" t="str">
            <v>line item not tagged</v>
          </cell>
        </row>
        <row r="3881">
          <cell r="W3881">
            <v>0</v>
          </cell>
          <cell r="AB3881" t="str">
            <v>line item not tagged</v>
          </cell>
        </row>
        <row r="3882">
          <cell r="W3882">
            <v>0</v>
          </cell>
          <cell r="AB3882" t="str">
            <v>line item not tagged</v>
          </cell>
        </row>
        <row r="3883">
          <cell r="W3883">
            <v>0</v>
          </cell>
          <cell r="AB3883" t="str">
            <v>line item not tagged</v>
          </cell>
        </row>
        <row r="3884">
          <cell r="W3884">
            <v>0</v>
          </cell>
          <cell r="AB3884" t="str">
            <v>line item not tagged</v>
          </cell>
        </row>
        <row r="3885">
          <cell r="W3885">
            <v>0</v>
          </cell>
          <cell r="AB3885" t="str">
            <v>line item not tagged</v>
          </cell>
        </row>
        <row r="3886">
          <cell r="W3886">
            <v>0</v>
          </cell>
          <cell r="AB3886" t="str">
            <v>line item not tagged</v>
          </cell>
        </row>
        <row r="3887">
          <cell r="W3887">
            <v>0</v>
          </cell>
          <cell r="AB3887" t="str">
            <v>line item not tagged</v>
          </cell>
        </row>
        <row r="3888">
          <cell r="W3888">
            <v>0</v>
          </cell>
          <cell r="AB3888" t="str">
            <v>line item not tagged</v>
          </cell>
        </row>
        <row r="3889">
          <cell r="W3889">
            <v>0</v>
          </cell>
          <cell r="AB3889" t="str">
            <v>line item not tagged</v>
          </cell>
        </row>
        <row r="3890">
          <cell r="W3890">
            <v>0</v>
          </cell>
          <cell r="AB3890" t="str">
            <v>line item not tagged</v>
          </cell>
        </row>
        <row r="3891">
          <cell r="W3891">
            <v>0</v>
          </cell>
          <cell r="AB3891" t="str">
            <v>line item not tagged</v>
          </cell>
        </row>
        <row r="3892">
          <cell r="W3892">
            <v>0</v>
          </cell>
          <cell r="AB3892" t="str">
            <v>line item not tagged</v>
          </cell>
        </row>
        <row r="3893">
          <cell r="W3893">
            <v>0</v>
          </cell>
          <cell r="AB3893" t="str">
            <v>line item not tagged</v>
          </cell>
        </row>
        <row r="3894">
          <cell r="W3894">
            <v>0</v>
          </cell>
          <cell r="AB3894" t="str">
            <v>line item not tagged</v>
          </cell>
        </row>
        <row r="3895">
          <cell r="W3895">
            <v>0</v>
          </cell>
          <cell r="AB3895" t="str">
            <v>line item not tagged</v>
          </cell>
        </row>
        <row r="3896">
          <cell r="W3896">
            <v>0</v>
          </cell>
          <cell r="AB3896" t="str">
            <v>line item not tagged</v>
          </cell>
        </row>
        <row r="3897">
          <cell r="W3897">
            <v>0</v>
          </cell>
          <cell r="AB3897" t="str">
            <v>line item not tagged</v>
          </cell>
        </row>
        <row r="3898">
          <cell r="W3898">
            <v>0</v>
          </cell>
          <cell r="AB3898" t="str">
            <v>line item not tagged</v>
          </cell>
        </row>
        <row r="3899">
          <cell r="W3899">
            <v>0</v>
          </cell>
          <cell r="AB3899" t="str">
            <v>line item not tagged</v>
          </cell>
        </row>
        <row r="3900">
          <cell r="W3900">
            <v>0</v>
          </cell>
          <cell r="AB3900" t="str">
            <v>line item not tagged</v>
          </cell>
        </row>
        <row r="3901">
          <cell r="W3901">
            <v>0</v>
          </cell>
          <cell r="AB3901" t="str">
            <v>line item not tagged</v>
          </cell>
        </row>
        <row r="3902">
          <cell r="W3902">
            <v>0</v>
          </cell>
          <cell r="AB3902" t="str">
            <v>line item not tagged</v>
          </cell>
        </row>
        <row r="3903">
          <cell r="W3903">
            <v>0</v>
          </cell>
          <cell r="AB3903" t="str">
            <v>line item not tagged</v>
          </cell>
        </row>
        <row r="3904">
          <cell r="W3904">
            <v>0</v>
          </cell>
          <cell r="AB3904" t="str">
            <v>line item not tagged</v>
          </cell>
        </row>
        <row r="3905">
          <cell r="W3905">
            <v>0</v>
          </cell>
          <cell r="AB3905" t="str">
            <v>line item not tagged</v>
          </cell>
        </row>
        <row r="3906">
          <cell r="W3906">
            <v>0</v>
          </cell>
          <cell r="AB3906" t="str">
            <v>line item not tagged</v>
          </cell>
        </row>
        <row r="3907">
          <cell r="W3907">
            <v>0</v>
          </cell>
          <cell r="AB3907" t="str">
            <v>line item not tagged</v>
          </cell>
        </row>
        <row r="3908">
          <cell r="W3908">
            <v>0</v>
          </cell>
          <cell r="AB3908" t="str">
            <v>line item not tagged</v>
          </cell>
        </row>
        <row r="3909">
          <cell r="W3909">
            <v>0</v>
          </cell>
          <cell r="AB3909" t="str">
            <v>line item not tagged</v>
          </cell>
        </row>
        <row r="3910">
          <cell r="W3910">
            <v>0</v>
          </cell>
          <cell r="AB3910" t="str">
            <v>line item not tagged</v>
          </cell>
        </row>
        <row r="3911">
          <cell r="W3911">
            <v>0</v>
          </cell>
          <cell r="AB3911" t="str">
            <v>line item not tagged</v>
          </cell>
        </row>
        <row r="3912">
          <cell r="W3912">
            <v>0</v>
          </cell>
          <cell r="AB3912" t="str">
            <v>line item not tagged</v>
          </cell>
        </row>
        <row r="3913">
          <cell r="W3913">
            <v>0</v>
          </cell>
          <cell r="AB3913" t="str">
            <v>line item not tagged</v>
          </cell>
        </row>
        <row r="3914">
          <cell r="W3914">
            <v>0</v>
          </cell>
          <cell r="AB3914" t="str">
            <v>line item not tagged</v>
          </cell>
        </row>
        <row r="3915">
          <cell r="W3915">
            <v>0</v>
          </cell>
          <cell r="AB3915" t="str">
            <v>line item not tagged</v>
          </cell>
        </row>
        <row r="3916">
          <cell r="W3916">
            <v>0</v>
          </cell>
          <cell r="AB3916" t="str">
            <v>line item not tagged</v>
          </cell>
        </row>
        <row r="3917">
          <cell r="W3917">
            <v>0</v>
          </cell>
          <cell r="AB3917" t="str">
            <v>line item not tagged</v>
          </cell>
        </row>
        <row r="3918">
          <cell r="W3918">
            <v>0</v>
          </cell>
          <cell r="AB3918" t="str">
            <v>line item not tagged</v>
          </cell>
        </row>
        <row r="3919">
          <cell r="W3919">
            <v>0</v>
          </cell>
          <cell r="AB3919" t="str">
            <v>line item not tagged</v>
          </cell>
        </row>
        <row r="3920">
          <cell r="W3920">
            <v>0</v>
          </cell>
          <cell r="AB3920" t="str">
            <v>line item not tagged</v>
          </cell>
        </row>
        <row r="3921">
          <cell r="W3921">
            <v>0</v>
          </cell>
          <cell r="AB3921" t="str">
            <v>line item not tagged</v>
          </cell>
        </row>
        <row r="3922">
          <cell r="W3922">
            <v>0</v>
          </cell>
          <cell r="AB3922" t="str">
            <v>line item not tagged</v>
          </cell>
        </row>
        <row r="3923">
          <cell r="W3923">
            <v>0</v>
          </cell>
          <cell r="AB3923" t="str">
            <v>line item not tagged</v>
          </cell>
        </row>
        <row r="3924">
          <cell r="W3924">
            <v>0</v>
          </cell>
          <cell r="AB3924" t="str">
            <v>line item not tagged</v>
          </cell>
        </row>
        <row r="3925">
          <cell r="W3925">
            <v>0</v>
          </cell>
          <cell r="AB3925" t="str">
            <v>line item not tagged</v>
          </cell>
        </row>
        <row r="3926">
          <cell r="W3926">
            <v>0</v>
          </cell>
          <cell r="AB3926" t="str">
            <v>line item not tagged</v>
          </cell>
        </row>
        <row r="3927">
          <cell r="W3927">
            <v>0</v>
          </cell>
          <cell r="AB3927" t="str">
            <v>line item not tagged</v>
          </cell>
        </row>
        <row r="3928">
          <cell r="W3928">
            <v>0</v>
          </cell>
          <cell r="AB3928" t="str">
            <v>line item not tagged</v>
          </cell>
        </row>
        <row r="3929">
          <cell r="W3929">
            <v>0</v>
          </cell>
          <cell r="AB3929" t="str">
            <v>line item not tagged</v>
          </cell>
        </row>
        <row r="3930">
          <cell r="W3930">
            <v>0</v>
          </cell>
          <cell r="AB3930" t="str">
            <v>line item not tagged</v>
          </cell>
        </row>
        <row r="3931">
          <cell r="W3931">
            <v>0</v>
          </cell>
          <cell r="AB3931" t="str">
            <v>line item not tagged</v>
          </cell>
        </row>
        <row r="3932">
          <cell r="W3932">
            <v>0</v>
          </cell>
          <cell r="AB3932" t="str">
            <v>line item not tagged</v>
          </cell>
        </row>
        <row r="3933">
          <cell r="W3933">
            <v>0</v>
          </cell>
          <cell r="AB3933" t="str">
            <v>line item not tagged</v>
          </cell>
        </row>
        <row r="3934">
          <cell r="W3934">
            <v>0</v>
          </cell>
          <cell r="AB3934" t="str">
            <v>line item not tagged</v>
          </cell>
        </row>
        <row r="3935">
          <cell r="W3935">
            <v>0</v>
          </cell>
          <cell r="AB3935" t="str">
            <v>line item not tagged</v>
          </cell>
        </row>
        <row r="3936">
          <cell r="W3936">
            <v>0</v>
          </cell>
          <cell r="AB3936" t="str">
            <v>line item not tagged</v>
          </cell>
        </row>
        <row r="3937">
          <cell r="W3937">
            <v>0</v>
          </cell>
          <cell r="AB3937" t="str">
            <v>line item not tagged</v>
          </cell>
        </row>
        <row r="3938">
          <cell r="W3938">
            <v>0</v>
          </cell>
          <cell r="AB3938" t="str">
            <v>line item not tagged</v>
          </cell>
        </row>
        <row r="3939">
          <cell r="W3939">
            <v>0</v>
          </cell>
          <cell r="AB3939" t="str">
            <v>line item not tagged</v>
          </cell>
        </row>
        <row r="3940">
          <cell r="W3940">
            <v>0</v>
          </cell>
          <cell r="AB3940" t="str">
            <v>line item not tagged</v>
          </cell>
        </row>
        <row r="3941">
          <cell r="W3941">
            <v>0</v>
          </cell>
          <cell r="AB3941" t="str">
            <v>line item not tagged</v>
          </cell>
        </row>
        <row r="3942">
          <cell r="W3942">
            <v>0</v>
          </cell>
          <cell r="AB3942" t="str">
            <v>line item not tagged</v>
          </cell>
        </row>
        <row r="3943">
          <cell r="W3943">
            <v>0</v>
          </cell>
          <cell r="AB3943" t="str">
            <v>line item not tagged</v>
          </cell>
        </row>
        <row r="3944">
          <cell r="W3944">
            <v>0</v>
          </cell>
          <cell r="AB3944" t="str">
            <v>line item not tagged</v>
          </cell>
        </row>
        <row r="3945">
          <cell r="W3945">
            <v>0</v>
          </cell>
          <cell r="AB3945" t="str">
            <v>line item not tagged</v>
          </cell>
        </row>
        <row r="3946">
          <cell r="W3946">
            <v>0</v>
          </cell>
          <cell r="AB3946" t="str">
            <v>line item not tagged</v>
          </cell>
        </row>
        <row r="3947">
          <cell r="W3947">
            <v>0</v>
          </cell>
          <cell r="AB3947" t="str">
            <v>line item not tagged</v>
          </cell>
        </row>
        <row r="3948">
          <cell r="W3948">
            <v>0</v>
          </cell>
          <cell r="AB3948" t="str">
            <v>line item not tagged</v>
          </cell>
        </row>
        <row r="3949">
          <cell r="W3949">
            <v>0</v>
          </cell>
          <cell r="AB3949" t="str">
            <v>line item not tagged</v>
          </cell>
        </row>
        <row r="3950">
          <cell r="W3950">
            <v>0</v>
          </cell>
          <cell r="AB3950" t="str">
            <v>line item not tagged</v>
          </cell>
        </row>
        <row r="3951">
          <cell r="W3951">
            <v>0</v>
          </cell>
          <cell r="AB3951" t="str">
            <v>line item not tagged</v>
          </cell>
        </row>
        <row r="3952">
          <cell r="W3952">
            <v>0</v>
          </cell>
          <cell r="AB3952" t="str">
            <v>line item not tagged</v>
          </cell>
        </row>
        <row r="3953">
          <cell r="W3953">
            <v>0</v>
          </cell>
          <cell r="AB3953" t="str">
            <v>line item not tagged</v>
          </cell>
        </row>
        <row r="3954">
          <cell r="W3954">
            <v>0</v>
          </cell>
          <cell r="AB3954" t="str">
            <v>line item not tagged</v>
          </cell>
        </row>
        <row r="3955">
          <cell r="W3955">
            <v>0</v>
          </cell>
          <cell r="AB3955" t="str">
            <v>line item not tagged</v>
          </cell>
        </row>
        <row r="3956">
          <cell r="W3956">
            <v>0</v>
          </cell>
          <cell r="AB3956" t="str">
            <v>line item not tagged</v>
          </cell>
        </row>
        <row r="3957">
          <cell r="W3957">
            <v>0</v>
          </cell>
          <cell r="AB3957" t="str">
            <v>line item not tagged</v>
          </cell>
        </row>
        <row r="3958">
          <cell r="W3958">
            <v>0</v>
          </cell>
          <cell r="AB3958" t="str">
            <v>line item not tagged</v>
          </cell>
        </row>
        <row r="3959">
          <cell r="W3959">
            <v>0</v>
          </cell>
          <cell r="AB3959" t="str">
            <v>line item not tagged</v>
          </cell>
        </row>
        <row r="3960">
          <cell r="W3960">
            <v>0</v>
          </cell>
          <cell r="AB3960" t="str">
            <v>line item not tagged</v>
          </cell>
        </row>
        <row r="3961">
          <cell r="W3961">
            <v>0</v>
          </cell>
          <cell r="AB3961" t="str">
            <v>line item not tagged</v>
          </cell>
        </row>
        <row r="3962">
          <cell r="W3962">
            <v>0</v>
          </cell>
          <cell r="AB3962" t="str">
            <v>line item not tagged</v>
          </cell>
        </row>
        <row r="3963">
          <cell r="W3963">
            <v>0</v>
          </cell>
          <cell r="AB3963" t="str">
            <v>line item not tagged</v>
          </cell>
        </row>
        <row r="3964">
          <cell r="W3964">
            <v>0</v>
          </cell>
          <cell r="AB3964" t="str">
            <v>line item not tagged</v>
          </cell>
        </row>
        <row r="3965">
          <cell r="W3965">
            <v>0</v>
          </cell>
          <cell r="AB3965" t="str">
            <v>line item not tagged</v>
          </cell>
        </row>
        <row r="3966">
          <cell r="W3966">
            <v>0</v>
          </cell>
          <cell r="AB3966" t="str">
            <v>line item not tagged</v>
          </cell>
        </row>
        <row r="3967">
          <cell r="W3967">
            <v>0</v>
          </cell>
          <cell r="AB3967" t="str">
            <v>line item not tagged</v>
          </cell>
        </row>
        <row r="3968">
          <cell r="W3968">
            <v>0</v>
          </cell>
          <cell r="AB3968" t="str">
            <v>line item not tagged</v>
          </cell>
        </row>
        <row r="3969">
          <cell r="W3969">
            <v>0</v>
          </cell>
          <cell r="AB3969" t="str">
            <v>line item not tagged</v>
          </cell>
        </row>
        <row r="3970">
          <cell r="W3970">
            <v>0</v>
          </cell>
          <cell r="AB3970" t="str">
            <v>line item not tagged</v>
          </cell>
        </row>
        <row r="3971">
          <cell r="W3971">
            <v>0</v>
          </cell>
          <cell r="AB3971" t="str">
            <v>line item not tagged</v>
          </cell>
        </row>
        <row r="3972">
          <cell r="W3972">
            <v>0</v>
          </cell>
          <cell r="AB3972" t="str">
            <v>line item not tagged</v>
          </cell>
        </row>
        <row r="3973">
          <cell r="W3973">
            <v>0</v>
          </cell>
          <cell r="AB3973" t="str">
            <v>line item not tagged</v>
          </cell>
        </row>
        <row r="3974">
          <cell r="W3974">
            <v>0</v>
          </cell>
          <cell r="AB3974" t="str">
            <v>line item not tagged</v>
          </cell>
        </row>
        <row r="3975">
          <cell r="W3975">
            <v>0</v>
          </cell>
          <cell r="AB3975" t="str">
            <v>line item not tagged</v>
          </cell>
        </row>
        <row r="3976">
          <cell r="W3976">
            <v>0</v>
          </cell>
          <cell r="AB3976" t="str">
            <v>line item not tagged</v>
          </cell>
        </row>
        <row r="3977">
          <cell r="W3977">
            <v>0</v>
          </cell>
          <cell r="AB3977" t="str">
            <v>line item not tagged</v>
          </cell>
        </row>
        <row r="3978">
          <cell r="W3978">
            <v>0</v>
          </cell>
          <cell r="AB3978" t="str">
            <v>line item not tagged</v>
          </cell>
        </row>
        <row r="3979">
          <cell r="W3979">
            <v>0</v>
          </cell>
          <cell r="AB3979" t="str">
            <v>line item not tagged</v>
          </cell>
        </row>
        <row r="3980">
          <cell r="W3980">
            <v>0</v>
          </cell>
          <cell r="AB3980" t="str">
            <v>line item not tagged</v>
          </cell>
        </row>
        <row r="3981">
          <cell r="W3981">
            <v>0</v>
          </cell>
          <cell r="AB3981" t="str">
            <v>line item not tagged</v>
          </cell>
        </row>
        <row r="3982">
          <cell r="W3982">
            <v>0</v>
          </cell>
          <cell r="AB3982" t="str">
            <v>line item not tagged</v>
          </cell>
        </row>
        <row r="3983">
          <cell r="W3983">
            <v>0</v>
          </cell>
          <cell r="AB3983" t="str">
            <v>line item not tagged</v>
          </cell>
        </row>
        <row r="3984">
          <cell r="W3984">
            <v>0</v>
          </cell>
          <cell r="AB3984" t="str">
            <v>line item not tagged</v>
          </cell>
        </row>
        <row r="3985">
          <cell r="W3985">
            <v>0</v>
          </cell>
          <cell r="AB3985" t="str">
            <v>line item not tagged</v>
          </cell>
        </row>
        <row r="3986">
          <cell r="W3986">
            <v>0</v>
          </cell>
          <cell r="AB3986" t="str">
            <v>line item not tagged</v>
          </cell>
        </row>
        <row r="3987">
          <cell r="W3987">
            <v>0</v>
          </cell>
          <cell r="AB3987" t="str">
            <v>line item not tagged</v>
          </cell>
        </row>
        <row r="3988">
          <cell r="W3988">
            <v>0</v>
          </cell>
          <cell r="AB3988" t="str">
            <v>line item not tagged</v>
          </cell>
        </row>
        <row r="3989">
          <cell r="W3989">
            <v>0</v>
          </cell>
          <cell r="AB3989" t="str">
            <v>line item not tagged</v>
          </cell>
        </row>
        <row r="3990">
          <cell r="W3990">
            <v>0</v>
          </cell>
          <cell r="AB3990" t="str">
            <v>line item not tagged</v>
          </cell>
        </row>
        <row r="3991">
          <cell r="W3991">
            <v>0</v>
          </cell>
          <cell r="AB3991" t="str">
            <v>line item not tagged</v>
          </cell>
        </row>
        <row r="3992">
          <cell r="W3992">
            <v>0</v>
          </cell>
          <cell r="AB3992" t="str">
            <v>line item not tagged</v>
          </cell>
        </row>
        <row r="3993">
          <cell r="W3993">
            <v>0</v>
          </cell>
          <cell r="AB3993" t="str">
            <v>line item not tagged</v>
          </cell>
        </row>
        <row r="3994">
          <cell r="W3994">
            <v>0</v>
          </cell>
          <cell r="AB3994" t="str">
            <v>line item not tagged</v>
          </cell>
        </row>
        <row r="3995">
          <cell r="W3995">
            <v>0</v>
          </cell>
          <cell r="AB3995" t="str">
            <v>line item not tagged</v>
          </cell>
        </row>
        <row r="3996">
          <cell r="W3996">
            <v>0</v>
          </cell>
          <cell r="AB3996" t="str">
            <v>line item not tagged</v>
          </cell>
        </row>
        <row r="3997">
          <cell r="W3997">
            <v>0</v>
          </cell>
          <cell r="AB3997" t="str">
            <v>line item not tagged</v>
          </cell>
        </row>
        <row r="3998">
          <cell r="W3998">
            <v>0</v>
          </cell>
          <cell r="AB3998" t="str">
            <v>line item not tagged</v>
          </cell>
        </row>
        <row r="3999">
          <cell r="W3999">
            <v>0</v>
          </cell>
          <cell r="AB3999" t="str">
            <v>line item not tagged</v>
          </cell>
        </row>
        <row r="4000">
          <cell r="W4000">
            <v>0</v>
          </cell>
          <cell r="AB4000" t="str">
            <v>line item not tagged</v>
          </cell>
        </row>
        <row r="4001">
          <cell r="W4001">
            <v>0</v>
          </cell>
          <cell r="AB4001" t="str">
            <v>line item not tagged</v>
          </cell>
        </row>
        <row r="4002">
          <cell r="W4002">
            <v>0</v>
          </cell>
          <cell r="AB4002" t="str">
            <v>line item not tagged</v>
          </cell>
        </row>
        <row r="4003">
          <cell r="W4003">
            <v>0</v>
          </cell>
          <cell r="AB4003" t="str">
            <v>line item not tagged</v>
          </cell>
        </row>
        <row r="4004">
          <cell r="W4004">
            <v>0</v>
          </cell>
          <cell r="AB4004" t="str">
            <v>line item not tagged</v>
          </cell>
        </row>
        <row r="4005">
          <cell r="W4005">
            <v>0</v>
          </cell>
          <cell r="AB4005" t="str">
            <v>line item not tagged</v>
          </cell>
        </row>
        <row r="4006">
          <cell r="W4006">
            <v>0</v>
          </cell>
          <cell r="AB4006" t="str">
            <v>line item not tagged</v>
          </cell>
        </row>
        <row r="4007">
          <cell r="W4007">
            <v>0</v>
          </cell>
          <cell r="AB4007" t="str">
            <v>line item not tagged</v>
          </cell>
        </row>
        <row r="4008">
          <cell r="W4008">
            <v>0</v>
          </cell>
          <cell r="AB4008" t="str">
            <v>line item not tagged</v>
          </cell>
        </row>
        <row r="4009">
          <cell r="W4009">
            <v>0</v>
          </cell>
          <cell r="AB4009" t="str">
            <v>line item not tagged</v>
          </cell>
        </row>
        <row r="4010">
          <cell r="W4010">
            <v>0</v>
          </cell>
          <cell r="AB4010" t="str">
            <v>line item not tagged</v>
          </cell>
        </row>
        <row r="4011">
          <cell r="W4011">
            <v>0</v>
          </cell>
          <cell r="AB4011" t="str">
            <v>line item not tagged</v>
          </cell>
        </row>
        <row r="4012">
          <cell r="W4012">
            <v>0</v>
          </cell>
          <cell r="AB4012" t="str">
            <v>line item not tagged</v>
          </cell>
        </row>
        <row r="4013">
          <cell r="W4013">
            <v>0</v>
          </cell>
          <cell r="AB4013" t="str">
            <v>line item not tagged</v>
          </cell>
        </row>
        <row r="4014">
          <cell r="W4014">
            <v>0</v>
          </cell>
          <cell r="AB4014" t="str">
            <v>line item not tagged</v>
          </cell>
        </row>
        <row r="4015">
          <cell r="W4015">
            <v>0</v>
          </cell>
          <cell r="AB4015" t="str">
            <v>line item not tagged</v>
          </cell>
        </row>
        <row r="4016">
          <cell r="W4016">
            <v>0</v>
          </cell>
          <cell r="AB4016" t="str">
            <v>line item not tagged</v>
          </cell>
        </row>
        <row r="4017">
          <cell r="W4017">
            <v>0</v>
          </cell>
          <cell r="AB4017" t="str">
            <v>line item not tagged</v>
          </cell>
        </row>
        <row r="4018">
          <cell r="W4018">
            <v>0</v>
          </cell>
          <cell r="AB4018" t="str">
            <v>line item not tagged</v>
          </cell>
        </row>
        <row r="4019">
          <cell r="W4019">
            <v>0</v>
          </cell>
          <cell r="AB4019" t="str">
            <v>line item not tagged</v>
          </cell>
        </row>
        <row r="4020">
          <cell r="W4020">
            <v>0</v>
          </cell>
          <cell r="AB4020" t="str">
            <v>line item not tagged</v>
          </cell>
        </row>
        <row r="4021">
          <cell r="W4021">
            <v>0</v>
          </cell>
          <cell r="AB4021" t="str">
            <v>line item not tagged</v>
          </cell>
        </row>
        <row r="4022">
          <cell r="W4022">
            <v>0</v>
          </cell>
          <cell r="AB4022" t="str">
            <v>line item not tagged</v>
          </cell>
        </row>
        <row r="4023">
          <cell r="W4023">
            <v>0</v>
          </cell>
          <cell r="AB4023" t="str">
            <v>line item not tagged</v>
          </cell>
        </row>
        <row r="4024">
          <cell r="W4024">
            <v>0</v>
          </cell>
          <cell r="AB4024" t="str">
            <v>line item not tagged</v>
          </cell>
        </row>
        <row r="4025">
          <cell r="W4025">
            <v>0</v>
          </cell>
          <cell r="AB4025" t="str">
            <v>line item not tagged</v>
          </cell>
        </row>
        <row r="4026">
          <cell r="W4026">
            <v>0</v>
          </cell>
          <cell r="AB4026" t="str">
            <v>line item not tagged</v>
          </cell>
        </row>
        <row r="4027">
          <cell r="W4027">
            <v>0</v>
          </cell>
          <cell r="AB4027" t="str">
            <v>line item not tagged</v>
          </cell>
        </row>
        <row r="4028">
          <cell r="W4028">
            <v>0</v>
          </cell>
          <cell r="AB4028" t="str">
            <v>line item not tagged</v>
          </cell>
        </row>
        <row r="4029">
          <cell r="W4029">
            <v>0</v>
          </cell>
          <cell r="AB4029" t="str">
            <v>line item not tagged</v>
          </cell>
        </row>
        <row r="4030">
          <cell r="W4030">
            <v>0</v>
          </cell>
          <cell r="AB4030" t="str">
            <v>line item not tagged</v>
          </cell>
        </row>
        <row r="4031">
          <cell r="W4031">
            <v>0</v>
          </cell>
          <cell r="AB4031" t="str">
            <v>line item not tagged</v>
          </cell>
        </row>
        <row r="4032">
          <cell r="W4032">
            <v>0</v>
          </cell>
          <cell r="AB4032" t="str">
            <v>line item not tagged</v>
          </cell>
        </row>
        <row r="4033">
          <cell r="W4033">
            <v>0</v>
          </cell>
          <cell r="AB4033" t="str">
            <v>line item not tagged</v>
          </cell>
        </row>
        <row r="4034">
          <cell r="W4034">
            <v>0</v>
          </cell>
          <cell r="AB4034" t="str">
            <v>line item not tagged</v>
          </cell>
        </row>
        <row r="4035">
          <cell r="W4035">
            <v>0</v>
          </cell>
          <cell r="AB4035" t="str">
            <v>line item not tagged</v>
          </cell>
        </row>
        <row r="4036">
          <cell r="W4036">
            <v>0</v>
          </cell>
          <cell r="AB4036" t="str">
            <v>line item not tagged</v>
          </cell>
        </row>
        <row r="4037">
          <cell r="W4037">
            <v>0</v>
          </cell>
          <cell r="AB4037" t="str">
            <v>line item not tagged</v>
          </cell>
        </row>
        <row r="4038">
          <cell r="W4038">
            <v>0</v>
          </cell>
          <cell r="AB4038" t="str">
            <v>line item not tagged</v>
          </cell>
        </row>
        <row r="4039">
          <cell r="W4039">
            <v>0</v>
          </cell>
          <cell r="AB4039" t="str">
            <v>line item not tagged</v>
          </cell>
        </row>
        <row r="4040">
          <cell r="W4040">
            <v>0</v>
          </cell>
          <cell r="AB4040" t="str">
            <v>line item not tagged</v>
          </cell>
        </row>
        <row r="4041">
          <cell r="W4041">
            <v>0</v>
          </cell>
          <cell r="AB4041" t="str">
            <v>line item not tagged</v>
          </cell>
        </row>
        <row r="4042">
          <cell r="W4042">
            <v>0</v>
          </cell>
          <cell r="AB4042" t="str">
            <v>line item not tagged</v>
          </cell>
        </row>
        <row r="4043">
          <cell r="W4043">
            <v>0</v>
          </cell>
          <cell r="AB4043" t="str">
            <v>line item not tagged</v>
          </cell>
        </row>
        <row r="4044">
          <cell r="W4044">
            <v>0</v>
          </cell>
          <cell r="AB4044" t="str">
            <v>line item not tagged</v>
          </cell>
        </row>
        <row r="4045">
          <cell r="W4045">
            <v>0</v>
          </cell>
          <cell r="AB4045" t="str">
            <v>line item not tagged</v>
          </cell>
        </row>
        <row r="4046">
          <cell r="W4046">
            <v>0</v>
          </cell>
          <cell r="AB4046" t="str">
            <v>line item not tagged</v>
          </cell>
        </row>
        <row r="4047">
          <cell r="W4047">
            <v>0</v>
          </cell>
          <cell r="AB4047" t="str">
            <v>line item not tagged</v>
          </cell>
        </row>
        <row r="4048">
          <cell r="W4048">
            <v>0</v>
          </cell>
          <cell r="AB4048" t="str">
            <v>line item not tagged</v>
          </cell>
        </row>
        <row r="4049">
          <cell r="W4049">
            <v>0</v>
          </cell>
          <cell r="AB4049" t="str">
            <v>line item not tagged</v>
          </cell>
        </row>
        <row r="4050">
          <cell r="W4050">
            <v>0</v>
          </cell>
          <cell r="AB4050" t="str">
            <v>line item not tagged</v>
          </cell>
        </row>
        <row r="4051">
          <cell r="W4051">
            <v>0</v>
          </cell>
          <cell r="AB4051" t="str">
            <v>line item not tagged</v>
          </cell>
        </row>
        <row r="4052">
          <cell r="W4052">
            <v>0</v>
          </cell>
          <cell r="AB4052" t="str">
            <v>line item not tagged</v>
          </cell>
        </row>
        <row r="4053">
          <cell r="W4053">
            <v>0</v>
          </cell>
          <cell r="AB4053" t="str">
            <v>line item not tagged</v>
          </cell>
        </row>
        <row r="4054">
          <cell r="W4054">
            <v>0</v>
          </cell>
          <cell r="AB4054" t="str">
            <v>line item not tagged</v>
          </cell>
        </row>
        <row r="4055">
          <cell r="W4055">
            <v>0</v>
          </cell>
          <cell r="AB4055" t="str">
            <v>line item not tagged</v>
          </cell>
        </row>
        <row r="4056">
          <cell r="W4056">
            <v>0</v>
          </cell>
          <cell r="AB4056" t="str">
            <v>line item not tagged</v>
          </cell>
        </row>
        <row r="4057">
          <cell r="W4057">
            <v>0</v>
          </cell>
          <cell r="AB4057" t="str">
            <v>line item not tagged</v>
          </cell>
        </row>
        <row r="4058">
          <cell r="W4058">
            <v>0</v>
          </cell>
          <cell r="AB4058" t="str">
            <v>line item not tagged</v>
          </cell>
        </row>
        <row r="4059">
          <cell r="W4059">
            <v>0</v>
          </cell>
          <cell r="AB4059" t="str">
            <v>line item not tagged</v>
          </cell>
        </row>
        <row r="4060">
          <cell r="W4060">
            <v>0</v>
          </cell>
          <cell r="AB4060" t="str">
            <v>line item not tagged</v>
          </cell>
        </row>
        <row r="4061">
          <cell r="W4061">
            <v>0</v>
          </cell>
          <cell r="AB4061" t="str">
            <v>line item not tagged</v>
          </cell>
        </row>
        <row r="4062">
          <cell r="W4062">
            <v>0</v>
          </cell>
          <cell r="AB4062" t="str">
            <v>line item not tagged</v>
          </cell>
        </row>
        <row r="4063">
          <cell r="W4063">
            <v>0</v>
          </cell>
          <cell r="AB4063" t="str">
            <v>line item not tagged</v>
          </cell>
        </row>
        <row r="4064">
          <cell r="W4064">
            <v>0</v>
          </cell>
          <cell r="AB4064" t="str">
            <v>line item not tagged</v>
          </cell>
        </row>
        <row r="4065">
          <cell r="W4065">
            <v>0</v>
          </cell>
          <cell r="AB4065" t="str">
            <v>line item not tagged</v>
          </cell>
        </row>
        <row r="4066">
          <cell r="W4066">
            <v>0</v>
          </cell>
          <cell r="AB4066" t="str">
            <v>line item not tagged</v>
          </cell>
        </row>
        <row r="4067">
          <cell r="W4067">
            <v>0</v>
          </cell>
          <cell r="AB4067" t="str">
            <v>line item not tagged</v>
          </cell>
        </row>
        <row r="4068">
          <cell r="W4068">
            <v>0</v>
          </cell>
          <cell r="AB4068" t="str">
            <v>line item not tagged</v>
          </cell>
        </row>
        <row r="4069">
          <cell r="W4069">
            <v>0</v>
          </cell>
          <cell r="AB4069" t="str">
            <v>line item not tagged</v>
          </cell>
        </row>
        <row r="4070">
          <cell r="W4070">
            <v>0</v>
          </cell>
          <cell r="AB4070" t="str">
            <v>line item not tagged</v>
          </cell>
        </row>
        <row r="4071">
          <cell r="W4071">
            <v>0</v>
          </cell>
          <cell r="AB4071" t="str">
            <v>line item not tagged</v>
          </cell>
        </row>
        <row r="4072">
          <cell r="W4072">
            <v>0</v>
          </cell>
          <cell r="AB4072" t="str">
            <v>line item not tagged</v>
          </cell>
        </row>
        <row r="4073">
          <cell r="W4073">
            <v>0</v>
          </cell>
          <cell r="AB4073" t="str">
            <v>line item not tagged</v>
          </cell>
        </row>
        <row r="4074">
          <cell r="W4074">
            <v>0</v>
          </cell>
          <cell r="AB4074" t="str">
            <v>line item not tagged</v>
          </cell>
        </row>
        <row r="4075">
          <cell r="W4075">
            <v>0</v>
          </cell>
          <cell r="AB4075" t="str">
            <v>line item not tagged</v>
          </cell>
        </row>
        <row r="4076">
          <cell r="W4076">
            <v>0</v>
          </cell>
          <cell r="AB4076" t="str">
            <v>line item not tagged</v>
          </cell>
        </row>
        <row r="4077">
          <cell r="W4077">
            <v>0</v>
          </cell>
          <cell r="AB4077" t="str">
            <v>line item not tagged</v>
          </cell>
        </row>
        <row r="4078">
          <cell r="W4078">
            <v>0</v>
          </cell>
          <cell r="AB4078" t="str">
            <v>line item not tagged</v>
          </cell>
        </row>
        <row r="4079">
          <cell r="W4079">
            <v>0</v>
          </cell>
          <cell r="AB4079" t="str">
            <v>line item not tagged</v>
          </cell>
        </row>
        <row r="4080">
          <cell r="W4080">
            <v>0</v>
          </cell>
          <cell r="AB4080" t="str">
            <v>line item not tagged</v>
          </cell>
        </row>
        <row r="4081">
          <cell r="W4081">
            <v>0</v>
          </cell>
          <cell r="AB4081" t="str">
            <v>line item not tagged</v>
          </cell>
        </row>
        <row r="4082">
          <cell r="W4082">
            <v>0</v>
          </cell>
          <cell r="AB4082" t="str">
            <v>line item not tagged</v>
          </cell>
        </row>
        <row r="4083">
          <cell r="W4083">
            <v>0</v>
          </cell>
          <cell r="AB4083" t="str">
            <v>line item not tagged</v>
          </cell>
        </row>
        <row r="4084">
          <cell r="W4084">
            <v>0</v>
          </cell>
          <cell r="AB4084" t="str">
            <v>line item not tagged</v>
          </cell>
        </row>
        <row r="4085">
          <cell r="W4085">
            <v>0</v>
          </cell>
          <cell r="AB4085" t="str">
            <v>line item not tagged</v>
          </cell>
        </row>
        <row r="4086">
          <cell r="W4086">
            <v>0</v>
          </cell>
          <cell r="AB4086" t="str">
            <v>line item not tagged</v>
          </cell>
        </row>
        <row r="4087">
          <cell r="W4087">
            <v>0</v>
          </cell>
          <cell r="AB4087" t="str">
            <v>line item not tagged</v>
          </cell>
        </row>
        <row r="4088">
          <cell r="W4088">
            <v>0</v>
          </cell>
          <cell r="AB4088" t="str">
            <v>line item not tagged</v>
          </cell>
        </row>
        <row r="4089">
          <cell r="W4089">
            <v>0</v>
          </cell>
          <cell r="AB4089" t="str">
            <v>line item not tagged</v>
          </cell>
        </row>
        <row r="4090">
          <cell r="W4090">
            <v>0</v>
          </cell>
          <cell r="AB4090" t="str">
            <v>line item not tagged</v>
          </cell>
        </row>
        <row r="4091">
          <cell r="W4091">
            <v>0</v>
          </cell>
          <cell r="AB4091" t="str">
            <v>line item not tagged</v>
          </cell>
        </row>
        <row r="4092">
          <cell r="W4092">
            <v>0</v>
          </cell>
          <cell r="AB4092" t="str">
            <v>line item not tagged</v>
          </cell>
        </row>
        <row r="4093">
          <cell r="W4093">
            <v>0</v>
          </cell>
          <cell r="AB4093" t="str">
            <v>line item not tagged</v>
          </cell>
        </row>
        <row r="4094">
          <cell r="W4094">
            <v>0</v>
          </cell>
          <cell r="AB4094" t="str">
            <v>line item not tagged</v>
          </cell>
        </row>
        <row r="4095">
          <cell r="W4095">
            <v>0</v>
          </cell>
          <cell r="AB4095" t="str">
            <v>line item not tagged</v>
          </cell>
        </row>
        <row r="4096">
          <cell r="W4096">
            <v>0</v>
          </cell>
          <cell r="AB4096" t="str">
            <v>line item not tagged</v>
          </cell>
        </row>
        <row r="4097">
          <cell r="W4097">
            <v>0</v>
          </cell>
          <cell r="AB4097" t="str">
            <v>line item not tagged</v>
          </cell>
        </row>
        <row r="4098">
          <cell r="W4098">
            <v>0</v>
          </cell>
          <cell r="AB4098" t="str">
            <v>line item not tagged</v>
          </cell>
        </row>
        <row r="4099">
          <cell r="W4099">
            <v>0</v>
          </cell>
          <cell r="AB4099" t="str">
            <v>line item not tagged</v>
          </cell>
        </row>
        <row r="4100">
          <cell r="W4100">
            <v>0</v>
          </cell>
          <cell r="AB4100" t="str">
            <v>line item not tagged</v>
          </cell>
        </row>
        <row r="4101">
          <cell r="W4101">
            <v>0</v>
          </cell>
          <cell r="AB4101" t="str">
            <v>line item not tagged</v>
          </cell>
        </row>
        <row r="4102">
          <cell r="W4102">
            <v>0</v>
          </cell>
          <cell r="AB4102" t="str">
            <v>line item not tagged</v>
          </cell>
        </row>
        <row r="4103">
          <cell r="W4103">
            <v>0</v>
          </cell>
          <cell r="AB4103" t="str">
            <v>line item not tagged</v>
          </cell>
        </row>
        <row r="4104">
          <cell r="W4104">
            <v>0</v>
          </cell>
          <cell r="AB4104" t="str">
            <v>line item not tagged</v>
          </cell>
        </row>
        <row r="4105">
          <cell r="W4105">
            <v>0</v>
          </cell>
          <cell r="AB4105" t="str">
            <v>line item not tagged</v>
          </cell>
        </row>
        <row r="4106">
          <cell r="W4106">
            <v>0</v>
          </cell>
          <cell r="AB4106" t="str">
            <v>line item not tagged</v>
          </cell>
        </row>
        <row r="4107">
          <cell r="W4107">
            <v>0</v>
          </cell>
          <cell r="AB4107" t="str">
            <v>line item not tagged</v>
          </cell>
        </row>
        <row r="4108">
          <cell r="W4108">
            <v>0</v>
          </cell>
          <cell r="AB4108" t="str">
            <v>line item not tagged</v>
          </cell>
        </row>
        <row r="4109">
          <cell r="W4109">
            <v>0</v>
          </cell>
          <cell r="AB4109" t="str">
            <v>line item not tagged</v>
          </cell>
        </row>
        <row r="4110">
          <cell r="W4110">
            <v>0</v>
          </cell>
          <cell r="AB4110" t="str">
            <v>line item not tagged</v>
          </cell>
        </row>
        <row r="4111">
          <cell r="W4111">
            <v>0</v>
          </cell>
          <cell r="AB4111" t="str">
            <v>line item not tagged</v>
          </cell>
        </row>
        <row r="4112">
          <cell r="W4112">
            <v>0</v>
          </cell>
          <cell r="AB4112" t="str">
            <v>line item not tagged</v>
          </cell>
        </row>
        <row r="4113">
          <cell r="W4113">
            <v>0</v>
          </cell>
          <cell r="AB4113" t="str">
            <v>line item not tagged</v>
          </cell>
        </row>
        <row r="4114">
          <cell r="W4114">
            <v>0</v>
          </cell>
          <cell r="AB4114" t="str">
            <v>line item not tagged</v>
          </cell>
        </row>
        <row r="4115">
          <cell r="W4115">
            <v>0</v>
          </cell>
          <cell r="AB4115" t="str">
            <v>line item not tagged</v>
          </cell>
        </row>
        <row r="4116">
          <cell r="W4116">
            <v>0</v>
          </cell>
          <cell r="AB4116" t="str">
            <v>line item not tagged</v>
          </cell>
        </row>
        <row r="4117">
          <cell r="W4117">
            <v>0</v>
          </cell>
          <cell r="AB4117" t="str">
            <v>line item not tagged</v>
          </cell>
        </row>
        <row r="4118">
          <cell r="W4118">
            <v>0</v>
          </cell>
          <cell r="AB4118" t="str">
            <v>line item not tagged</v>
          </cell>
        </row>
        <row r="4119">
          <cell r="W4119">
            <v>0</v>
          </cell>
          <cell r="AB4119" t="str">
            <v>line item not tagged</v>
          </cell>
        </row>
        <row r="4120">
          <cell r="W4120">
            <v>0</v>
          </cell>
          <cell r="AB4120" t="str">
            <v>line item not tagged</v>
          </cell>
        </row>
        <row r="4121">
          <cell r="W4121">
            <v>0</v>
          </cell>
          <cell r="AB4121" t="str">
            <v>line item not tagged</v>
          </cell>
        </row>
        <row r="4122">
          <cell r="W4122">
            <v>0</v>
          </cell>
          <cell r="AB4122" t="str">
            <v>line item not tagged</v>
          </cell>
        </row>
        <row r="4123">
          <cell r="W4123">
            <v>0</v>
          </cell>
          <cell r="AB4123" t="str">
            <v>line item not tagged</v>
          </cell>
        </row>
        <row r="4124">
          <cell r="W4124">
            <v>0</v>
          </cell>
          <cell r="AB4124" t="str">
            <v>line item not tagged</v>
          </cell>
        </row>
        <row r="4125">
          <cell r="W4125">
            <v>0</v>
          </cell>
          <cell r="AB4125" t="str">
            <v>line item not tagged</v>
          </cell>
        </row>
        <row r="4126">
          <cell r="W4126">
            <v>0</v>
          </cell>
          <cell r="AB4126" t="str">
            <v>line item not tagged</v>
          </cell>
        </row>
        <row r="4127">
          <cell r="W4127">
            <v>0</v>
          </cell>
          <cell r="AB4127" t="str">
            <v>line item not tagged</v>
          </cell>
        </row>
        <row r="4128">
          <cell r="W4128">
            <v>0</v>
          </cell>
          <cell r="AB4128" t="str">
            <v>line item not tagged</v>
          </cell>
        </row>
        <row r="4129">
          <cell r="W4129">
            <v>0</v>
          </cell>
          <cell r="AB4129" t="str">
            <v>line item not tagged</v>
          </cell>
        </row>
        <row r="4130">
          <cell r="W4130">
            <v>0</v>
          </cell>
          <cell r="AB4130" t="str">
            <v>line item not tagged</v>
          </cell>
        </row>
        <row r="4131">
          <cell r="W4131">
            <v>0</v>
          </cell>
          <cell r="AB4131" t="str">
            <v>line item not tagged</v>
          </cell>
        </row>
        <row r="4132">
          <cell r="W4132">
            <v>0</v>
          </cell>
          <cell r="AB4132" t="str">
            <v>line item not tagged</v>
          </cell>
        </row>
        <row r="4133">
          <cell r="W4133">
            <v>0</v>
          </cell>
          <cell r="AB4133" t="str">
            <v>line item not tagged</v>
          </cell>
        </row>
        <row r="4134">
          <cell r="W4134">
            <v>0</v>
          </cell>
          <cell r="AB4134" t="str">
            <v>line item not tagged</v>
          </cell>
        </row>
        <row r="4135">
          <cell r="W4135">
            <v>0</v>
          </cell>
          <cell r="AB4135" t="str">
            <v>line item not tagged</v>
          </cell>
        </row>
        <row r="4136">
          <cell r="W4136">
            <v>0</v>
          </cell>
          <cell r="AB4136" t="str">
            <v>line item not tagged</v>
          </cell>
        </row>
        <row r="4137">
          <cell r="W4137">
            <v>0</v>
          </cell>
          <cell r="AB4137" t="str">
            <v>line item not tagged</v>
          </cell>
        </row>
        <row r="4138">
          <cell r="W4138">
            <v>0</v>
          </cell>
          <cell r="AB4138" t="str">
            <v>line item not tagged</v>
          </cell>
        </row>
        <row r="4139">
          <cell r="W4139">
            <v>0</v>
          </cell>
          <cell r="AB4139" t="str">
            <v>line item not tagged</v>
          </cell>
        </row>
        <row r="4140">
          <cell r="W4140">
            <v>0</v>
          </cell>
          <cell r="AB4140" t="str">
            <v>line item not tagged</v>
          </cell>
        </row>
        <row r="4141">
          <cell r="W4141">
            <v>0</v>
          </cell>
          <cell r="AB4141" t="str">
            <v>line item not tagged</v>
          </cell>
        </row>
        <row r="4142">
          <cell r="W4142">
            <v>0</v>
          </cell>
          <cell r="AB4142" t="str">
            <v>line item not tagged</v>
          </cell>
        </row>
        <row r="4143">
          <cell r="W4143">
            <v>0</v>
          </cell>
          <cell r="AB4143" t="str">
            <v>line item not tagged</v>
          </cell>
        </row>
        <row r="4144">
          <cell r="W4144">
            <v>0</v>
          </cell>
          <cell r="AB4144" t="str">
            <v>line item not tagged</v>
          </cell>
        </row>
        <row r="4145">
          <cell r="W4145">
            <v>0</v>
          </cell>
          <cell r="AB4145" t="str">
            <v>line item not tagged</v>
          </cell>
        </row>
        <row r="4146">
          <cell r="W4146">
            <v>0</v>
          </cell>
          <cell r="AB4146" t="str">
            <v>line item not tagged</v>
          </cell>
        </row>
        <row r="4147">
          <cell r="W4147">
            <v>0</v>
          </cell>
          <cell r="AB4147" t="str">
            <v>line item not tagged</v>
          </cell>
        </row>
        <row r="4148">
          <cell r="W4148">
            <v>0</v>
          </cell>
          <cell r="AB4148" t="str">
            <v>line item not tagged</v>
          </cell>
        </row>
        <row r="4149">
          <cell r="W4149">
            <v>0</v>
          </cell>
          <cell r="AB4149" t="str">
            <v>line item not tagged</v>
          </cell>
        </row>
        <row r="4150">
          <cell r="W4150">
            <v>0</v>
          </cell>
          <cell r="AB4150" t="str">
            <v>line item not tagged</v>
          </cell>
        </row>
        <row r="4151">
          <cell r="W4151">
            <v>0</v>
          </cell>
          <cell r="AB4151" t="str">
            <v>line item not tagged</v>
          </cell>
        </row>
        <row r="4152">
          <cell r="W4152">
            <v>0</v>
          </cell>
          <cell r="AB4152" t="str">
            <v>line item not tagged</v>
          </cell>
        </row>
        <row r="4153">
          <cell r="W4153">
            <v>0</v>
          </cell>
          <cell r="AB4153" t="str">
            <v>line item not tagged</v>
          </cell>
        </row>
        <row r="4154">
          <cell r="W4154">
            <v>0</v>
          </cell>
          <cell r="AB4154" t="str">
            <v>line item not tagged</v>
          </cell>
        </row>
        <row r="4155">
          <cell r="W4155">
            <v>0</v>
          </cell>
          <cell r="AB4155" t="str">
            <v>line item not tagged</v>
          </cell>
        </row>
        <row r="4156">
          <cell r="W4156">
            <v>0</v>
          </cell>
          <cell r="AB4156" t="str">
            <v>line item not tagged</v>
          </cell>
        </row>
        <row r="4157">
          <cell r="W4157">
            <v>0</v>
          </cell>
          <cell r="AB4157" t="str">
            <v>line item not tagged</v>
          </cell>
        </row>
        <row r="4158">
          <cell r="W4158">
            <v>0</v>
          </cell>
          <cell r="AB4158" t="str">
            <v>line item not tagged</v>
          </cell>
        </row>
        <row r="4159">
          <cell r="W4159">
            <v>0</v>
          </cell>
          <cell r="AB4159" t="str">
            <v>line item not tagged</v>
          </cell>
        </row>
        <row r="4160">
          <cell r="W4160">
            <v>0</v>
          </cell>
          <cell r="AB4160" t="str">
            <v>line item not tagged</v>
          </cell>
        </row>
        <row r="4161">
          <cell r="W4161">
            <v>0</v>
          </cell>
          <cell r="AB4161" t="str">
            <v>line item not tagged</v>
          </cell>
        </row>
        <row r="4162">
          <cell r="W4162">
            <v>0</v>
          </cell>
          <cell r="AB4162" t="str">
            <v>line item not tagged</v>
          </cell>
        </row>
        <row r="4163">
          <cell r="W4163">
            <v>0</v>
          </cell>
          <cell r="AB4163" t="str">
            <v>line item not tagged</v>
          </cell>
        </row>
        <row r="4164">
          <cell r="W4164">
            <v>0</v>
          </cell>
          <cell r="AB4164" t="str">
            <v>line item not tagged</v>
          </cell>
        </row>
        <row r="4165">
          <cell r="W4165">
            <v>0</v>
          </cell>
          <cell r="AB4165" t="str">
            <v>line item not tagged</v>
          </cell>
        </row>
        <row r="4166">
          <cell r="W4166">
            <v>0</v>
          </cell>
          <cell r="AB4166" t="str">
            <v>line item not tagged</v>
          </cell>
        </row>
        <row r="4167">
          <cell r="W4167">
            <v>0</v>
          </cell>
          <cell r="AB4167" t="str">
            <v>line item not tagged</v>
          </cell>
        </row>
        <row r="4168">
          <cell r="W4168">
            <v>0</v>
          </cell>
          <cell r="AB4168" t="str">
            <v>line item not tagged</v>
          </cell>
        </row>
        <row r="4169">
          <cell r="W4169">
            <v>0</v>
          </cell>
          <cell r="AB4169" t="str">
            <v>line item not tagged</v>
          </cell>
        </row>
        <row r="4170">
          <cell r="W4170">
            <v>0</v>
          </cell>
          <cell r="AB4170" t="str">
            <v>line item not tagged</v>
          </cell>
        </row>
        <row r="4171">
          <cell r="W4171">
            <v>0</v>
          </cell>
          <cell r="AB4171" t="str">
            <v>line item not tagged</v>
          </cell>
        </row>
        <row r="4172">
          <cell r="W4172">
            <v>0</v>
          </cell>
          <cell r="AB4172" t="str">
            <v>line item not tagged</v>
          </cell>
        </row>
        <row r="4173">
          <cell r="W4173">
            <v>0</v>
          </cell>
          <cell r="AB4173" t="str">
            <v>line item not tagged</v>
          </cell>
        </row>
        <row r="4174">
          <cell r="W4174">
            <v>0</v>
          </cell>
          <cell r="AB4174" t="str">
            <v>line item not tagged</v>
          </cell>
        </row>
        <row r="4175">
          <cell r="W4175">
            <v>0</v>
          </cell>
          <cell r="AB4175" t="str">
            <v>line item not tagged</v>
          </cell>
        </row>
        <row r="4176">
          <cell r="W4176">
            <v>0</v>
          </cell>
          <cell r="AB4176" t="str">
            <v>line item not tagged</v>
          </cell>
        </row>
        <row r="4177">
          <cell r="W4177">
            <v>0</v>
          </cell>
          <cell r="AB4177" t="str">
            <v>line item not tagged</v>
          </cell>
        </row>
        <row r="4178">
          <cell r="W4178">
            <v>0</v>
          </cell>
          <cell r="AB4178" t="str">
            <v>line item not tagged</v>
          </cell>
        </row>
        <row r="4179">
          <cell r="W4179">
            <v>0</v>
          </cell>
          <cell r="AB4179" t="str">
            <v>line item not tagged</v>
          </cell>
        </row>
        <row r="4180">
          <cell r="W4180">
            <v>0</v>
          </cell>
          <cell r="AB4180" t="str">
            <v>line item not tagged</v>
          </cell>
        </row>
        <row r="4181">
          <cell r="W4181">
            <v>0</v>
          </cell>
          <cell r="AB4181" t="str">
            <v>line item not tagged</v>
          </cell>
        </row>
        <row r="4182">
          <cell r="W4182">
            <v>0</v>
          </cell>
          <cell r="AB4182" t="str">
            <v>line item not tagged</v>
          </cell>
        </row>
        <row r="4183">
          <cell r="W4183">
            <v>0</v>
          </cell>
          <cell r="AB4183" t="str">
            <v>line item not tagged</v>
          </cell>
        </row>
        <row r="4184">
          <cell r="W4184">
            <v>0</v>
          </cell>
          <cell r="AB4184" t="str">
            <v>line item not tagged</v>
          </cell>
        </row>
        <row r="4185">
          <cell r="W4185">
            <v>0</v>
          </cell>
          <cell r="AB4185" t="str">
            <v>line item not tagged</v>
          </cell>
        </row>
        <row r="4186">
          <cell r="W4186">
            <v>0</v>
          </cell>
          <cell r="AB4186" t="str">
            <v>line item not tagged</v>
          </cell>
        </row>
        <row r="4187">
          <cell r="W4187">
            <v>0</v>
          </cell>
          <cell r="AB4187" t="str">
            <v>line item not tagged</v>
          </cell>
        </row>
        <row r="4188">
          <cell r="W4188">
            <v>0</v>
          </cell>
          <cell r="AB4188" t="str">
            <v>line item not tagged</v>
          </cell>
        </row>
        <row r="4189">
          <cell r="W4189">
            <v>0</v>
          </cell>
          <cell r="AB4189" t="str">
            <v>line item not tagged</v>
          </cell>
        </row>
        <row r="4190">
          <cell r="W4190">
            <v>0</v>
          </cell>
          <cell r="AB4190" t="str">
            <v>line item not tagged</v>
          </cell>
        </row>
        <row r="4191">
          <cell r="W4191">
            <v>0</v>
          </cell>
          <cell r="AB4191" t="str">
            <v>line item not tagged</v>
          </cell>
        </row>
        <row r="4192">
          <cell r="W4192">
            <v>0</v>
          </cell>
          <cell r="AB4192" t="str">
            <v>line item not tagged</v>
          </cell>
        </row>
        <row r="4193">
          <cell r="W4193">
            <v>0</v>
          </cell>
          <cell r="AB4193" t="str">
            <v>line item not tagged</v>
          </cell>
        </row>
        <row r="4194">
          <cell r="W4194">
            <v>0</v>
          </cell>
          <cell r="AB4194" t="str">
            <v>line item not tagged</v>
          </cell>
        </row>
        <row r="4195">
          <cell r="W4195">
            <v>0</v>
          </cell>
          <cell r="AB4195" t="str">
            <v>line item not tagged</v>
          </cell>
        </row>
        <row r="4196">
          <cell r="W4196">
            <v>0</v>
          </cell>
          <cell r="AB4196" t="str">
            <v>line item not tagged</v>
          </cell>
        </row>
        <row r="4197">
          <cell r="W4197">
            <v>0</v>
          </cell>
          <cell r="AB4197" t="str">
            <v>line item not tagged</v>
          </cell>
        </row>
        <row r="4198">
          <cell r="W4198">
            <v>0</v>
          </cell>
          <cell r="AB4198" t="str">
            <v>line item not tagged</v>
          </cell>
        </row>
        <row r="4199">
          <cell r="W4199">
            <v>0</v>
          </cell>
          <cell r="AB4199" t="str">
            <v>line item not tagged</v>
          </cell>
        </row>
        <row r="4200">
          <cell r="W4200">
            <v>0</v>
          </cell>
          <cell r="AB4200" t="str">
            <v>line item not tagged</v>
          </cell>
        </row>
        <row r="4201">
          <cell r="W4201">
            <v>0</v>
          </cell>
          <cell r="AB4201" t="str">
            <v>line item not tagged</v>
          </cell>
        </row>
        <row r="4202">
          <cell r="W4202">
            <v>0</v>
          </cell>
          <cell r="AB4202" t="str">
            <v>line item not tagged</v>
          </cell>
        </row>
        <row r="4203">
          <cell r="W4203">
            <v>0</v>
          </cell>
          <cell r="AB4203" t="str">
            <v>line item not tagged</v>
          </cell>
        </row>
        <row r="4204">
          <cell r="W4204">
            <v>0</v>
          </cell>
          <cell r="AB4204" t="str">
            <v>line item not tagged</v>
          </cell>
        </row>
        <row r="4205">
          <cell r="W4205">
            <v>0</v>
          </cell>
          <cell r="AB4205" t="str">
            <v>line item not tagged</v>
          </cell>
        </row>
        <row r="4206">
          <cell r="W4206">
            <v>0</v>
          </cell>
          <cell r="AB4206" t="str">
            <v>line item not tagged</v>
          </cell>
        </row>
        <row r="4207">
          <cell r="W4207">
            <v>0</v>
          </cell>
          <cell r="AB4207" t="str">
            <v>line item not tagged</v>
          </cell>
        </row>
        <row r="4208">
          <cell r="W4208">
            <v>0</v>
          </cell>
          <cell r="AB4208" t="str">
            <v>line item not tagged</v>
          </cell>
        </row>
        <row r="4209">
          <cell r="W4209">
            <v>0</v>
          </cell>
          <cell r="AB4209" t="str">
            <v>line item not tagged</v>
          </cell>
        </row>
        <row r="4210">
          <cell r="W4210">
            <v>0</v>
          </cell>
          <cell r="AB4210" t="str">
            <v>line item not tagged</v>
          </cell>
        </row>
        <row r="4211">
          <cell r="W4211">
            <v>0</v>
          </cell>
          <cell r="AB4211" t="str">
            <v>line item not tagged</v>
          </cell>
        </row>
        <row r="4212">
          <cell r="W4212">
            <v>0</v>
          </cell>
          <cell r="AB4212" t="str">
            <v>line item not tagged</v>
          </cell>
        </row>
        <row r="4213">
          <cell r="W4213">
            <v>0</v>
          </cell>
          <cell r="AB4213" t="str">
            <v>line item not tagged</v>
          </cell>
        </row>
        <row r="4214">
          <cell r="W4214">
            <v>0</v>
          </cell>
          <cell r="AB4214" t="str">
            <v>line item not tagged</v>
          </cell>
        </row>
        <row r="4215">
          <cell r="W4215">
            <v>0</v>
          </cell>
          <cell r="AB4215" t="str">
            <v>line item not tagged</v>
          </cell>
        </row>
        <row r="4216">
          <cell r="W4216">
            <v>0</v>
          </cell>
          <cell r="AB4216" t="str">
            <v>line item not tagged</v>
          </cell>
        </row>
        <row r="4217">
          <cell r="W4217">
            <v>0</v>
          </cell>
          <cell r="AB4217" t="str">
            <v>line item not tagged</v>
          </cell>
        </row>
        <row r="4218">
          <cell r="W4218">
            <v>0</v>
          </cell>
          <cell r="AB4218" t="str">
            <v>line item not tagged</v>
          </cell>
        </row>
        <row r="4219">
          <cell r="W4219">
            <v>0</v>
          </cell>
          <cell r="AB4219" t="str">
            <v>line item not tagged</v>
          </cell>
        </row>
        <row r="4220">
          <cell r="W4220">
            <v>0</v>
          </cell>
          <cell r="AB4220" t="str">
            <v>line item not tagged</v>
          </cell>
        </row>
        <row r="4221">
          <cell r="W4221">
            <v>0</v>
          </cell>
          <cell r="AB4221" t="str">
            <v>line item not tagged</v>
          </cell>
        </row>
        <row r="4222">
          <cell r="W4222">
            <v>0</v>
          </cell>
          <cell r="AB4222" t="str">
            <v>line item not tagged</v>
          </cell>
        </row>
        <row r="4223">
          <cell r="W4223">
            <v>0</v>
          </cell>
          <cell r="AB4223" t="str">
            <v>line item not tagged</v>
          </cell>
        </row>
        <row r="4224">
          <cell r="W4224">
            <v>0</v>
          </cell>
          <cell r="AB4224" t="str">
            <v>line item not tagged</v>
          </cell>
        </row>
        <row r="4225">
          <cell r="W4225">
            <v>0</v>
          </cell>
          <cell r="AB4225" t="str">
            <v>line item not tagged</v>
          </cell>
        </row>
        <row r="4226">
          <cell r="W4226">
            <v>0</v>
          </cell>
          <cell r="AB4226" t="str">
            <v>line item not tagged</v>
          </cell>
        </row>
        <row r="4227">
          <cell r="W4227">
            <v>0</v>
          </cell>
          <cell r="AB4227" t="str">
            <v>line item not tagged</v>
          </cell>
        </row>
        <row r="4228">
          <cell r="W4228">
            <v>0</v>
          </cell>
          <cell r="AB4228" t="str">
            <v>line item not tagged</v>
          </cell>
        </row>
        <row r="4229">
          <cell r="W4229">
            <v>0</v>
          </cell>
          <cell r="AB4229" t="str">
            <v>line item not tagged</v>
          </cell>
        </row>
        <row r="4230">
          <cell r="W4230">
            <v>0</v>
          </cell>
          <cell r="AB4230" t="str">
            <v>line item not tagged</v>
          </cell>
        </row>
        <row r="4231">
          <cell r="W4231">
            <v>0</v>
          </cell>
          <cell r="AB4231" t="str">
            <v>line item not tagged</v>
          </cell>
        </row>
        <row r="4232">
          <cell r="W4232">
            <v>0</v>
          </cell>
          <cell r="AB4232" t="str">
            <v>line item not tagged</v>
          </cell>
        </row>
        <row r="4233">
          <cell r="W4233">
            <v>0</v>
          </cell>
          <cell r="AB4233" t="str">
            <v>line item not tagged</v>
          </cell>
        </row>
        <row r="4234">
          <cell r="W4234">
            <v>0</v>
          </cell>
          <cell r="AB4234" t="str">
            <v>line item not tagged</v>
          </cell>
        </row>
        <row r="4235">
          <cell r="W4235">
            <v>0</v>
          </cell>
          <cell r="AB4235" t="str">
            <v>line item not tagged</v>
          </cell>
        </row>
        <row r="4236">
          <cell r="W4236">
            <v>0</v>
          </cell>
          <cell r="AB4236" t="str">
            <v>line item not tagged</v>
          </cell>
        </row>
        <row r="4237">
          <cell r="W4237">
            <v>0</v>
          </cell>
          <cell r="AB4237" t="str">
            <v>line item not tagged</v>
          </cell>
        </row>
        <row r="4238">
          <cell r="W4238">
            <v>0</v>
          </cell>
          <cell r="AB4238" t="str">
            <v>line item not tagged</v>
          </cell>
        </row>
        <row r="4239">
          <cell r="W4239">
            <v>0</v>
          </cell>
          <cell r="AB4239" t="str">
            <v>line item not tagged</v>
          </cell>
        </row>
        <row r="4240">
          <cell r="W4240">
            <v>0</v>
          </cell>
          <cell r="AB4240" t="str">
            <v>line item not tagged</v>
          </cell>
        </row>
        <row r="4241">
          <cell r="W4241">
            <v>0</v>
          </cell>
          <cell r="AB4241" t="str">
            <v>line item not tagged</v>
          </cell>
        </row>
        <row r="4242">
          <cell r="W4242">
            <v>0</v>
          </cell>
          <cell r="AB4242" t="str">
            <v>line item not tagged</v>
          </cell>
        </row>
        <row r="4243">
          <cell r="W4243">
            <v>0</v>
          </cell>
          <cell r="AB4243" t="str">
            <v>line item not tagged</v>
          </cell>
        </row>
        <row r="4244">
          <cell r="W4244">
            <v>0</v>
          </cell>
          <cell r="AB4244" t="str">
            <v>line item not tagged</v>
          </cell>
        </row>
        <row r="4245">
          <cell r="W4245">
            <v>0</v>
          </cell>
          <cell r="AB4245" t="str">
            <v>line item not tagged</v>
          </cell>
        </row>
        <row r="4246">
          <cell r="W4246">
            <v>0</v>
          </cell>
          <cell r="AB4246" t="str">
            <v>line item not tagged</v>
          </cell>
        </row>
        <row r="4247">
          <cell r="W4247">
            <v>0</v>
          </cell>
          <cell r="AB4247" t="str">
            <v>line item not tagged</v>
          </cell>
        </row>
        <row r="4248">
          <cell r="W4248">
            <v>0</v>
          </cell>
          <cell r="AB4248" t="str">
            <v>line item not tagged</v>
          </cell>
        </row>
        <row r="4249">
          <cell r="W4249">
            <v>0</v>
          </cell>
          <cell r="AB4249" t="str">
            <v>line item not tagged</v>
          </cell>
        </row>
        <row r="4250">
          <cell r="W4250">
            <v>0</v>
          </cell>
          <cell r="AB4250" t="str">
            <v>line item not tagged</v>
          </cell>
        </row>
        <row r="4251">
          <cell r="W4251">
            <v>0</v>
          </cell>
          <cell r="AB4251" t="str">
            <v>line item not tagged</v>
          </cell>
        </row>
        <row r="4252">
          <cell r="W4252">
            <v>0</v>
          </cell>
          <cell r="AB4252" t="str">
            <v>line item not tagged</v>
          </cell>
        </row>
        <row r="4253">
          <cell r="W4253">
            <v>0</v>
          </cell>
          <cell r="AB4253" t="str">
            <v>line item not tagged</v>
          </cell>
        </row>
        <row r="4254">
          <cell r="W4254">
            <v>0</v>
          </cell>
          <cell r="AB4254" t="str">
            <v>line item not tagged</v>
          </cell>
        </row>
        <row r="4255">
          <cell r="W4255">
            <v>0</v>
          </cell>
          <cell r="AB4255" t="str">
            <v>line item not tagged</v>
          </cell>
        </row>
        <row r="4256">
          <cell r="W4256">
            <v>0</v>
          </cell>
          <cell r="AB4256" t="str">
            <v>line item not tagged</v>
          </cell>
        </row>
        <row r="4257">
          <cell r="W4257">
            <v>0</v>
          </cell>
          <cell r="AB4257" t="str">
            <v>line item not tagged</v>
          </cell>
        </row>
        <row r="4258">
          <cell r="W4258">
            <v>0</v>
          </cell>
          <cell r="AB4258" t="str">
            <v>line item not tagged</v>
          </cell>
        </row>
        <row r="4259">
          <cell r="W4259">
            <v>0</v>
          </cell>
          <cell r="AB4259" t="str">
            <v>line item not tagged</v>
          </cell>
        </row>
        <row r="4260">
          <cell r="W4260">
            <v>0</v>
          </cell>
          <cell r="AB4260" t="str">
            <v>line item not tagged</v>
          </cell>
        </row>
        <row r="4261">
          <cell r="W4261">
            <v>0</v>
          </cell>
          <cell r="AB4261" t="str">
            <v>line item not tagged</v>
          </cell>
        </row>
        <row r="4262">
          <cell r="W4262">
            <v>0</v>
          </cell>
          <cell r="AB4262" t="str">
            <v>line item not tagged</v>
          </cell>
        </row>
        <row r="4263">
          <cell r="W4263">
            <v>0</v>
          </cell>
          <cell r="AB4263" t="str">
            <v>line item not tagged</v>
          </cell>
        </row>
        <row r="4264">
          <cell r="W4264">
            <v>0</v>
          </cell>
          <cell r="AB4264" t="str">
            <v>line item not tagged</v>
          </cell>
        </row>
        <row r="4265">
          <cell r="W4265">
            <v>0</v>
          </cell>
          <cell r="AB4265" t="str">
            <v>line item not tagged</v>
          </cell>
        </row>
        <row r="4266">
          <cell r="W4266">
            <v>0</v>
          </cell>
          <cell r="AB4266" t="str">
            <v>line item not tagged</v>
          </cell>
        </row>
        <row r="4267">
          <cell r="W4267">
            <v>0</v>
          </cell>
          <cell r="AB4267" t="str">
            <v>line item not tagged</v>
          </cell>
        </row>
        <row r="4268">
          <cell r="W4268">
            <v>0</v>
          </cell>
          <cell r="AB4268" t="str">
            <v>line item not tagged</v>
          </cell>
        </row>
        <row r="4269">
          <cell r="W4269">
            <v>0</v>
          </cell>
          <cell r="AB4269" t="str">
            <v>line item not tagged</v>
          </cell>
        </row>
        <row r="4270">
          <cell r="W4270">
            <v>0</v>
          </cell>
          <cell r="AB4270" t="str">
            <v>line item not tagged</v>
          </cell>
        </row>
        <row r="4271">
          <cell r="W4271">
            <v>0</v>
          </cell>
          <cell r="AB4271" t="str">
            <v>line item not tagged</v>
          </cell>
        </row>
        <row r="4272">
          <cell r="W4272">
            <v>0</v>
          </cell>
          <cell r="AB4272" t="str">
            <v>line item not tagged</v>
          </cell>
        </row>
        <row r="4273">
          <cell r="W4273">
            <v>0</v>
          </cell>
          <cell r="AB4273" t="str">
            <v>line item not tagged</v>
          </cell>
        </row>
        <row r="4274">
          <cell r="W4274">
            <v>0</v>
          </cell>
          <cell r="AB4274" t="str">
            <v>line item not tagged</v>
          </cell>
        </row>
        <row r="4275">
          <cell r="W4275">
            <v>0</v>
          </cell>
          <cell r="AB4275" t="str">
            <v>line item not tagged</v>
          </cell>
        </row>
        <row r="4276">
          <cell r="W4276">
            <v>0</v>
          </cell>
          <cell r="AB4276" t="str">
            <v>line item not tagged</v>
          </cell>
        </row>
        <row r="4277">
          <cell r="W4277">
            <v>0</v>
          </cell>
          <cell r="AB4277" t="str">
            <v>line item not tagged</v>
          </cell>
        </row>
        <row r="4278">
          <cell r="W4278">
            <v>0</v>
          </cell>
          <cell r="AB4278" t="str">
            <v>line item not tagged</v>
          </cell>
        </row>
        <row r="4279">
          <cell r="W4279">
            <v>0</v>
          </cell>
          <cell r="AB4279" t="str">
            <v>line item not tagged</v>
          </cell>
        </row>
        <row r="4280">
          <cell r="W4280">
            <v>0</v>
          </cell>
          <cell r="AB4280" t="str">
            <v>line item not tagged</v>
          </cell>
        </row>
        <row r="4281">
          <cell r="W4281">
            <v>0</v>
          </cell>
          <cell r="AB4281" t="str">
            <v>line item not tagged</v>
          </cell>
        </row>
        <row r="4282">
          <cell r="W4282">
            <v>0</v>
          </cell>
          <cell r="AB4282" t="str">
            <v>line item not tagged</v>
          </cell>
        </row>
        <row r="4283">
          <cell r="W4283">
            <v>0</v>
          </cell>
          <cell r="AB4283" t="str">
            <v>line item not tagged</v>
          </cell>
        </row>
        <row r="4284">
          <cell r="W4284">
            <v>0</v>
          </cell>
          <cell r="AB4284" t="str">
            <v>line item not tagged</v>
          </cell>
        </row>
        <row r="4285">
          <cell r="W4285">
            <v>0</v>
          </cell>
          <cell r="AB4285" t="str">
            <v>line item not tagged</v>
          </cell>
        </row>
        <row r="4286">
          <cell r="W4286">
            <v>0</v>
          </cell>
          <cell r="AB4286" t="str">
            <v>line item not tagged</v>
          </cell>
        </row>
        <row r="4287">
          <cell r="W4287">
            <v>0</v>
          </cell>
          <cell r="AB4287" t="str">
            <v>line item not tagged</v>
          </cell>
        </row>
        <row r="4288">
          <cell r="W4288">
            <v>0</v>
          </cell>
          <cell r="AB4288" t="str">
            <v>line item not tagged</v>
          </cell>
        </row>
        <row r="4289">
          <cell r="W4289">
            <v>0</v>
          </cell>
          <cell r="AB4289" t="str">
            <v>line item not tagged</v>
          </cell>
        </row>
        <row r="4290">
          <cell r="W4290">
            <v>0</v>
          </cell>
          <cell r="AB4290" t="str">
            <v>line item not tagged</v>
          </cell>
        </row>
        <row r="4291">
          <cell r="W4291">
            <v>0</v>
          </cell>
          <cell r="AB4291" t="str">
            <v>line item not tagged</v>
          </cell>
        </row>
        <row r="4292">
          <cell r="W4292">
            <v>0</v>
          </cell>
          <cell r="AB4292" t="str">
            <v>line item not tagged</v>
          </cell>
        </row>
        <row r="4293">
          <cell r="W4293">
            <v>0</v>
          </cell>
          <cell r="AB4293" t="str">
            <v>line item not tagged</v>
          </cell>
        </row>
        <row r="4294">
          <cell r="W4294">
            <v>0</v>
          </cell>
          <cell r="AB4294" t="str">
            <v>line item not tagged</v>
          </cell>
        </row>
        <row r="4295">
          <cell r="W4295">
            <v>0</v>
          </cell>
          <cell r="AB4295" t="str">
            <v>line item not tagged</v>
          </cell>
        </row>
        <row r="4296">
          <cell r="W4296">
            <v>0</v>
          </cell>
          <cell r="AB4296" t="str">
            <v>line item not tagged</v>
          </cell>
        </row>
        <row r="4297">
          <cell r="W4297">
            <v>0</v>
          </cell>
          <cell r="AB4297" t="str">
            <v>line item not tagged</v>
          </cell>
        </row>
        <row r="4298">
          <cell r="W4298">
            <v>0</v>
          </cell>
          <cell r="AB4298" t="str">
            <v>line item not tagged</v>
          </cell>
        </row>
        <row r="4299">
          <cell r="W4299">
            <v>0</v>
          </cell>
          <cell r="AB4299" t="str">
            <v>line item not tagged</v>
          </cell>
        </row>
        <row r="4300">
          <cell r="W4300">
            <v>0</v>
          </cell>
          <cell r="AB4300" t="str">
            <v>line item not tagged</v>
          </cell>
        </row>
        <row r="4301">
          <cell r="W4301">
            <v>0</v>
          </cell>
          <cell r="AB4301" t="str">
            <v>line item not tagged</v>
          </cell>
        </row>
        <row r="4302">
          <cell r="W4302">
            <v>0</v>
          </cell>
          <cell r="AB4302" t="str">
            <v>line item not tagged</v>
          </cell>
        </row>
        <row r="4303">
          <cell r="W4303">
            <v>0</v>
          </cell>
          <cell r="AB4303" t="str">
            <v>line item not tagged</v>
          </cell>
        </row>
        <row r="4304">
          <cell r="W4304">
            <v>0</v>
          </cell>
          <cell r="AB4304" t="str">
            <v>line item not tagged</v>
          </cell>
        </row>
        <row r="4305">
          <cell r="W4305">
            <v>0</v>
          </cell>
          <cell r="AB4305" t="str">
            <v>line item not tagged</v>
          </cell>
        </row>
        <row r="4306">
          <cell r="W4306">
            <v>0</v>
          </cell>
          <cell r="AB4306" t="str">
            <v>line item not tagged</v>
          </cell>
        </row>
        <row r="4307">
          <cell r="W4307">
            <v>0</v>
          </cell>
          <cell r="AB4307" t="str">
            <v>line item not tagged</v>
          </cell>
        </row>
        <row r="4308">
          <cell r="W4308">
            <v>0</v>
          </cell>
          <cell r="AB4308" t="str">
            <v>line item not tagged</v>
          </cell>
        </row>
        <row r="4309">
          <cell r="W4309">
            <v>0</v>
          </cell>
          <cell r="AB4309" t="str">
            <v>line item not tagged</v>
          </cell>
        </row>
        <row r="4310">
          <cell r="W4310">
            <v>0</v>
          </cell>
          <cell r="AB4310" t="str">
            <v>line item not tagged</v>
          </cell>
        </row>
        <row r="4311">
          <cell r="W4311">
            <v>0</v>
          </cell>
          <cell r="AB4311" t="str">
            <v>line item not tagged</v>
          </cell>
        </row>
        <row r="4312">
          <cell r="W4312">
            <v>0</v>
          </cell>
          <cell r="AB4312" t="str">
            <v>line item not tagged</v>
          </cell>
        </row>
        <row r="4313">
          <cell r="W4313">
            <v>0</v>
          </cell>
          <cell r="AB4313" t="str">
            <v>line item not tagged</v>
          </cell>
        </row>
        <row r="4314">
          <cell r="W4314">
            <v>0</v>
          </cell>
          <cell r="AB4314" t="str">
            <v>line item not tagged</v>
          </cell>
        </row>
        <row r="4315">
          <cell r="W4315">
            <v>0</v>
          </cell>
          <cell r="AB4315" t="str">
            <v>line item not tagged</v>
          </cell>
        </row>
        <row r="4316">
          <cell r="W4316">
            <v>0</v>
          </cell>
          <cell r="AB4316" t="str">
            <v>line item not tagged</v>
          </cell>
        </row>
        <row r="4317">
          <cell r="W4317">
            <v>0</v>
          </cell>
          <cell r="AB4317" t="str">
            <v>line item not tagged</v>
          </cell>
        </row>
        <row r="4318">
          <cell r="W4318">
            <v>0</v>
          </cell>
          <cell r="AB4318" t="str">
            <v>line item not tagged</v>
          </cell>
        </row>
        <row r="4319">
          <cell r="W4319">
            <v>0</v>
          </cell>
          <cell r="AB4319" t="str">
            <v>line item not tagged</v>
          </cell>
        </row>
        <row r="4320">
          <cell r="W4320">
            <v>0</v>
          </cell>
          <cell r="AB4320" t="str">
            <v>line item not tagged</v>
          </cell>
        </row>
        <row r="4321">
          <cell r="W4321">
            <v>0</v>
          </cell>
          <cell r="AB4321" t="str">
            <v>line item not tagged</v>
          </cell>
        </row>
        <row r="4322">
          <cell r="W4322">
            <v>0</v>
          </cell>
          <cell r="AB4322" t="str">
            <v>line item not tagged</v>
          </cell>
        </row>
        <row r="4323">
          <cell r="W4323">
            <v>0</v>
          </cell>
          <cell r="AB4323" t="str">
            <v>line item not tagged</v>
          </cell>
        </row>
        <row r="4324">
          <cell r="W4324">
            <v>0</v>
          </cell>
          <cell r="AB4324" t="str">
            <v>line item not tagged</v>
          </cell>
        </row>
        <row r="4325">
          <cell r="W4325">
            <v>0</v>
          </cell>
          <cell r="AB4325" t="str">
            <v>line item not tagged</v>
          </cell>
        </row>
        <row r="4326">
          <cell r="W4326">
            <v>0</v>
          </cell>
          <cell r="AB4326" t="str">
            <v>line item not tagged</v>
          </cell>
        </row>
        <row r="4327">
          <cell r="W4327">
            <v>0</v>
          </cell>
          <cell r="AB4327" t="str">
            <v>line item not tagged</v>
          </cell>
        </row>
        <row r="4328">
          <cell r="W4328">
            <v>0</v>
          </cell>
          <cell r="AB4328" t="str">
            <v>line item not tagged</v>
          </cell>
        </row>
        <row r="4329">
          <cell r="W4329">
            <v>0</v>
          </cell>
          <cell r="AB4329" t="str">
            <v>line item not tagged</v>
          </cell>
        </row>
        <row r="4330">
          <cell r="W4330">
            <v>0</v>
          </cell>
          <cell r="AB4330" t="str">
            <v>line item not tagged</v>
          </cell>
        </row>
        <row r="4331">
          <cell r="W4331">
            <v>0</v>
          </cell>
          <cell r="AB4331" t="str">
            <v>line item not tagged</v>
          </cell>
        </row>
        <row r="4332">
          <cell r="W4332">
            <v>0</v>
          </cell>
          <cell r="AB4332" t="str">
            <v>line item not tagged</v>
          </cell>
        </row>
        <row r="4333">
          <cell r="W4333">
            <v>0</v>
          </cell>
          <cell r="AB4333" t="str">
            <v>line item not tagged</v>
          </cell>
        </row>
        <row r="4334">
          <cell r="W4334">
            <v>0</v>
          </cell>
          <cell r="AB4334" t="str">
            <v>line item not tagged</v>
          </cell>
        </row>
        <row r="4335">
          <cell r="W4335">
            <v>0</v>
          </cell>
          <cell r="AB4335" t="str">
            <v>line item not tagged</v>
          </cell>
        </row>
        <row r="4336">
          <cell r="W4336">
            <v>0</v>
          </cell>
          <cell r="AB4336" t="str">
            <v>line item not tagged</v>
          </cell>
        </row>
        <row r="4337">
          <cell r="W4337">
            <v>0</v>
          </cell>
          <cell r="AB4337" t="str">
            <v>line item not tagged</v>
          </cell>
        </row>
        <row r="4338">
          <cell r="W4338">
            <v>0</v>
          </cell>
          <cell r="AB4338" t="str">
            <v>line item not tagged</v>
          </cell>
        </row>
        <row r="4339">
          <cell r="W4339">
            <v>0</v>
          </cell>
          <cell r="AB4339" t="str">
            <v>line item not tagged</v>
          </cell>
        </row>
        <row r="4340">
          <cell r="W4340">
            <v>0</v>
          </cell>
          <cell r="AB4340" t="str">
            <v>line item not tagged</v>
          </cell>
        </row>
        <row r="4341">
          <cell r="W4341">
            <v>0</v>
          </cell>
          <cell r="AB4341" t="str">
            <v>line item not tagged</v>
          </cell>
        </row>
        <row r="4342">
          <cell r="W4342">
            <v>0</v>
          </cell>
          <cell r="AB4342" t="str">
            <v>line item not tagged</v>
          </cell>
        </row>
        <row r="4343">
          <cell r="W4343">
            <v>0</v>
          </cell>
          <cell r="AB4343" t="str">
            <v>line item not tagged</v>
          </cell>
        </row>
        <row r="4344">
          <cell r="W4344">
            <v>0</v>
          </cell>
          <cell r="AB4344" t="str">
            <v>line item not tagged</v>
          </cell>
        </row>
        <row r="4345">
          <cell r="W4345">
            <v>0</v>
          </cell>
          <cell r="AB4345" t="str">
            <v>line item not tagged</v>
          </cell>
        </row>
        <row r="4346">
          <cell r="W4346">
            <v>0</v>
          </cell>
          <cell r="AB4346" t="str">
            <v>line item not tagged</v>
          </cell>
        </row>
        <row r="4347">
          <cell r="W4347">
            <v>0</v>
          </cell>
          <cell r="AB4347" t="str">
            <v>line item not tagged</v>
          </cell>
        </row>
        <row r="4348">
          <cell r="W4348">
            <v>0</v>
          </cell>
          <cell r="AB4348" t="str">
            <v>line item not tagged</v>
          </cell>
        </row>
        <row r="4349">
          <cell r="W4349">
            <v>0</v>
          </cell>
          <cell r="AB4349" t="str">
            <v>line item not tagged</v>
          </cell>
        </row>
        <row r="4350">
          <cell r="W4350">
            <v>0</v>
          </cell>
          <cell r="AB4350" t="str">
            <v>line item not tagged</v>
          </cell>
        </row>
        <row r="4351">
          <cell r="W4351">
            <v>0</v>
          </cell>
          <cell r="AB4351" t="str">
            <v>line item not tagged</v>
          </cell>
        </row>
        <row r="4352">
          <cell r="W4352">
            <v>0</v>
          </cell>
          <cell r="AB4352" t="str">
            <v>line item not tagged</v>
          </cell>
        </row>
        <row r="4353">
          <cell r="W4353">
            <v>0</v>
          </cell>
          <cell r="AB4353" t="str">
            <v>line item not tagged</v>
          </cell>
        </row>
        <row r="4354">
          <cell r="W4354">
            <v>0</v>
          </cell>
          <cell r="AB4354" t="str">
            <v>line item not tagged</v>
          </cell>
        </row>
        <row r="4355">
          <cell r="W4355">
            <v>0</v>
          </cell>
          <cell r="AB4355" t="str">
            <v>line item not tagged</v>
          </cell>
        </row>
        <row r="4356">
          <cell r="W4356">
            <v>0</v>
          </cell>
          <cell r="AB4356" t="str">
            <v>line item not tagged</v>
          </cell>
        </row>
        <row r="4357">
          <cell r="W4357">
            <v>0</v>
          </cell>
          <cell r="AB4357" t="str">
            <v>line item not tagged</v>
          </cell>
        </row>
        <row r="4358">
          <cell r="W4358">
            <v>0</v>
          </cell>
          <cell r="AB4358" t="str">
            <v>line item not tagged</v>
          </cell>
        </row>
        <row r="4359">
          <cell r="W4359">
            <v>0</v>
          </cell>
          <cell r="AB4359" t="str">
            <v>line item not tagged</v>
          </cell>
        </row>
        <row r="4360">
          <cell r="W4360">
            <v>0</v>
          </cell>
          <cell r="AB4360" t="str">
            <v>line item not tagged</v>
          </cell>
        </row>
        <row r="4361">
          <cell r="W4361">
            <v>0</v>
          </cell>
          <cell r="AB4361" t="str">
            <v>line item not tagged</v>
          </cell>
        </row>
        <row r="4362">
          <cell r="W4362">
            <v>0</v>
          </cell>
          <cell r="AB4362" t="str">
            <v>line item not tagged</v>
          </cell>
        </row>
        <row r="4363">
          <cell r="W4363">
            <v>0</v>
          </cell>
          <cell r="AB4363" t="str">
            <v>line item not tagged</v>
          </cell>
        </row>
        <row r="4364">
          <cell r="W4364">
            <v>0</v>
          </cell>
          <cell r="AB4364" t="str">
            <v>line item not tagged</v>
          </cell>
        </row>
        <row r="4365">
          <cell r="W4365">
            <v>0</v>
          </cell>
          <cell r="AB4365" t="str">
            <v>line item not tagged</v>
          </cell>
        </row>
        <row r="4366">
          <cell r="W4366">
            <v>0</v>
          </cell>
          <cell r="AB4366" t="str">
            <v>line item not tagged</v>
          </cell>
        </row>
        <row r="4367">
          <cell r="W4367">
            <v>0</v>
          </cell>
          <cell r="AB4367" t="str">
            <v>line item not tagged</v>
          </cell>
        </row>
        <row r="4368">
          <cell r="W4368">
            <v>0</v>
          </cell>
          <cell r="AB4368" t="str">
            <v>line item not tagged</v>
          </cell>
        </row>
        <row r="4369">
          <cell r="W4369">
            <v>0</v>
          </cell>
          <cell r="AB4369" t="str">
            <v>line item not tagged</v>
          </cell>
        </row>
        <row r="4370">
          <cell r="W4370">
            <v>0</v>
          </cell>
          <cell r="AB4370" t="str">
            <v>line item not tagged</v>
          </cell>
        </row>
        <row r="4371">
          <cell r="W4371">
            <v>0</v>
          </cell>
          <cell r="AB4371" t="str">
            <v>line item not tagged</v>
          </cell>
        </row>
        <row r="4372">
          <cell r="W4372">
            <v>0</v>
          </cell>
          <cell r="AB4372" t="str">
            <v>line item not tagged</v>
          </cell>
        </row>
        <row r="4373">
          <cell r="W4373">
            <v>0</v>
          </cell>
          <cell r="AB4373" t="str">
            <v>line item not tagged</v>
          </cell>
        </row>
        <row r="4374">
          <cell r="W4374">
            <v>0</v>
          </cell>
          <cell r="AB4374" t="str">
            <v>line item not tagged</v>
          </cell>
        </row>
        <row r="4375">
          <cell r="W4375">
            <v>0</v>
          </cell>
          <cell r="AB4375" t="str">
            <v>line item not tagged</v>
          </cell>
        </row>
        <row r="4376">
          <cell r="W4376">
            <v>0</v>
          </cell>
          <cell r="AB4376" t="str">
            <v>line item not tagged</v>
          </cell>
        </row>
        <row r="4377">
          <cell r="W4377">
            <v>0</v>
          </cell>
          <cell r="AB4377" t="str">
            <v>line item not tagged</v>
          </cell>
        </row>
        <row r="4378">
          <cell r="W4378">
            <v>0</v>
          </cell>
          <cell r="AB4378" t="str">
            <v>line item not tagged</v>
          </cell>
        </row>
        <row r="4379">
          <cell r="W4379">
            <v>0</v>
          </cell>
          <cell r="AB4379" t="str">
            <v>line item not tagged</v>
          </cell>
        </row>
        <row r="4380">
          <cell r="W4380">
            <v>0</v>
          </cell>
          <cell r="AB4380" t="str">
            <v>line item not tagged</v>
          </cell>
        </row>
        <row r="4381">
          <cell r="W4381">
            <v>0</v>
          </cell>
          <cell r="AB4381" t="str">
            <v>line item not tagged</v>
          </cell>
        </row>
        <row r="4382">
          <cell r="W4382">
            <v>0</v>
          </cell>
          <cell r="AB4382" t="str">
            <v>line item not tagged</v>
          </cell>
        </row>
        <row r="4383">
          <cell r="W4383">
            <v>0</v>
          </cell>
          <cell r="AB4383" t="str">
            <v>line item not tagged</v>
          </cell>
        </row>
        <row r="4384">
          <cell r="W4384">
            <v>0</v>
          </cell>
          <cell r="AB4384" t="str">
            <v>line item not tagged</v>
          </cell>
        </row>
        <row r="4385">
          <cell r="W4385">
            <v>0</v>
          </cell>
          <cell r="AB4385" t="str">
            <v>line item not tagged</v>
          </cell>
        </row>
        <row r="4386">
          <cell r="W4386">
            <v>0</v>
          </cell>
          <cell r="AB4386" t="str">
            <v>line item not tagged</v>
          </cell>
        </row>
        <row r="4387">
          <cell r="W4387">
            <v>0</v>
          </cell>
          <cell r="AB4387" t="str">
            <v>line item not tagged</v>
          </cell>
        </row>
        <row r="4388">
          <cell r="W4388">
            <v>0</v>
          </cell>
          <cell r="AB4388" t="str">
            <v>line item not tagged</v>
          </cell>
        </row>
        <row r="4389">
          <cell r="W4389">
            <v>0</v>
          </cell>
          <cell r="AB4389" t="str">
            <v>line item not tagged</v>
          </cell>
        </row>
        <row r="4390">
          <cell r="W4390">
            <v>0</v>
          </cell>
          <cell r="AB4390" t="str">
            <v>line item not tagged</v>
          </cell>
        </row>
        <row r="4391">
          <cell r="W4391">
            <v>0</v>
          </cell>
          <cell r="AB4391" t="str">
            <v>line item not tagged</v>
          </cell>
        </row>
        <row r="4392">
          <cell r="W4392">
            <v>0</v>
          </cell>
          <cell r="AB4392" t="str">
            <v>line item not tagged</v>
          </cell>
        </row>
        <row r="4393">
          <cell r="W4393">
            <v>0</v>
          </cell>
          <cell r="AB4393" t="str">
            <v>line item not tagged</v>
          </cell>
        </row>
        <row r="4394">
          <cell r="W4394">
            <v>0</v>
          </cell>
          <cell r="AB4394" t="str">
            <v>line item not tagged</v>
          </cell>
        </row>
        <row r="4395">
          <cell r="W4395">
            <v>0</v>
          </cell>
          <cell r="AB4395" t="str">
            <v>line item not tagged</v>
          </cell>
        </row>
        <row r="4396">
          <cell r="W4396">
            <v>0</v>
          </cell>
          <cell r="AB4396" t="str">
            <v>line item not tagged</v>
          </cell>
        </row>
        <row r="4397">
          <cell r="W4397">
            <v>0</v>
          </cell>
          <cell r="AB4397" t="str">
            <v>line item not tagged</v>
          </cell>
        </row>
        <row r="4398">
          <cell r="W4398">
            <v>0</v>
          </cell>
          <cell r="AB4398" t="str">
            <v>line item not tagged</v>
          </cell>
        </row>
        <row r="4399">
          <cell r="W4399">
            <v>0</v>
          </cell>
          <cell r="AB4399" t="str">
            <v>line item not tagged</v>
          </cell>
        </row>
        <row r="4400">
          <cell r="W4400">
            <v>0</v>
          </cell>
          <cell r="AB4400" t="str">
            <v>line item not tagged</v>
          </cell>
        </row>
        <row r="4401">
          <cell r="W4401">
            <v>0</v>
          </cell>
          <cell r="AB4401" t="str">
            <v>line item not tagged</v>
          </cell>
        </row>
        <row r="4402">
          <cell r="W4402">
            <v>0</v>
          </cell>
          <cell r="AB4402" t="str">
            <v>line item not tagged</v>
          </cell>
        </row>
        <row r="4403">
          <cell r="W4403">
            <v>0</v>
          </cell>
          <cell r="AB4403" t="str">
            <v>line item not tagged</v>
          </cell>
        </row>
        <row r="4404">
          <cell r="W4404">
            <v>0</v>
          </cell>
          <cell r="AB4404" t="str">
            <v>line item not tagged</v>
          </cell>
        </row>
        <row r="4405">
          <cell r="W4405">
            <v>0</v>
          </cell>
          <cell r="AB4405" t="str">
            <v>line item not tagged</v>
          </cell>
        </row>
        <row r="4406">
          <cell r="W4406">
            <v>0</v>
          </cell>
          <cell r="AB4406" t="str">
            <v>line item not tagged</v>
          </cell>
        </row>
        <row r="4407">
          <cell r="W4407">
            <v>0</v>
          </cell>
          <cell r="AB4407" t="str">
            <v>line item not tagged</v>
          </cell>
        </row>
        <row r="4408">
          <cell r="W4408">
            <v>0</v>
          </cell>
          <cell r="AB4408" t="str">
            <v>line item not tagged</v>
          </cell>
        </row>
        <row r="4409">
          <cell r="W4409">
            <v>0</v>
          </cell>
          <cell r="AB4409" t="str">
            <v>line item not tagged</v>
          </cell>
        </row>
        <row r="4410">
          <cell r="W4410">
            <v>0</v>
          </cell>
          <cell r="AB4410" t="str">
            <v>line item not tagged</v>
          </cell>
        </row>
        <row r="4411">
          <cell r="W4411">
            <v>0</v>
          </cell>
          <cell r="AB4411" t="str">
            <v>line item not tagged</v>
          </cell>
        </row>
        <row r="4412">
          <cell r="W4412">
            <v>0</v>
          </cell>
          <cell r="AB4412" t="str">
            <v>line item not tagged</v>
          </cell>
        </row>
        <row r="4413">
          <cell r="W4413">
            <v>0</v>
          </cell>
          <cell r="AB4413" t="str">
            <v>line item not tagged</v>
          </cell>
        </row>
        <row r="4414">
          <cell r="W4414">
            <v>0</v>
          </cell>
          <cell r="AB4414" t="str">
            <v>line item not tagged</v>
          </cell>
        </row>
        <row r="4415">
          <cell r="W4415">
            <v>0</v>
          </cell>
          <cell r="AB4415" t="str">
            <v>line item not tagged</v>
          </cell>
        </row>
        <row r="4416">
          <cell r="W4416">
            <v>0</v>
          </cell>
          <cell r="AB4416" t="str">
            <v>line item not tagged</v>
          </cell>
        </row>
        <row r="4417">
          <cell r="W4417">
            <v>0</v>
          </cell>
          <cell r="AB4417" t="str">
            <v>line item not tagged</v>
          </cell>
        </row>
        <row r="4418">
          <cell r="W4418">
            <v>0</v>
          </cell>
          <cell r="AB4418" t="str">
            <v>line item not tagged</v>
          </cell>
        </row>
        <row r="4419">
          <cell r="W4419">
            <v>0</v>
          </cell>
          <cell r="AB4419" t="str">
            <v>line item not tagged</v>
          </cell>
        </row>
        <row r="4420">
          <cell r="W4420">
            <v>0</v>
          </cell>
          <cell r="AB4420" t="str">
            <v>line item not tagged</v>
          </cell>
        </row>
        <row r="4421">
          <cell r="W4421">
            <v>0</v>
          </cell>
          <cell r="AB4421" t="str">
            <v>line item not tagged</v>
          </cell>
        </row>
        <row r="4422">
          <cell r="W4422">
            <v>0</v>
          </cell>
          <cell r="AB4422" t="str">
            <v>line item not tagged</v>
          </cell>
        </row>
        <row r="4423">
          <cell r="W4423">
            <v>0</v>
          </cell>
          <cell r="AB4423" t="str">
            <v>line item not tagged</v>
          </cell>
        </row>
        <row r="4424">
          <cell r="W4424">
            <v>0</v>
          </cell>
          <cell r="AB4424" t="str">
            <v>line item not tagged</v>
          </cell>
        </row>
        <row r="4425">
          <cell r="W4425">
            <v>0</v>
          </cell>
          <cell r="AB4425" t="str">
            <v>line item not tagged</v>
          </cell>
        </row>
        <row r="4426">
          <cell r="W4426">
            <v>0</v>
          </cell>
          <cell r="AB4426" t="str">
            <v>line item not tagged</v>
          </cell>
        </row>
        <row r="4427">
          <cell r="W4427">
            <v>0</v>
          </cell>
          <cell r="AB4427" t="str">
            <v>line item not tagged</v>
          </cell>
        </row>
        <row r="4428">
          <cell r="W4428">
            <v>0</v>
          </cell>
          <cell r="AB4428" t="str">
            <v>line item not tagged</v>
          </cell>
        </row>
        <row r="4429">
          <cell r="W4429">
            <v>0</v>
          </cell>
          <cell r="AB4429" t="str">
            <v>line item not tagged</v>
          </cell>
        </row>
        <row r="4430">
          <cell r="W4430">
            <v>0</v>
          </cell>
          <cell r="AB4430" t="str">
            <v>line item not tagged</v>
          </cell>
        </row>
        <row r="4431">
          <cell r="W4431">
            <v>0</v>
          </cell>
          <cell r="AB4431" t="str">
            <v>line item not tagged</v>
          </cell>
        </row>
        <row r="4432">
          <cell r="W4432">
            <v>0</v>
          </cell>
          <cell r="AB4432" t="str">
            <v>line item not tagged</v>
          </cell>
        </row>
        <row r="4433">
          <cell r="W4433">
            <v>0</v>
          </cell>
          <cell r="AB4433" t="str">
            <v>line item not tagged</v>
          </cell>
        </row>
        <row r="4434">
          <cell r="W4434">
            <v>0</v>
          </cell>
          <cell r="AB4434" t="str">
            <v>line item not tagged</v>
          </cell>
        </row>
        <row r="4435">
          <cell r="W4435">
            <v>0</v>
          </cell>
          <cell r="AB4435" t="str">
            <v>line item not tagged</v>
          </cell>
        </row>
        <row r="4436">
          <cell r="W4436">
            <v>0</v>
          </cell>
          <cell r="AB4436" t="str">
            <v>line item not tagged</v>
          </cell>
        </row>
        <row r="4437">
          <cell r="W4437">
            <v>0</v>
          </cell>
          <cell r="AB4437" t="str">
            <v>line item not tagged</v>
          </cell>
        </row>
        <row r="4438">
          <cell r="W4438">
            <v>0</v>
          </cell>
          <cell r="AB4438" t="str">
            <v>line item not tagged</v>
          </cell>
        </row>
        <row r="4439">
          <cell r="W4439">
            <v>0</v>
          </cell>
          <cell r="AB4439" t="str">
            <v>line item not tagged</v>
          </cell>
        </row>
        <row r="4440">
          <cell r="W4440">
            <v>0</v>
          </cell>
          <cell r="AB4440" t="str">
            <v>line item not tagged</v>
          </cell>
        </row>
        <row r="4441">
          <cell r="W4441">
            <v>0</v>
          </cell>
          <cell r="AB4441" t="str">
            <v>line item not tagged</v>
          </cell>
        </row>
        <row r="4442">
          <cell r="W4442">
            <v>0</v>
          </cell>
          <cell r="AB4442" t="str">
            <v>line item not tagged</v>
          </cell>
        </row>
        <row r="4443">
          <cell r="W4443">
            <v>0</v>
          </cell>
          <cell r="AB4443" t="str">
            <v>line item not tagged</v>
          </cell>
        </row>
        <row r="4444">
          <cell r="W4444">
            <v>0</v>
          </cell>
          <cell r="AB4444" t="str">
            <v>line item not tagged</v>
          </cell>
        </row>
        <row r="4445">
          <cell r="W4445">
            <v>0</v>
          </cell>
          <cell r="AB4445" t="str">
            <v>line item not tagged</v>
          </cell>
        </row>
        <row r="4446">
          <cell r="W4446">
            <v>0</v>
          </cell>
          <cell r="AB4446" t="str">
            <v>line item not tagged</v>
          </cell>
        </row>
        <row r="4447">
          <cell r="W4447">
            <v>0</v>
          </cell>
          <cell r="AB4447" t="str">
            <v>line item not tagged</v>
          </cell>
        </row>
        <row r="4448">
          <cell r="W4448">
            <v>0</v>
          </cell>
          <cell r="AB4448" t="str">
            <v>line item not tagged</v>
          </cell>
        </row>
        <row r="4449">
          <cell r="W4449">
            <v>0</v>
          </cell>
          <cell r="AB4449" t="str">
            <v>line item not tagged</v>
          </cell>
        </row>
        <row r="4450">
          <cell r="W4450">
            <v>0</v>
          </cell>
          <cell r="AB4450" t="str">
            <v>line item not tagged</v>
          </cell>
        </row>
        <row r="4451">
          <cell r="W4451">
            <v>0</v>
          </cell>
          <cell r="AB4451" t="str">
            <v>line item not tagged</v>
          </cell>
        </row>
        <row r="4452">
          <cell r="W4452">
            <v>0</v>
          </cell>
          <cell r="AB4452" t="str">
            <v>line item not tagged</v>
          </cell>
        </row>
        <row r="4453">
          <cell r="W4453">
            <v>0</v>
          </cell>
          <cell r="AB4453" t="str">
            <v>line item not tagged</v>
          </cell>
        </row>
        <row r="4454">
          <cell r="W4454">
            <v>0</v>
          </cell>
          <cell r="AB4454" t="str">
            <v>line item not tagged</v>
          </cell>
        </row>
        <row r="4455">
          <cell r="W4455">
            <v>0</v>
          </cell>
          <cell r="AB4455" t="str">
            <v>line item not tagged</v>
          </cell>
        </row>
        <row r="4456">
          <cell r="W4456">
            <v>0</v>
          </cell>
          <cell r="AB4456" t="str">
            <v>line item not tagged</v>
          </cell>
        </row>
        <row r="4457">
          <cell r="W4457">
            <v>0</v>
          </cell>
          <cell r="AB4457" t="str">
            <v>line item not tagged</v>
          </cell>
        </row>
        <row r="4458">
          <cell r="W4458">
            <v>0</v>
          </cell>
          <cell r="AB4458" t="str">
            <v>line item not tagged</v>
          </cell>
        </row>
        <row r="4459">
          <cell r="W4459">
            <v>0</v>
          </cell>
          <cell r="AB4459" t="str">
            <v>line item not tagged</v>
          </cell>
        </row>
        <row r="4460">
          <cell r="W4460">
            <v>0</v>
          </cell>
          <cell r="AB4460" t="str">
            <v>line item not tagged</v>
          </cell>
        </row>
        <row r="4461">
          <cell r="W4461">
            <v>0</v>
          </cell>
          <cell r="AB4461" t="str">
            <v>line item not tagged</v>
          </cell>
        </row>
        <row r="4462">
          <cell r="W4462">
            <v>0</v>
          </cell>
          <cell r="AB4462" t="str">
            <v>line item not tagged</v>
          </cell>
        </row>
        <row r="4463">
          <cell r="W4463">
            <v>0</v>
          </cell>
          <cell r="AB4463" t="str">
            <v>line item not tagged</v>
          </cell>
        </row>
        <row r="4464">
          <cell r="W4464">
            <v>0</v>
          </cell>
          <cell r="AB4464" t="str">
            <v>line item not tagged</v>
          </cell>
        </row>
        <row r="4465">
          <cell r="W4465">
            <v>0</v>
          </cell>
          <cell r="AB4465" t="str">
            <v>line item not tagged</v>
          </cell>
        </row>
        <row r="4466">
          <cell r="W4466">
            <v>0</v>
          </cell>
          <cell r="AB4466" t="str">
            <v>line item not tagged</v>
          </cell>
        </row>
        <row r="4467">
          <cell r="W4467">
            <v>0</v>
          </cell>
          <cell r="AB4467" t="str">
            <v>line item not tagged</v>
          </cell>
        </row>
        <row r="4468">
          <cell r="W4468">
            <v>0</v>
          </cell>
          <cell r="AB4468" t="str">
            <v>line item not tagged</v>
          </cell>
        </row>
        <row r="4469">
          <cell r="W4469">
            <v>0</v>
          </cell>
          <cell r="AB4469" t="str">
            <v>line item not tagged</v>
          </cell>
        </row>
        <row r="4470">
          <cell r="W4470">
            <v>0</v>
          </cell>
          <cell r="AB4470" t="str">
            <v>line item not tagged</v>
          </cell>
        </row>
        <row r="4471">
          <cell r="W4471">
            <v>0</v>
          </cell>
          <cell r="AB4471" t="str">
            <v>line item not tagged</v>
          </cell>
        </row>
        <row r="4472">
          <cell r="W4472">
            <v>0</v>
          </cell>
          <cell r="AB4472" t="str">
            <v>line item not tagged</v>
          </cell>
        </row>
        <row r="4473">
          <cell r="W4473">
            <v>0</v>
          </cell>
          <cell r="AB4473" t="str">
            <v>line item not tagged</v>
          </cell>
        </row>
        <row r="4474">
          <cell r="W4474">
            <v>0</v>
          </cell>
          <cell r="AB4474" t="str">
            <v>line item not tagged</v>
          </cell>
        </row>
        <row r="4475">
          <cell r="W4475">
            <v>0</v>
          </cell>
          <cell r="AB4475" t="str">
            <v>line item not tagged</v>
          </cell>
        </row>
        <row r="4476">
          <cell r="W4476">
            <v>0</v>
          </cell>
          <cell r="AB4476" t="str">
            <v>line item not tagged</v>
          </cell>
        </row>
        <row r="4477">
          <cell r="W4477">
            <v>0</v>
          </cell>
          <cell r="AB4477" t="str">
            <v>line item not tagged</v>
          </cell>
        </row>
        <row r="4478">
          <cell r="W4478">
            <v>0</v>
          </cell>
          <cell r="AB4478" t="str">
            <v>line item not tagged</v>
          </cell>
        </row>
        <row r="4479">
          <cell r="W4479">
            <v>0</v>
          </cell>
          <cell r="AB4479" t="str">
            <v>line item not tagged</v>
          </cell>
        </row>
        <row r="4480">
          <cell r="W4480">
            <v>0</v>
          </cell>
          <cell r="AB4480" t="str">
            <v>line item not tagged</v>
          </cell>
        </row>
        <row r="4481">
          <cell r="W4481">
            <v>0</v>
          </cell>
          <cell r="AB4481" t="str">
            <v>line item not tagged</v>
          </cell>
        </row>
        <row r="4482">
          <cell r="W4482">
            <v>0</v>
          </cell>
          <cell r="AB4482" t="str">
            <v>line item not tagged</v>
          </cell>
        </row>
        <row r="4483">
          <cell r="W4483">
            <v>0</v>
          </cell>
          <cell r="AB4483" t="str">
            <v>line item not tagged</v>
          </cell>
        </row>
        <row r="4484">
          <cell r="W4484">
            <v>0</v>
          </cell>
          <cell r="AB4484" t="str">
            <v>line item not tagged</v>
          </cell>
        </row>
        <row r="4485">
          <cell r="W4485">
            <v>0</v>
          </cell>
          <cell r="AB4485" t="str">
            <v>line item not tagged</v>
          </cell>
        </row>
        <row r="4486">
          <cell r="W4486">
            <v>0</v>
          </cell>
          <cell r="AB4486" t="str">
            <v>line item not tagged</v>
          </cell>
        </row>
        <row r="4487">
          <cell r="W4487">
            <v>0</v>
          </cell>
          <cell r="AB4487" t="str">
            <v>line item not tagged</v>
          </cell>
        </row>
        <row r="4488">
          <cell r="W4488">
            <v>0</v>
          </cell>
          <cell r="AB4488" t="str">
            <v>line item not tagged</v>
          </cell>
        </row>
        <row r="4489">
          <cell r="W4489">
            <v>0</v>
          </cell>
          <cell r="AB4489" t="str">
            <v>line item not tagged</v>
          </cell>
        </row>
        <row r="4490">
          <cell r="W4490">
            <v>0</v>
          </cell>
          <cell r="AB4490" t="str">
            <v>line item not tagged</v>
          </cell>
        </row>
        <row r="4491">
          <cell r="W4491">
            <v>0</v>
          </cell>
          <cell r="AB4491" t="str">
            <v>line item not tagged</v>
          </cell>
        </row>
        <row r="4492">
          <cell r="W4492">
            <v>0</v>
          </cell>
          <cell r="AB4492" t="str">
            <v>line item not tagged</v>
          </cell>
        </row>
        <row r="4493">
          <cell r="W4493">
            <v>0</v>
          </cell>
          <cell r="AB4493" t="str">
            <v>line item not tagged</v>
          </cell>
        </row>
        <row r="4494">
          <cell r="W4494">
            <v>0</v>
          </cell>
          <cell r="AB4494" t="str">
            <v>line item not tagged</v>
          </cell>
        </row>
        <row r="4495">
          <cell r="W4495">
            <v>0</v>
          </cell>
          <cell r="AB4495" t="str">
            <v>line item not tagged</v>
          </cell>
        </row>
        <row r="4496">
          <cell r="W4496">
            <v>0</v>
          </cell>
          <cell r="AB4496" t="str">
            <v>line item not tagged</v>
          </cell>
        </row>
        <row r="4497">
          <cell r="W4497">
            <v>0</v>
          </cell>
          <cell r="AB4497" t="str">
            <v>line item not tagged</v>
          </cell>
        </row>
        <row r="4498">
          <cell r="W4498">
            <v>0</v>
          </cell>
          <cell r="AB4498" t="str">
            <v>line item not tagged</v>
          </cell>
        </row>
        <row r="4499">
          <cell r="W4499">
            <v>0</v>
          </cell>
          <cell r="AB4499" t="str">
            <v>line item not tagged</v>
          </cell>
        </row>
        <row r="4500">
          <cell r="W4500">
            <v>0</v>
          </cell>
          <cell r="AB4500" t="str">
            <v>line item not tagged</v>
          </cell>
        </row>
        <row r="4501">
          <cell r="W4501">
            <v>0</v>
          </cell>
          <cell r="AB4501" t="str">
            <v>line item not tagged</v>
          </cell>
        </row>
        <row r="4502">
          <cell r="W4502">
            <v>0</v>
          </cell>
          <cell r="AB4502" t="str">
            <v>line item not tagged</v>
          </cell>
        </row>
        <row r="4503">
          <cell r="W4503">
            <v>0</v>
          </cell>
          <cell r="AB4503" t="str">
            <v>line item not tagged</v>
          </cell>
        </row>
        <row r="4504">
          <cell r="W4504">
            <v>0</v>
          </cell>
          <cell r="AB4504" t="str">
            <v>line item not tagged</v>
          </cell>
        </row>
        <row r="4505">
          <cell r="W4505">
            <v>0</v>
          </cell>
          <cell r="AB4505" t="str">
            <v>line item not tagged</v>
          </cell>
        </row>
        <row r="4506">
          <cell r="W4506">
            <v>0</v>
          </cell>
          <cell r="AB4506" t="str">
            <v>line item not tagged</v>
          </cell>
        </row>
        <row r="4507">
          <cell r="W4507">
            <v>0</v>
          </cell>
          <cell r="AB4507" t="str">
            <v>line item not tagged</v>
          </cell>
        </row>
        <row r="4508">
          <cell r="W4508">
            <v>0</v>
          </cell>
          <cell r="AB4508" t="str">
            <v>line item not tagged</v>
          </cell>
        </row>
        <row r="4509">
          <cell r="W4509">
            <v>0</v>
          </cell>
          <cell r="AB4509" t="str">
            <v>line item not tagged</v>
          </cell>
        </row>
        <row r="4510">
          <cell r="W4510">
            <v>0</v>
          </cell>
          <cell r="AB4510" t="str">
            <v>line item not tagged</v>
          </cell>
        </row>
        <row r="4511">
          <cell r="W4511">
            <v>0</v>
          </cell>
          <cell r="AB4511" t="str">
            <v>line item not tagged</v>
          </cell>
        </row>
        <row r="4512">
          <cell r="W4512">
            <v>0</v>
          </cell>
          <cell r="AB4512" t="str">
            <v>line item not tagged</v>
          </cell>
        </row>
        <row r="4513">
          <cell r="W4513">
            <v>0</v>
          </cell>
          <cell r="AB4513" t="str">
            <v>line item not tagged</v>
          </cell>
        </row>
        <row r="4514">
          <cell r="W4514">
            <v>0</v>
          </cell>
          <cell r="AB4514" t="str">
            <v>line item not tagged</v>
          </cell>
        </row>
        <row r="4515">
          <cell r="W4515">
            <v>0</v>
          </cell>
          <cell r="AB4515" t="str">
            <v>line item not tagged</v>
          </cell>
        </row>
        <row r="4516">
          <cell r="W4516">
            <v>0</v>
          </cell>
          <cell r="AB4516" t="str">
            <v>line item not tagged</v>
          </cell>
        </row>
        <row r="4517">
          <cell r="W4517">
            <v>0</v>
          </cell>
          <cell r="AB4517" t="str">
            <v>line item not tagged</v>
          </cell>
        </row>
        <row r="4518">
          <cell r="W4518">
            <v>0</v>
          </cell>
          <cell r="AB4518" t="str">
            <v>line item not tagged</v>
          </cell>
        </row>
        <row r="4519">
          <cell r="W4519">
            <v>0</v>
          </cell>
          <cell r="AB4519" t="str">
            <v>line item not tagged</v>
          </cell>
        </row>
        <row r="4520">
          <cell r="W4520">
            <v>0</v>
          </cell>
          <cell r="AB4520" t="str">
            <v>line item not tagged</v>
          </cell>
        </row>
        <row r="4521">
          <cell r="W4521">
            <v>0</v>
          </cell>
          <cell r="AB4521" t="str">
            <v>line item not tagged</v>
          </cell>
        </row>
        <row r="4522">
          <cell r="W4522">
            <v>0</v>
          </cell>
          <cell r="AB4522" t="str">
            <v>line item not tagged</v>
          </cell>
        </row>
        <row r="4523">
          <cell r="W4523">
            <v>0</v>
          </cell>
          <cell r="AB4523" t="str">
            <v>line item not tagged</v>
          </cell>
        </row>
        <row r="4524">
          <cell r="W4524">
            <v>0</v>
          </cell>
          <cell r="AB4524" t="str">
            <v>line item not tagged</v>
          </cell>
        </row>
        <row r="4525">
          <cell r="W4525">
            <v>0</v>
          </cell>
          <cell r="AB4525" t="str">
            <v>line item not tagged</v>
          </cell>
        </row>
        <row r="4526">
          <cell r="W4526">
            <v>0</v>
          </cell>
          <cell r="AB4526" t="str">
            <v>line item not tagged</v>
          </cell>
        </row>
        <row r="4527">
          <cell r="W4527">
            <v>0</v>
          </cell>
          <cell r="AB4527" t="str">
            <v>line item not tagged</v>
          </cell>
        </row>
        <row r="4528">
          <cell r="W4528">
            <v>0</v>
          </cell>
          <cell r="AB4528" t="str">
            <v>line item not tagged</v>
          </cell>
        </row>
        <row r="4529">
          <cell r="W4529">
            <v>0</v>
          </cell>
          <cell r="AB4529" t="str">
            <v>line item not tagged</v>
          </cell>
        </row>
        <row r="4530">
          <cell r="W4530">
            <v>0</v>
          </cell>
          <cell r="AB4530" t="str">
            <v>line item not tagged</v>
          </cell>
        </row>
        <row r="4531">
          <cell r="W4531">
            <v>0</v>
          </cell>
          <cell r="AB4531" t="str">
            <v>line item not tagged</v>
          </cell>
        </row>
        <row r="4532">
          <cell r="W4532">
            <v>0</v>
          </cell>
          <cell r="AB4532" t="str">
            <v>line item not tagged</v>
          </cell>
        </row>
        <row r="4533">
          <cell r="W4533">
            <v>0</v>
          </cell>
          <cell r="AB4533" t="str">
            <v>line item not tagged</v>
          </cell>
        </row>
        <row r="4534">
          <cell r="W4534">
            <v>0</v>
          </cell>
          <cell r="AB4534" t="str">
            <v>line item not tagged</v>
          </cell>
        </row>
        <row r="4535">
          <cell r="W4535">
            <v>0</v>
          </cell>
          <cell r="AB4535" t="str">
            <v>line item not tagged</v>
          </cell>
        </row>
        <row r="4536">
          <cell r="W4536">
            <v>0</v>
          </cell>
          <cell r="AB4536" t="str">
            <v>line item not tagged</v>
          </cell>
        </row>
        <row r="4537">
          <cell r="W4537">
            <v>0</v>
          </cell>
          <cell r="AB4537" t="str">
            <v>line item not tagged</v>
          </cell>
        </row>
        <row r="4538">
          <cell r="W4538">
            <v>0</v>
          </cell>
          <cell r="AB4538" t="str">
            <v>line item not tagged</v>
          </cell>
        </row>
        <row r="4539">
          <cell r="W4539">
            <v>0</v>
          </cell>
          <cell r="AB4539" t="str">
            <v>line item not tagged</v>
          </cell>
        </row>
        <row r="4540">
          <cell r="W4540">
            <v>0</v>
          </cell>
          <cell r="AB4540" t="str">
            <v>line item not tagged</v>
          </cell>
        </row>
        <row r="4541">
          <cell r="W4541">
            <v>0</v>
          </cell>
          <cell r="AB4541" t="str">
            <v>line item not tagged</v>
          </cell>
        </row>
        <row r="4542">
          <cell r="W4542">
            <v>0</v>
          </cell>
          <cell r="AB4542" t="str">
            <v>line item not tagged</v>
          </cell>
        </row>
        <row r="4543">
          <cell r="W4543">
            <v>0</v>
          </cell>
          <cell r="AB4543" t="str">
            <v>line item not tagged</v>
          </cell>
        </row>
        <row r="4544">
          <cell r="W4544">
            <v>0</v>
          </cell>
          <cell r="AB4544" t="str">
            <v>line item not tagged</v>
          </cell>
        </row>
        <row r="4545">
          <cell r="W4545">
            <v>0</v>
          </cell>
          <cell r="AB4545" t="str">
            <v>line item not tagged</v>
          </cell>
        </row>
        <row r="4546">
          <cell r="W4546">
            <v>0</v>
          </cell>
          <cell r="AB4546" t="str">
            <v>line item not tagged</v>
          </cell>
        </row>
        <row r="4547">
          <cell r="W4547">
            <v>0</v>
          </cell>
          <cell r="AB4547" t="str">
            <v>line item not tagged</v>
          </cell>
        </row>
        <row r="4548">
          <cell r="W4548">
            <v>0</v>
          </cell>
          <cell r="AB4548" t="str">
            <v>line item not tagged</v>
          </cell>
        </row>
        <row r="4549">
          <cell r="W4549">
            <v>0</v>
          </cell>
          <cell r="AB4549" t="str">
            <v>line item not tagged</v>
          </cell>
        </row>
        <row r="4550">
          <cell r="W4550">
            <v>0</v>
          </cell>
          <cell r="AB4550" t="str">
            <v>line item not tagged</v>
          </cell>
        </row>
        <row r="4551">
          <cell r="W4551">
            <v>0</v>
          </cell>
          <cell r="AB4551" t="str">
            <v>line item not tagged</v>
          </cell>
        </row>
        <row r="4552">
          <cell r="W4552">
            <v>0</v>
          </cell>
          <cell r="AB4552" t="str">
            <v>line item not tagged</v>
          </cell>
        </row>
        <row r="4553">
          <cell r="W4553">
            <v>0</v>
          </cell>
          <cell r="AB4553" t="str">
            <v>line item not tagged</v>
          </cell>
        </row>
        <row r="4554">
          <cell r="W4554">
            <v>0</v>
          </cell>
          <cell r="AB4554" t="str">
            <v>line item not tagged</v>
          </cell>
        </row>
        <row r="4555">
          <cell r="W4555">
            <v>0</v>
          </cell>
          <cell r="AB4555" t="str">
            <v>line item not tagged</v>
          </cell>
        </row>
        <row r="4556">
          <cell r="W4556">
            <v>0</v>
          </cell>
          <cell r="AB4556" t="str">
            <v>line item not tagged</v>
          </cell>
        </row>
        <row r="4557">
          <cell r="W4557">
            <v>0</v>
          </cell>
          <cell r="AB4557" t="str">
            <v>line item not tagged</v>
          </cell>
        </row>
        <row r="4558">
          <cell r="W4558">
            <v>0</v>
          </cell>
          <cell r="AB4558" t="str">
            <v>line item not tagged</v>
          </cell>
        </row>
        <row r="4559">
          <cell r="W4559">
            <v>0</v>
          </cell>
          <cell r="AB4559" t="str">
            <v>line item not tagged</v>
          </cell>
        </row>
        <row r="4560">
          <cell r="W4560">
            <v>0</v>
          </cell>
          <cell r="AB4560" t="str">
            <v>line item not tagged</v>
          </cell>
        </row>
        <row r="4561">
          <cell r="W4561">
            <v>0</v>
          </cell>
          <cell r="AB4561" t="str">
            <v>line item not tagged</v>
          </cell>
        </row>
        <row r="4562">
          <cell r="W4562">
            <v>0</v>
          </cell>
          <cell r="AB4562" t="str">
            <v>line item not tagged</v>
          </cell>
        </row>
        <row r="4563">
          <cell r="W4563">
            <v>0</v>
          </cell>
          <cell r="AB4563" t="str">
            <v>line item not tagged</v>
          </cell>
        </row>
        <row r="4564">
          <cell r="W4564">
            <v>0</v>
          </cell>
          <cell r="AB4564" t="str">
            <v>line item not tagged</v>
          </cell>
        </row>
        <row r="4565">
          <cell r="W4565">
            <v>0</v>
          </cell>
          <cell r="AB4565" t="str">
            <v>line item not tagged</v>
          </cell>
        </row>
        <row r="4566">
          <cell r="W4566">
            <v>0</v>
          </cell>
          <cell r="AB4566" t="str">
            <v>line item not tagged</v>
          </cell>
        </row>
        <row r="4567">
          <cell r="W4567">
            <v>0</v>
          </cell>
          <cell r="AB4567" t="str">
            <v>line item not tagged</v>
          </cell>
        </row>
        <row r="4568">
          <cell r="W4568">
            <v>0</v>
          </cell>
          <cell r="AB4568" t="str">
            <v>line item not tagged</v>
          </cell>
        </row>
        <row r="4569">
          <cell r="W4569">
            <v>0</v>
          </cell>
          <cell r="AB4569" t="str">
            <v>line item not tagged</v>
          </cell>
        </row>
        <row r="4570">
          <cell r="W4570">
            <v>0</v>
          </cell>
          <cell r="AB4570" t="str">
            <v>line item not tagged</v>
          </cell>
        </row>
        <row r="4571">
          <cell r="W4571">
            <v>0</v>
          </cell>
          <cell r="AB4571" t="str">
            <v>line item not tagged</v>
          </cell>
        </row>
        <row r="4572">
          <cell r="W4572">
            <v>0</v>
          </cell>
          <cell r="AB4572" t="str">
            <v>line item not tagged</v>
          </cell>
        </row>
        <row r="4573">
          <cell r="W4573">
            <v>0</v>
          </cell>
          <cell r="AB4573" t="str">
            <v>line item not tagged</v>
          </cell>
        </row>
        <row r="4574">
          <cell r="W4574">
            <v>0</v>
          </cell>
          <cell r="AB4574" t="str">
            <v>line item not tagged</v>
          </cell>
        </row>
        <row r="4575">
          <cell r="W4575">
            <v>0</v>
          </cell>
          <cell r="AB4575" t="str">
            <v>line item not tagged</v>
          </cell>
        </row>
        <row r="4576">
          <cell r="W4576">
            <v>0</v>
          </cell>
          <cell r="AB4576" t="str">
            <v>line item not tagged</v>
          </cell>
        </row>
        <row r="4577">
          <cell r="W4577">
            <v>0</v>
          </cell>
          <cell r="AB4577" t="str">
            <v>line item not tagged</v>
          </cell>
        </row>
        <row r="4578">
          <cell r="W4578">
            <v>0</v>
          </cell>
          <cell r="AB4578" t="str">
            <v>line item not tagged</v>
          </cell>
        </row>
        <row r="4579">
          <cell r="W4579">
            <v>0</v>
          </cell>
          <cell r="AB4579" t="str">
            <v>line item not tagged</v>
          </cell>
        </row>
        <row r="4580">
          <cell r="W4580">
            <v>0</v>
          </cell>
          <cell r="AB4580" t="str">
            <v>line item not tagged</v>
          </cell>
        </row>
        <row r="4581">
          <cell r="W4581">
            <v>0</v>
          </cell>
          <cell r="AB4581" t="str">
            <v>line item not tagged</v>
          </cell>
        </row>
        <row r="4582">
          <cell r="W4582">
            <v>0</v>
          </cell>
          <cell r="AB4582" t="str">
            <v>line item not tagged</v>
          </cell>
        </row>
        <row r="4583">
          <cell r="W4583">
            <v>0</v>
          </cell>
          <cell r="AB4583" t="str">
            <v>line item not tagged</v>
          </cell>
        </row>
        <row r="4584">
          <cell r="W4584">
            <v>0</v>
          </cell>
          <cell r="AB4584" t="str">
            <v>line item not tagged</v>
          </cell>
        </row>
        <row r="4585">
          <cell r="W4585">
            <v>0</v>
          </cell>
          <cell r="AB4585" t="str">
            <v>line item not tagged</v>
          </cell>
        </row>
        <row r="4586">
          <cell r="W4586">
            <v>0</v>
          </cell>
          <cell r="AB4586" t="str">
            <v>line item not tagged</v>
          </cell>
        </row>
        <row r="4587">
          <cell r="W4587">
            <v>0</v>
          </cell>
          <cell r="AB4587" t="str">
            <v>line item not tagged</v>
          </cell>
        </row>
        <row r="4588">
          <cell r="W4588">
            <v>0</v>
          </cell>
          <cell r="AB4588" t="str">
            <v>line item not tagged</v>
          </cell>
        </row>
        <row r="4589">
          <cell r="W4589">
            <v>0</v>
          </cell>
          <cell r="AB4589" t="str">
            <v>line item not tagged</v>
          </cell>
        </row>
        <row r="4590">
          <cell r="W4590">
            <v>0</v>
          </cell>
          <cell r="AB4590" t="str">
            <v>line item not tagged</v>
          </cell>
        </row>
        <row r="4591">
          <cell r="W4591">
            <v>0</v>
          </cell>
          <cell r="AB4591" t="str">
            <v>line item not tagged</v>
          </cell>
        </row>
        <row r="4592">
          <cell r="W4592">
            <v>0</v>
          </cell>
          <cell r="AB4592" t="str">
            <v>line item not tagged</v>
          </cell>
        </row>
        <row r="4593">
          <cell r="W4593">
            <v>0</v>
          </cell>
          <cell r="AB4593" t="str">
            <v>line item not tagged</v>
          </cell>
        </row>
        <row r="4594">
          <cell r="W4594">
            <v>0</v>
          </cell>
          <cell r="AB4594" t="str">
            <v>line item not tagged</v>
          </cell>
        </row>
        <row r="4595">
          <cell r="W4595">
            <v>0</v>
          </cell>
          <cell r="AB4595" t="str">
            <v>line item not tagged</v>
          </cell>
        </row>
        <row r="4596">
          <cell r="W4596">
            <v>0</v>
          </cell>
          <cell r="AB4596" t="str">
            <v>line item not tagged</v>
          </cell>
        </row>
        <row r="4597">
          <cell r="W4597">
            <v>0</v>
          </cell>
          <cell r="AB4597" t="str">
            <v>line item not tagged</v>
          </cell>
        </row>
        <row r="4598">
          <cell r="W4598">
            <v>0</v>
          </cell>
          <cell r="AB4598" t="str">
            <v>line item not tagged</v>
          </cell>
        </row>
        <row r="4599">
          <cell r="W4599">
            <v>0</v>
          </cell>
          <cell r="AB4599" t="str">
            <v>line item not tagged</v>
          </cell>
        </row>
        <row r="4600">
          <cell r="W4600">
            <v>0</v>
          </cell>
          <cell r="AB4600" t="str">
            <v>line item not tagged</v>
          </cell>
        </row>
        <row r="4601">
          <cell r="W4601">
            <v>0</v>
          </cell>
          <cell r="AB4601" t="str">
            <v>line item not tagged</v>
          </cell>
        </row>
        <row r="4602">
          <cell r="W4602">
            <v>0</v>
          </cell>
          <cell r="AB4602" t="str">
            <v>line item not tagged</v>
          </cell>
        </row>
        <row r="4603">
          <cell r="W4603">
            <v>0</v>
          </cell>
          <cell r="AB4603" t="str">
            <v>line item not tagged</v>
          </cell>
        </row>
        <row r="4604">
          <cell r="W4604">
            <v>0</v>
          </cell>
          <cell r="AB4604" t="str">
            <v>line item not tagged</v>
          </cell>
        </row>
        <row r="4605">
          <cell r="W4605">
            <v>0</v>
          </cell>
          <cell r="AB4605" t="str">
            <v>line item not tagged</v>
          </cell>
        </row>
        <row r="4606">
          <cell r="W4606">
            <v>0</v>
          </cell>
          <cell r="AB4606" t="str">
            <v>line item not tagged</v>
          </cell>
        </row>
        <row r="4607">
          <cell r="W4607">
            <v>0</v>
          </cell>
          <cell r="AB4607" t="str">
            <v>line item not tagged</v>
          </cell>
        </row>
        <row r="4608">
          <cell r="W4608">
            <v>0</v>
          </cell>
          <cell r="AB4608" t="str">
            <v>line item not tagged</v>
          </cell>
        </row>
        <row r="4609">
          <cell r="W4609">
            <v>0</v>
          </cell>
          <cell r="AB4609" t="str">
            <v>line item not tagged</v>
          </cell>
        </row>
        <row r="4610">
          <cell r="W4610">
            <v>0</v>
          </cell>
          <cell r="AB4610" t="str">
            <v>line item not tagged</v>
          </cell>
        </row>
        <row r="4611">
          <cell r="W4611">
            <v>0</v>
          </cell>
          <cell r="AB4611" t="str">
            <v>line item not tagged</v>
          </cell>
        </row>
        <row r="4612">
          <cell r="W4612">
            <v>0</v>
          </cell>
          <cell r="AB4612" t="str">
            <v>line item not tagged</v>
          </cell>
        </row>
        <row r="4613">
          <cell r="W4613">
            <v>0</v>
          </cell>
          <cell r="AB4613" t="str">
            <v>line item not tagged</v>
          </cell>
        </row>
        <row r="4614">
          <cell r="W4614">
            <v>0</v>
          </cell>
          <cell r="AB4614" t="str">
            <v>line item not tagged</v>
          </cell>
        </row>
        <row r="4615">
          <cell r="W4615">
            <v>0</v>
          </cell>
          <cell r="AB4615" t="str">
            <v>line item not tagged</v>
          </cell>
        </row>
        <row r="4616">
          <cell r="W4616">
            <v>0</v>
          </cell>
          <cell r="AB4616" t="str">
            <v>line item not tagged</v>
          </cell>
        </row>
        <row r="4617">
          <cell r="W4617">
            <v>0</v>
          </cell>
          <cell r="AB4617" t="str">
            <v>line item not tagged</v>
          </cell>
        </row>
        <row r="4618">
          <cell r="W4618">
            <v>0</v>
          </cell>
          <cell r="AB4618" t="str">
            <v>line item not tagged</v>
          </cell>
        </row>
        <row r="4619">
          <cell r="W4619">
            <v>0</v>
          </cell>
          <cell r="AB4619" t="str">
            <v>line item not tagged</v>
          </cell>
        </row>
        <row r="4620">
          <cell r="W4620">
            <v>0</v>
          </cell>
          <cell r="AB4620" t="str">
            <v>line item not tagged</v>
          </cell>
        </row>
        <row r="4621">
          <cell r="W4621">
            <v>0</v>
          </cell>
          <cell r="AB4621" t="str">
            <v>line item not tagged</v>
          </cell>
        </row>
        <row r="4622">
          <cell r="W4622">
            <v>0</v>
          </cell>
          <cell r="AB4622" t="str">
            <v>line item not tagged</v>
          </cell>
        </row>
        <row r="4623">
          <cell r="W4623">
            <v>0</v>
          </cell>
          <cell r="AB4623" t="str">
            <v>line item not tagged</v>
          </cell>
        </row>
        <row r="4624">
          <cell r="W4624">
            <v>0</v>
          </cell>
          <cell r="AB4624" t="str">
            <v>line item not tagged</v>
          </cell>
        </row>
        <row r="4625">
          <cell r="W4625">
            <v>0</v>
          </cell>
          <cell r="AB4625" t="str">
            <v>line item not tagged</v>
          </cell>
        </row>
        <row r="4626">
          <cell r="W4626">
            <v>0</v>
          </cell>
          <cell r="AB4626" t="str">
            <v>line item not tagged</v>
          </cell>
        </row>
        <row r="4627">
          <cell r="W4627">
            <v>0</v>
          </cell>
          <cell r="AB4627" t="str">
            <v>line item not tagged</v>
          </cell>
        </row>
        <row r="4628">
          <cell r="W4628">
            <v>0</v>
          </cell>
          <cell r="AB4628" t="str">
            <v>line item not tagged</v>
          </cell>
        </row>
        <row r="4629">
          <cell r="W4629">
            <v>0</v>
          </cell>
          <cell r="AB4629" t="str">
            <v>line item not tagged</v>
          </cell>
        </row>
        <row r="4630">
          <cell r="W4630">
            <v>0</v>
          </cell>
          <cell r="AB4630" t="str">
            <v>line item not tagged</v>
          </cell>
        </row>
        <row r="4631">
          <cell r="W4631">
            <v>0</v>
          </cell>
          <cell r="AB4631" t="str">
            <v>line item not tagged</v>
          </cell>
        </row>
        <row r="4632">
          <cell r="W4632">
            <v>0</v>
          </cell>
          <cell r="AB4632" t="str">
            <v>line item not tagged</v>
          </cell>
        </row>
        <row r="4633">
          <cell r="W4633">
            <v>0</v>
          </cell>
          <cell r="AB4633" t="str">
            <v>line item not tagged</v>
          </cell>
        </row>
        <row r="4634">
          <cell r="W4634">
            <v>0</v>
          </cell>
          <cell r="AB4634" t="str">
            <v>line item not tagged</v>
          </cell>
        </row>
        <row r="4635">
          <cell r="W4635">
            <v>0</v>
          </cell>
          <cell r="AB4635" t="str">
            <v>line item not tagged</v>
          </cell>
        </row>
        <row r="4636">
          <cell r="W4636">
            <v>0</v>
          </cell>
          <cell r="AB4636" t="str">
            <v>line item not tagged</v>
          </cell>
        </row>
        <row r="4637">
          <cell r="W4637">
            <v>0</v>
          </cell>
          <cell r="AB4637" t="str">
            <v>line item not tagged</v>
          </cell>
        </row>
        <row r="4638">
          <cell r="W4638">
            <v>0</v>
          </cell>
          <cell r="AB4638" t="str">
            <v>line item not tagged</v>
          </cell>
        </row>
        <row r="4639">
          <cell r="W4639">
            <v>0</v>
          </cell>
          <cell r="AB4639" t="str">
            <v>line item not tagged</v>
          </cell>
        </row>
        <row r="4640">
          <cell r="W4640">
            <v>0</v>
          </cell>
          <cell r="AB4640" t="str">
            <v>line item not tagged</v>
          </cell>
        </row>
        <row r="4641">
          <cell r="W4641">
            <v>0</v>
          </cell>
          <cell r="AB4641" t="str">
            <v>line item not tagged</v>
          </cell>
        </row>
        <row r="4642">
          <cell r="W4642">
            <v>0</v>
          </cell>
          <cell r="AB4642" t="str">
            <v>line item not tagged</v>
          </cell>
        </row>
        <row r="4643">
          <cell r="W4643">
            <v>0</v>
          </cell>
          <cell r="AB4643" t="str">
            <v>line item not tagged</v>
          </cell>
        </row>
        <row r="4644">
          <cell r="W4644">
            <v>0</v>
          </cell>
          <cell r="AB4644" t="str">
            <v>line item not tagged</v>
          </cell>
        </row>
        <row r="4645">
          <cell r="W4645">
            <v>0</v>
          </cell>
          <cell r="AB4645" t="str">
            <v>line item not tagged</v>
          </cell>
        </row>
        <row r="4646">
          <cell r="W4646">
            <v>0</v>
          </cell>
          <cell r="AB4646" t="str">
            <v>line item not tagged</v>
          </cell>
        </row>
        <row r="4647">
          <cell r="W4647">
            <v>0</v>
          </cell>
          <cell r="AB4647" t="str">
            <v>line item not tagged</v>
          </cell>
        </row>
        <row r="4648">
          <cell r="W4648">
            <v>0</v>
          </cell>
          <cell r="AB4648" t="str">
            <v>line item not tagged</v>
          </cell>
        </row>
        <row r="4649">
          <cell r="W4649">
            <v>0</v>
          </cell>
          <cell r="AB4649" t="str">
            <v>line item not tagged</v>
          </cell>
        </row>
        <row r="4650">
          <cell r="W4650">
            <v>0</v>
          </cell>
          <cell r="AB4650" t="str">
            <v>line item not tagged</v>
          </cell>
        </row>
        <row r="4651">
          <cell r="W4651">
            <v>0</v>
          </cell>
          <cell r="AB4651" t="str">
            <v>line item not tagged</v>
          </cell>
        </row>
        <row r="4652">
          <cell r="W4652">
            <v>0</v>
          </cell>
          <cell r="AB4652" t="str">
            <v>line item not tagged</v>
          </cell>
        </row>
        <row r="4653">
          <cell r="W4653">
            <v>0</v>
          </cell>
          <cell r="AB4653" t="str">
            <v>line item not tagged</v>
          </cell>
        </row>
        <row r="4654">
          <cell r="W4654">
            <v>0</v>
          </cell>
          <cell r="AB4654" t="str">
            <v>line item not tagged</v>
          </cell>
        </row>
        <row r="4655">
          <cell r="W4655">
            <v>0</v>
          </cell>
          <cell r="AB4655" t="str">
            <v>line item not tagged</v>
          </cell>
        </row>
        <row r="4656">
          <cell r="W4656">
            <v>0</v>
          </cell>
          <cell r="AB4656" t="str">
            <v>line item not tagged</v>
          </cell>
        </row>
        <row r="4657">
          <cell r="W4657">
            <v>0</v>
          </cell>
          <cell r="AB4657" t="str">
            <v>line item not tagged</v>
          </cell>
        </row>
        <row r="4658">
          <cell r="W4658">
            <v>0</v>
          </cell>
          <cell r="AB4658" t="str">
            <v>line item not tagged</v>
          </cell>
        </row>
        <row r="4659">
          <cell r="W4659">
            <v>0</v>
          </cell>
          <cell r="AB4659" t="str">
            <v>line item not tagged</v>
          </cell>
        </row>
        <row r="4660">
          <cell r="W4660">
            <v>0</v>
          </cell>
          <cell r="AB4660" t="str">
            <v>line item not tagged</v>
          </cell>
        </row>
        <row r="4661">
          <cell r="W4661">
            <v>0</v>
          </cell>
          <cell r="AB4661" t="str">
            <v>line item not tagged</v>
          </cell>
        </row>
        <row r="4662">
          <cell r="W4662">
            <v>0</v>
          </cell>
          <cell r="AB4662" t="str">
            <v>line item not tagged</v>
          </cell>
        </row>
        <row r="4663">
          <cell r="W4663">
            <v>0</v>
          </cell>
          <cell r="AB4663" t="str">
            <v>line item not tagged</v>
          </cell>
        </row>
        <row r="4664">
          <cell r="W4664">
            <v>0</v>
          </cell>
          <cell r="AB4664" t="str">
            <v>line item not tagged</v>
          </cell>
        </row>
        <row r="4665">
          <cell r="W4665">
            <v>0</v>
          </cell>
          <cell r="AB4665" t="str">
            <v>line item not tagged</v>
          </cell>
        </row>
        <row r="4666">
          <cell r="W4666">
            <v>0</v>
          </cell>
          <cell r="AB4666" t="str">
            <v>line item not tagged</v>
          </cell>
        </row>
        <row r="4667">
          <cell r="W4667">
            <v>0</v>
          </cell>
          <cell r="AB4667" t="str">
            <v>line item not tagged</v>
          </cell>
        </row>
        <row r="4668">
          <cell r="W4668">
            <v>0</v>
          </cell>
          <cell r="AB4668" t="str">
            <v>line item not tagged</v>
          </cell>
        </row>
        <row r="4669">
          <cell r="W4669">
            <v>0</v>
          </cell>
          <cell r="AB4669" t="str">
            <v>line item not tagged</v>
          </cell>
        </row>
        <row r="4670">
          <cell r="W4670">
            <v>0</v>
          </cell>
          <cell r="AB4670" t="str">
            <v>line item not tagged</v>
          </cell>
        </row>
        <row r="4671">
          <cell r="W4671">
            <v>0</v>
          </cell>
          <cell r="AB4671" t="str">
            <v>line item not tagged</v>
          </cell>
        </row>
        <row r="4672">
          <cell r="W4672">
            <v>0</v>
          </cell>
          <cell r="AB4672" t="str">
            <v>line item not tagged</v>
          </cell>
        </row>
        <row r="4673">
          <cell r="W4673">
            <v>0</v>
          </cell>
          <cell r="AB4673" t="str">
            <v>line item not tagged</v>
          </cell>
        </row>
        <row r="4674">
          <cell r="W4674">
            <v>0</v>
          </cell>
          <cell r="AB4674" t="str">
            <v>line item not tagged</v>
          </cell>
        </row>
        <row r="4675">
          <cell r="W4675">
            <v>0</v>
          </cell>
          <cell r="AB4675" t="str">
            <v>line item not tagged</v>
          </cell>
        </row>
        <row r="4676">
          <cell r="W4676">
            <v>0</v>
          </cell>
          <cell r="AB4676" t="str">
            <v>line item not tagged</v>
          </cell>
        </row>
        <row r="4677">
          <cell r="W4677">
            <v>0</v>
          </cell>
          <cell r="AB4677" t="str">
            <v>line item not tagged</v>
          </cell>
        </row>
        <row r="4678">
          <cell r="W4678">
            <v>0</v>
          </cell>
          <cell r="AB4678" t="str">
            <v>line item not tagged</v>
          </cell>
        </row>
        <row r="4679">
          <cell r="W4679">
            <v>0</v>
          </cell>
          <cell r="AB4679" t="str">
            <v>line item not tagged</v>
          </cell>
        </row>
        <row r="4680">
          <cell r="W4680">
            <v>0</v>
          </cell>
          <cell r="AB4680" t="str">
            <v>line item not tagged</v>
          </cell>
        </row>
        <row r="4681">
          <cell r="W4681">
            <v>0</v>
          </cell>
          <cell r="AB4681" t="str">
            <v>line item not tagged</v>
          </cell>
        </row>
        <row r="4682">
          <cell r="W4682">
            <v>0</v>
          </cell>
          <cell r="AB4682" t="str">
            <v>line item not tagged</v>
          </cell>
        </row>
        <row r="4683">
          <cell r="W4683">
            <v>0</v>
          </cell>
          <cell r="AB4683" t="str">
            <v>line item not tagged</v>
          </cell>
        </row>
        <row r="4684">
          <cell r="W4684">
            <v>0</v>
          </cell>
          <cell r="AB4684" t="str">
            <v>line item not tagged</v>
          </cell>
        </row>
        <row r="4685">
          <cell r="W4685">
            <v>0</v>
          </cell>
          <cell r="AB4685" t="str">
            <v>line item not tagged</v>
          </cell>
        </row>
        <row r="4686">
          <cell r="W4686">
            <v>0</v>
          </cell>
          <cell r="AB4686" t="str">
            <v>line item not tagged</v>
          </cell>
        </row>
        <row r="4687">
          <cell r="W4687">
            <v>0</v>
          </cell>
          <cell r="AB4687" t="str">
            <v>line item not tagged</v>
          </cell>
        </row>
        <row r="4688">
          <cell r="W4688">
            <v>0</v>
          </cell>
          <cell r="AB4688" t="str">
            <v>line item not tagged</v>
          </cell>
        </row>
        <row r="4689">
          <cell r="W4689">
            <v>0</v>
          </cell>
          <cell r="AB4689" t="str">
            <v>line item not tagged</v>
          </cell>
        </row>
        <row r="4690">
          <cell r="W4690">
            <v>0</v>
          </cell>
          <cell r="AB4690" t="str">
            <v>line item not tagged</v>
          </cell>
        </row>
        <row r="4691">
          <cell r="W4691">
            <v>0</v>
          </cell>
          <cell r="AB4691" t="str">
            <v>line item not tagged</v>
          </cell>
        </row>
        <row r="4692">
          <cell r="W4692">
            <v>0</v>
          </cell>
          <cell r="AB4692" t="str">
            <v>line item not tagged</v>
          </cell>
        </row>
        <row r="4693">
          <cell r="W4693">
            <v>0</v>
          </cell>
          <cell r="AB4693" t="str">
            <v>line item not tagged</v>
          </cell>
        </row>
        <row r="4694">
          <cell r="W4694">
            <v>0</v>
          </cell>
          <cell r="AB4694" t="str">
            <v>line item not tagged</v>
          </cell>
        </row>
        <row r="4695">
          <cell r="W4695">
            <v>0</v>
          </cell>
          <cell r="AB4695" t="str">
            <v>line item not tagged</v>
          </cell>
        </row>
        <row r="4696">
          <cell r="W4696">
            <v>0</v>
          </cell>
          <cell r="AB4696" t="str">
            <v>line item not tagged</v>
          </cell>
        </row>
        <row r="4697">
          <cell r="W4697">
            <v>0</v>
          </cell>
          <cell r="AB4697" t="str">
            <v>line item not tagged</v>
          </cell>
        </row>
        <row r="4698">
          <cell r="W4698">
            <v>0</v>
          </cell>
          <cell r="AB4698" t="str">
            <v>line item not tagged</v>
          </cell>
        </row>
        <row r="4699">
          <cell r="W4699">
            <v>0</v>
          </cell>
          <cell r="AB4699" t="str">
            <v>line item not tagged</v>
          </cell>
        </row>
        <row r="4700">
          <cell r="W4700">
            <v>0</v>
          </cell>
          <cell r="AB4700" t="str">
            <v>line item not tagged</v>
          </cell>
        </row>
        <row r="4701">
          <cell r="W4701">
            <v>0</v>
          </cell>
          <cell r="AB4701" t="str">
            <v>line item not tagged</v>
          </cell>
        </row>
        <row r="4702">
          <cell r="W4702">
            <v>0</v>
          </cell>
          <cell r="AB4702" t="str">
            <v>line item not tagged</v>
          </cell>
        </row>
        <row r="4703">
          <cell r="W4703">
            <v>0</v>
          </cell>
          <cell r="AB4703" t="str">
            <v>line item not tagged</v>
          </cell>
        </row>
        <row r="4704">
          <cell r="W4704">
            <v>0</v>
          </cell>
          <cell r="AB4704" t="str">
            <v>line item not tagged</v>
          </cell>
        </row>
        <row r="4705">
          <cell r="W4705">
            <v>0</v>
          </cell>
          <cell r="AB4705" t="str">
            <v>line item not tagged</v>
          </cell>
        </row>
        <row r="4706">
          <cell r="W4706">
            <v>0</v>
          </cell>
          <cell r="AB4706" t="str">
            <v>line item not tagged</v>
          </cell>
        </row>
        <row r="4707">
          <cell r="W4707">
            <v>0</v>
          </cell>
          <cell r="AB4707" t="str">
            <v>line item not tagged</v>
          </cell>
        </row>
        <row r="4708">
          <cell r="W4708">
            <v>0</v>
          </cell>
          <cell r="AB4708" t="str">
            <v>line item not tagged</v>
          </cell>
        </row>
        <row r="4709">
          <cell r="W4709">
            <v>0</v>
          </cell>
          <cell r="AB4709" t="str">
            <v>line item not tagged</v>
          </cell>
        </row>
        <row r="4710">
          <cell r="W4710">
            <v>0</v>
          </cell>
          <cell r="AB4710" t="str">
            <v>line item not tagged</v>
          </cell>
        </row>
        <row r="4711">
          <cell r="W4711">
            <v>0</v>
          </cell>
          <cell r="AB4711" t="str">
            <v>line item not tagged</v>
          </cell>
        </row>
        <row r="4712">
          <cell r="W4712">
            <v>0</v>
          </cell>
          <cell r="AB4712" t="str">
            <v>line item not tagged</v>
          </cell>
        </row>
        <row r="4713">
          <cell r="W4713">
            <v>0</v>
          </cell>
          <cell r="AB4713" t="str">
            <v>line item not tagged</v>
          </cell>
        </row>
        <row r="4714">
          <cell r="W4714">
            <v>0</v>
          </cell>
          <cell r="AB4714" t="str">
            <v>line item not tagged</v>
          </cell>
        </row>
        <row r="4715">
          <cell r="W4715">
            <v>0</v>
          </cell>
          <cell r="AB4715" t="str">
            <v>line item not tagged</v>
          </cell>
        </row>
        <row r="4716">
          <cell r="W4716">
            <v>0</v>
          </cell>
          <cell r="AB4716" t="str">
            <v>line item not tagged</v>
          </cell>
        </row>
        <row r="4717">
          <cell r="W4717">
            <v>0</v>
          </cell>
          <cell r="AB4717" t="str">
            <v>line item not tagged</v>
          </cell>
        </row>
        <row r="4718">
          <cell r="W4718">
            <v>0</v>
          </cell>
          <cell r="AB4718" t="str">
            <v>line item not tagged</v>
          </cell>
        </row>
        <row r="4719">
          <cell r="W4719">
            <v>0</v>
          </cell>
          <cell r="AB4719" t="str">
            <v>line item not tagged</v>
          </cell>
        </row>
        <row r="4720">
          <cell r="W4720">
            <v>0</v>
          </cell>
          <cell r="AB4720" t="str">
            <v>line item not tagged</v>
          </cell>
        </row>
        <row r="4721">
          <cell r="W4721">
            <v>0</v>
          </cell>
          <cell r="AB4721" t="str">
            <v>line item not tagged</v>
          </cell>
        </row>
        <row r="4722">
          <cell r="W4722">
            <v>0</v>
          </cell>
          <cell r="AB4722" t="str">
            <v>line item not tagged</v>
          </cell>
        </row>
        <row r="4723">
          <cell r="W4723">
            <v>0</v>
          </cell>
          <cell r="AB4723" t="str">
            <v>line item not tagged</v>
          </cell>
        </row>
        <row r="4724">
          <cell r="W4724">
            <v>0</v>
          </cell>
          <cell r="AB4724" t="str">
            <v>line item not tagged</v>
          </cell>
        </row>
        <row r="4725">
          <cell r="W4725">
            <v>0</v>
          </cell>
          <cell r="AB4725" t="str">
            <v>line item not tagged</v>
          </cell>
        </row>
        <row r="4726">
          <cell r="W4726">
            <v>0</v>
          </cell>
          <cell r="AB4726" t="str">
            <v>line item not tagged</v>
          </cell>
        </row>
        <row r="4727">
          <cell r="W4727">
            <v>0</v>
          </cell>
          <cell r="AB4727" t="str">
            <v>line item not tagged</v>
          </cell>
        </row>
        <row r="4728">
          <cell r="W4728">
            <v>0</v>
          </cell>
          <cell r="AB4728" t="str">
            <v>line item not tagged</v>
          </cell>
        </row>
        <row r="4729">
          <cell r="W4729">
            <v>0</v>
          </cell>
          <cell r="AB4729" t="str">
            <v>line item not tagged</v>
          </cell>
        </row>
        <row r="4730">
          <cell r="W4730">
            <v>0</v>
          </cell>
          <cell r="AB4730" t="str">
            <v>line item not tagged</v>
          </cell>
        </row>
        <row r="4731">
          <cell r="W4731">
            <v>0</v>
          </cell>
          <cell r="AB4731" t="str">
            <v>line item not tagged</v>
          </cell>
        </row>
        <row r="4732">
          <cell r="W4732">
            <v>0</v>
          </cell>
          <cell r="AB4732" t="str">
            <v>line item not tagged</v>
          </cell>
        </row>
        <row r="4733">
          <cell r="W4733">
            <v>0</v>
          </cell>
          <cell r="AB4733" t="str">
            <v>line item not tagged</v>
          </cell>
        </row>
        <row r="4734">
          <cell r="W4734">
            <v>0</v>
          </cell>
          <cell r="AB4734" t="str">
            <v>line item not tagged</v>
          </cell>
        </row>
        <row r="4735">
          <cell r="W4735">
            <v>0</v>
          </cell>
          <cell r="AB4735" t="str">
            <v>line item not tagged</v>
          </cell>
        </row>
        <row r="4736">
          <cell r="W4736">
            <v>0</v>
          </cell>
          <cell r="AB4736" t="str">
            <v>line item not tagged</v>
          </cell>
        </row>
        <row r="4737">
          <cell r="W4737">
            <v>0</v>
          </cell>
          <cell r="AB4737" t="str">
            <v>line item not tagged</v>
          </cell>
        </row>
        <row r="4738">
          <cell r="W4738">
            <v>0</v>
          </cell>
          <cell r="AB4738" t="str">
            <v>line item not tagged</v>
          </cell>
        </row>
        <row r="4739">
          <cell r="W4739">
            <v>0</v>
          </cell>
          <cell r="AB4739" t="str">
            <v>line item not tagged</v>
          </cell>
        </row>
        <row r="4740">
          <cell r="W4740">
            <v>0</v>
          </cell>
          <cell r="AB4740" t="str">
            <v>line item not tagged</v>
          </cell>
        </row>
        <row r="4741">
          <cell r="W4741">
            <v>0</v>
          </cell>
          <cell r="AB4741" t="str">
            <v>line item not tagged</v>
          </cell>
        </row>
        <row r="4742">
          <cell r="W4742">
            <v>0</v>
          </cell>
          <cell r="AB4742" t="str">
            <v>line item not tagged</v>
          </cell>
        </row>
        <row r="4743">
          <cell r="W4743">
            <v>0</v>
          </cell>
          <cell r="AB4743" t="str">
            <v>line item not tagged</v>
          </cell>
        </row>
        <row r="4744">
          <cell r="W4744">
            <v>0</v>
          </cell>
          <cell r="AB4744" t="str">
            <v>line item not tagged</v>
          </cell>
        </row>
        <row r="4745">
          <cell r="W4745">
            <v>0</v>
          </cell>
          <cell r="AB4745" t="str">
            <v>line item not tagged</v>
          </cell>
        </row>
        <row r="4746">
          <cell r="W4746">
            <v>0</v>
          </cell>
          <cell r="AB4746" t="str">
            <v>line item not tagged</v>
          </cell>
        </row>
        <row r="4747">
          <cell r="W4747">
            <v>0</v>
          </cell>
          <cell r="AB4747" t="str">
            <v>line item not tagged</v>
          </cell>
        </row>
        <row r="4748">
          <cell r="W4748">
            <v>0</v>
          </cell>
          <cell r="AB4748" t="str">
            <v>line item not tagged</v>
          </cell>
        </row>
        <row r="4749">
          <cell r="W4749">
            <v>0</v>
          </cell>
          <cell r="AB4749" t="str">
            <v>line item not tagged</v>
          </cell>
        </row>
        <row r="4750">
          <cell r="W4750">
            <v>0</v>
          </cell>
          <cell r="AB4750" t="str">
            <v>line item not tagged</v>
          </cell>
        </row>
        <row r="4751">
          <cell r="W4751">
            <v>0</v>
          </cell>
          <cell r="AB4751" t="str">
            <v>line item not tagged</v>
          </cell>
        </row>
        <row r="4752">
          <cell r="W4752">
            <v>0</v>
          </cell>
          <cell r="AB4752" t="str">
            <v>line item not tagged</v>
          </cell>
        </row>
        <row r="4753">
          <cell r="W4753">
            <v>0</v>
          </cell>
          <cell r="AB4753" t="str">
            <v>line item not tagged</v>
          </cell>
        </row>
        <row r="4754">
          <cell r="W4754">
            <v>0</v>
          </cell>
          <cell r="AB4754" t="str">
            <v>line item not tagged</v>
          </cell>
        </row>
        <row r="4755">
          <cell r="W4755">
            <v>0</v>
          </cell>
          <cell r="AB4755" t="str">
            <v>line item not tagged</v>
          </cell>
        </row>
        <row r="4756">
          <cell r="W4756">
            <v>0</v>
          </cell>
          <cell r="AB4756" t="str">
            <v>line item not tagged</v>
          </cell>
        </row>
        <row r="4757">
          <cell r="W4757">
            <v>0</v>
          </cell>
          <cell r="AB4757" t="str">
            <v>line item not tagged</v>
          </cell>
        </row>
        <row r="4758">
          <cell r="W4758">
            <v>0</v>
          </cell>
          <cell r="AB4758" t="str">
            <v>line item not tagged</v>
          </cell>
        </row>
        <row r="4759">
          <cell r="W4759">
            <v>0</v>
          </cell>
          <cell r="AB4759" t="str">
            <v>line item not tagged</v>
          </cell>
        </row>
        <row r="4760">
          <cell r="W4760">
            <v>0</v>
          </cell>
          <cell r="AB4760" t="str">
            <v>line item not tagged</v>
          </cell>
        </row>
        <row r="4761">
          <cell r="W4761">
            <v>0</v>
          </cell>
          <cell r="AB4761" t="str">
            <v>line item not tagged</v>
          </cell>
        </row>
        <row r="4762">
          <cell r="W4762">
            <v>0</v>
          </cell>
          <cell r="AB4762" t="str">
            <v>line item not tagged</v>
          </cell>
        </row>
        <row r="4763">
          <cell r="W4763">
            <v>0</v>
          </cell>
          <cell r="AB4763" t="str">
            <v>line item not tagged</v>
          </cell>
        </row>
        <row r="4764">
          <cell r="W4764">
            <v>0</v>
          </cell>
          <cell r="AB4764" t="str">
            <v>line item not tagged</v>
          </cell>
        </row>
        <row r="4765">
          <cell r="W4765">
            <v>0</v>
          </cell>
          <cell r="AB4765" t="str">
            <v>line item not tagged</v>
          </cell>
        </row>
        <row r="4766">
          <cell r="W4766">
            <v>0</v>
          </cell>
          <cell r="AB4766" t="str">
            <v>line item not tagged</v>
          </cell>
        </row>
        <row r="4767">
          <cell r="W4767">
            <v>0</v>
          </cell>
          <cell r="AB4767" t="str">
            <v>line item not tagged</v>
          </cell>
        </row>
        <row r="4768">
          <cell r="W4768">
            <v>0</v>
          </cell>
          <cell r="AB4768" t="str">
            <v>line item not tagged</v>
          </cell>
        </row>
        <row r="4769">
          <cell r="W4769">
            <v>0</v>
          </cell>
          <cell r="AB4769" t="str">
            <v>line item not tagged</v>
          </cell>
        </row>
        <row r="4770">
          <cell r="W4770">
            <v>0</v>
          </cell>
          <cell r="AB4770" t="str">
            <v>line item not tagged</v>
          </cell>
        </row>
        <row r="4771">
          <cell r="W4771">
            <v>0</v>
          </cell>
          <cell r="AB4771" t="str">
            <v>line item not tagged</v>
          </cell>
        </row>
        <row r="4772">
          <cell r="W4772">
            <v>0</v>
          </cell>
          <cell r="AB4772" t="str">
            <v>line item not tagged</v>
          </cell>
        </row>
        <row r="4773">
          <cell r="W4773">
            <v>0</v>
          </cell>
          <cell r="AB4773" t="str">
            <v>line item not tagged</v>
          </cell>
        </row>
        <row r="4774">
          <cell r="W4774">
            <v>0</v>
          </cell>
          <cell r="AB4774" t="str">
            <v>line item not tagged</v>
          </cell>
        </row>
        <row r="4775">
          <cell r="W4775">
            <v>0</v>
          </cell>
          <cell r="AB4775" t="str">
            <v>line item not tagged</v>
          </cell>
        </row>
        <row r="4776">
          <cell r="W4776">
            <v>0</v>
          </cell>
          <cell r="AB4776" t="str">
            <v>line item not tagged</v>
          </cell>
        </row>
        <row r="4777">
          <cell r="W4777">
            <v>0</v>
          </cell>
          <cell r="AB4777" t="str">
            <v>line item not tagged</v>
          </cell>
        </row>
        <row r="4778">
          <cell r="W4778">
            <v>0</v>
          </cell>
          <cell r="AB4778" t="str">
            <v>line item not tagged</v>
          </cell>
        </row>
        <row r="4779">
          <cell r="W4779">
            <v>0</v>
          </cell>
          <cell r="AB4779" t="str">
            <v>line item not tagged</v>
          </cell>
        </row>
        <row r="4780">
          <cell r="W4780">
            <v>0</v>
          </cell>
          <cell r="AB4780" t="str">
            <v>line item not tagged</v>
          </cell>
        </row>
        <row r="4781">
          <cell r="W4781">
            <v>0</v>
          </cell>
          <cell r="AB4781" t="str">
            <v>line item not tagged</v>
          </cell>
        </row>
        <row r="4782">
          <cell r="W4782">
            <v>0</v>
          </cell>
          <cell r="AB4782" t="str">
            <v>line item not tagged</v>
          </cell>
        </row>
        <row r="4783">
          <cell r="W4783">
            <v>0</v>
          </cell>
          <cell r="AB4783" t="str">
            <v>line item not tagged</v>
          </cell>
        </row>
        <row r="4784">
          <cell r="W4784">
            <v>0</v>
          </cell>
          <cell r="AB4784" t="str">
            <v>line item not tagged</v>
          </cell>
        </row>
        <row r="4785">
          <cell r="W4785">
            <v>0</v>
          </cell>
          <cell r="AB4785" t="str">
            <v>line item not tagged</v>
          </cell>
        </row>
        <row r="4786">
          <cell r="W4786">
            <v>0</v>
          </cell>
          <cell r="AB4786" t="str">
            <v>line item not tagged</v>
          </cell>
        </row>
        <row r="4787">
          <cell r="W4787">
            <v>0</v>
          </cell>
          <cell r="AB4787" t="str">
            <v>line item not tagged</v>
          </cell>
        </row>
        <row r="4788">
          <cell r="W4788">
            <v>0</v>
          </cell>
          <cell r="AB4788" t="str">
            <v>line item not tagged</v>
          </cell>
        </row>
        <row r="4789">
          <cell r="W4789">
            <v>0</v>
          </cell>
          <cell r="AB4789" t="str">
            <v>line item not tagged</v>
          </cell>
        </row>
        <row r="4790">
          <cell r="W4790">
            <v>0</v>
          </cell>
          <cell r="AB4790" t="str">
            <v>line item not tagged</v>
          </cell>
        </row>
        <row r="4791">
          <cell r="W4791">
            <v>0</v>
          </cell>
          <cell r="AB4791" t="str">
            <v>line item not tagged</v>
          </cell>
        </row>
        <row r="4792">
          <cell r="W4792">
            <v>0</v>
          </cell>
          <cell r="AB4792" t="str">
            <v>line item not tagged</v>
          </cell>
        </row>
        <row r="4793">
          <cell r="W4793">
            <v>0</v>
          </cell>
          <cell r="AB4793" t="str">
            <v>line item not tagged</v>
          </cell>
        </row>
        <row r="4794">
          <cell r="W4794">
            <v>0</v>
          </cell>
          <cell r="AB4794" t="str">
            <v>line item not tagged</v>
          </cell>
        </row>
        <row r="4795">
          <cell r="W4795">
            <v>0</v>
          </cell>
          <cell r="AB4795" t="str">
            <v>line item not tagged</v>
          </cell>
        </row>
        <row r="4796">
          <cell r="W4796">
            <v>0</v>
          </cell>
          <cell r="AB4796" t="str">
            <v>line item not tagged</v>
          </cell>
        </row>
        <row r="4797">
          <cell r="W4797">
            <v>0</v>
          </cell>
          <cell r="AB4797" t="str">
            <v>line item not tagged</v>
          </cell>
        </row>
        <row r="4798">
          <cell r="W4798">
            <v>0</v>
          </cell>
          <cell r="AB4798" t="str">
            <v>line item not tagged</v>
          </cell>
        </row>
        <row r="4799">
          <cell r="W4799">
            <v>0</v>
          </cell>
          <cell r="AB4799" t="str">
            <v>line item not tagged</v>
          </cell>
        </row>
        <row r="4800">
          <cell r="W4800">
            <v>0</v>
          </cell>
          <cell r="AB4800" t="str">
            <v>line item not tagged</v>
          </cell>
        </row>
        <row r="4801">
          <cell r="W4801">
            <v>0</v>
          </cell>
          <cell r="AB4801" t="str">
            <v>line item not tagged</v>
          </cell>
        </row>
        <row r="4802">
          <cell r="W4802">
            <v>0</v>
          </cell>
          <cell r="AB4802" t="str">
            <v>line item not tagged</v>
          </cell>
        </row>
        <row r="4803">
          <cell r="W4803">
            <v>0</v>
          </cell>
          <cell r="AB4803" t="str">
            <v>line item not tagged</v>
          </cell>
        </row>
        <row r="4804">
          <cell r="W4804">
            <v>0</v>
          </cell>
          <cell r="AB4804" t="str">
            <v>line item not tagged</v>
          </cell>
        </row>
        <row r="4805">
          <cell r="W4805">
            <v>0</v>
          </cell>
          <cell r="AB4805" t="str">
            <v>line item not tagged</v>
          </cell>
        </row>
        <row r="4806">
          <cell r="W4806">
            <v>0</v>
          </cell>
          <cell r="AB4806" t="str">
            <v>line item not tagged</v>
          </cell>
        </row>
        <row r="4807">
          <cell r="W4807">
            <v>0</v>
          </cell>
          <cell r="AB4807" t="str">
            <v>line item not tagged</v>
          </cell>
        </row>
        <row r="4808">
          <cell r="W4808">
            <v>0</v>
          </cell>
          <cell r="AB4808" t="str">
            <v>line item not tagged</v>
          </cell>
        </row>
        <row r="4809">
          <cell r="W4809">
            <v>0</v>
          </cell>
          <cell r="AB4809" t="str">
            <v>line item not tagged</v>
          </cell>
        </row>
        <row r="4810">
          <cell r="W4810">
            <v>0</v>
          </cell>
          <cell r="AB4810" t="str">
            <v>line item not tagged</v>
          </cell>
        </row>
        <row r="4811">
          <cell r="W4811">
            <v>0</v>
          </cell>
          <cell r="AB4811" t="str">
            <v>line item not tagged</v>
          </cell>
        </row>
        <row r="4812">
          <cell r="W4812">
            <v>0</v>
          </cell>
          <cell r="AB4812" t="str">
            <v>line item not tagged</v>
          </cell>
        </row>
        <row r="4813">
          <cell r="W4813">
            <v>0</v>
          </cell>
          <cell r="AB4813" t="str">
            <v>line item not tagged</v>
          </cell>
        </row>
        <row r="4814">
          <cell r="W4814">
            <v>0</v>
          </cell>
          <cell r="AB4814" t="str">
            <v>line item not tagged</v>
          </cell>
        </row>
        <row r="4815">
          <cell r="W4815">
            <v>0</v>
          </cell>
          <cell r="AB4815" t="str">
            <v>line item not tagged</v>
          </cell>
        </row>
        <row r="4816">
          <cell r="W4816">
            <v>0</v>
          </cell>
          <cell r="AB4816" t="str">
            <v>line item not tagged</v>
          </cell>
        </row>
        <row r="4817">
          <cell r="W4817">
            <v>0</v>
          </cell>
          <cell r="AB4817" t="str">
            <v>line item not tagged</v>
          </cell>
        </row>
        <row r="4818">
          <cell r="W4818">
            <v>0</v>
          </cell>
          <cell r="AB4818" t="str">
            <v>line item not tagged</v>
          </cell>
        </row>
        <row r="4819">
          <cell r="W4819">
            <v>0</v>
          </cell>
          <cell r="AB4819" t="str">
            <v>line item not tagged</v>
          </cell>
        </row>
        <row r="4820">
          <cell r="W4820">
            <v>0</v>
          </cell>
          <cell r="AB4820" t="str">
            <v>line item not tagged</v>
          </cell>
        </row>
        <row r="4821">
          <cell r="W4821">
            <v>0</v>
          </cell>
          <cell r="AB4821" t="str">
            <v>line item not tagged</v>
          </cell>
        </row>
        <row r="4822">
          <cell r="W4822">
            <v>0</v>
          </cell>
          <cell r="AB4822" t="str">
            <v>line item not tagged</v>
          </cell>
        </row>
        <row r="4823">
          <cell r="W4823">
            <v>0</v>
          </cell>
          <cell r="AB4823" t="str">
            <v>line item not tagged</v>
          </cell>
        </row>
        <row r="4824">
          <cell r="W4824">
            <v>0</v>
          </cell>
          <cell r="AB4824" t="str">
            <v>line item not tagged</v>
          </cell>
        </row>
        <row r="4825">
          <cell r="W4825">
            <v>0</v>
          </cell>
          <cell r="AB4825" t="str">
            <v>line item not tagged</v>
          </cell>
        </row>
        <row r="4826">
          <cell r="W4826">
            <v>0</v>
          </cell>
          <cell r="AB4826" t="str">
            <v>line item not tagged</v>
          </cell>
        </row>
        <row r="4827">
          <cell r="W4827">
            <v>0</v>
          </cell>
          <cell r="AB4827" t="str">
            <v>line item not tagged</v>
          </cell>
        </row>
        <row r="4828">
          <cell r="W4828">
            <v>0</v>
          </cell>
          <cell r="AB4828" t="str">
            <v>line item not tagged</v>
          </cell>
        </row>
        <row r="4829">
          <cell r="W4829">
            <v>0</v>
          </cell>
          <cell r="AB4829" t="str">
            <v>line item not tagged</v>
          </cell>
        </row>
        <row r="4830">
          <cell r="W4830">
            <v>0</v>
          </cell>
          <cell r="AB4830" t="str">
            <v>line item not tagged</v>
          </cell>
        </row>
        <row r="4831">
          <cell r="W4831">
            <v>0</v>
          </cell>
          <cell r="AB4831" t="str">
            <v>line item not tagged</v>
          </cell>
        </row>
        <row r="4832">
          <cell r="W4832">
            <v>0</v>
          </cell>
          <cell r="AB4832" t="str">
            <v>line item not tagged</v>
          </cell>
        </row>
        <row r="4833">
          <cell r="W4833">
            <v>0</v>
          </cell>
          <cell r="AB4833" t="str">
            <v>line item not tagged</v>
          </cell>
        </row>
        <row r="4834">
          <cell r="W4834">
            <v>0</v>
          </cell>
          <cell r="AB4834" t="str">
            <v>line item not tagged</v>
          </cell>
        </row>
        <row r="4835">
          <cell r="W4835">
            <v>0</v>
          </cell>
          <cell r="AB4835" t="str">
            <v>line item not tagged</v>
          </cell>
        </row>
        <row r="4836">
          <cell r="W4836">
            <v>0</v>
          </cell>
          <cell r="AB4836" t="str">
            <v>line item not tagged</v>
          </cell>
        </row>
        <row r="4837">
          <cell r="W4837">
            <v>0</v>
          </cell>
          <cell r="AB4837" t="str">
            <v>line item not tagged</v>
          </cell>
        </row>
        <row r="4838">
          <cell r="W4838">
            <v>0</v>
          </cell>
          <cell r="AB4838" t="str">
            <v>line item not tagged</v>
          </cell>
        </row>
        <row r="4839">
          <cell r="W4839">
            <v>0</v>
          </cell>
          <cell r="AB4839" t="str">
            <v>line item not tagged</v>
          </cell>
        </row>
        <row r="4840">
          <cell r="W4840">
            <v>0</v>
          </cell>
          <cell r="AB4840" t="str">
            <v>line item not tagged</v>
          </cell>
        </row>
        <row r="4841">
          <cell r="W4841">
            <v>0</v>
          </cell>
          <cell r="AB4841" t="str">
            <v>line item not tagged</v>
          </cell>
        </row>
        <row r="4842">
          <cell r="W4842">
            <v>0</v>
          </cell>
          <cell r="AB4842" t="str">
            <v>line item not tagged</v>
          </cell>
        </row>
        <row r="4843">
          <cell r="W4843">
            <v>0</v>
          </cell>
          <cell r="AB4843" t="str">
            <v>line item not tagged</v>
          </cell>
        </row>
        <row r="4844">
          <cell r="W4844">
            <v>0</v>
          </cell>
          <cell r="AB4844" t="str">
            <v>line item not tagged</v>
          </cell>
        </row>
        <row r="4845">
          <cell r="W4845">
            <v>0</v>
          </cell>
          <cell r="AB4845" t="str">
            <v>line item not tagged</v>
          </cell>
        </row>
        <row r="4846">
          <cell r="W4846">
            <v>0</v>
          </cell>
          <cell r="AB4846" t="str">
            <v>line item not tagged</v>
          </cell>
        </row>
        <row r="4847">
          <cell r="W4847">
            <v>0</v>
          </cell>
          <cell r="AB4847" t="str">
            <v>line item not tagged</v>
          </cell>
        </row>
        <row r="4848">
          <cell r="W4848">
            <v>0</v>
          </cell>
          <cell r="AB4848" t="str">
            <v>line item not tagged</v>
          </cell>
        </row>
        <row r="4849">
          <cell r="W4849">
            <v>0</v>
          </cell>
          <cell r="AB4849" t="str">
            <v>line item not tagged</v>
          </cell>
        </row>
        <row r="4850">
          <cell r="W4850">
            <v>0</v>
          </cell>
          <cell r="AB4850" t="str">
            <v>line item not tagged</v>
          </cell>
        </row>
        <row r="4851">
          <cell r="W4851">
            <v>0</v>
          </cell>
          <cell r="AB4851" t="str">
            <v>line item not tagged</v>
          </cell>
        </row>
        <row r="4852">
          <cell r="W4852">
            <v>0</v>
          </cell>
          <cell r="AB4852" t="str">
            <v>line item not tagged</v>
          </cell>
        </row>
        <row r="4853">
          <cell r="W4853">
            <v>0</v>
          </cell>
          <cell r="AB4853" t="str">
            <v>line item not tagged</v>
          </cell>
        </row>
        <row r="4854">
          <cell r="W4854">
            <v>0</v>
          </cell>
          <cell r="AB4854" t="str">
            <v>line item not tagged</v>
          </cell>
        </row>
        <row r="4855">
          <cell r="W4855">
            <v>0</v>
          </cell>
          <cell r="AB4855" t="str">
            <v>line item not tagged</v>
          </cell>
        </row>
        <row r="4856">
          <cell r="W4856">
            <v>0</v>
          </cell>
          <cell r="AB4856" t="str">
            <v>line item not tagged</v>
          </cell>
        </row>
        <row r="4857">
          <cell r="W4857">
            <v>0</v>
          </cell>
          <cell r="AB4857" t="str">
            <v>line item not tagged</v>
          </cell>
        </row>
        <row r="4858">
          <cell r="W4858">
            <v>0</v>
          </cell>
          <cell r="AB4858" t="str">
            <v>line item not tagged</v>
          </cell>
        </row>
        <row r="4859">
          <cell r="W4859">
            <v>0</v>
          </cell>
          <cell r="AB4859" t="str">
            <v>line item not tagged</v>
          </cell>
        </row>
        <row r="4860">
          <cell r="W4860">
            <v>0</v>
          </cell>
          <cell r="AB4860" t="str">
            <v>line item not tagged</v>
          </cell>
        </row>
        <row r="4861">
          <cell r="W4861">
            <v>0</v>
          </cell>
          <cell r="AB4861" t="str">
            <v>line item not tagged</v>
          </cell>
        </row>
        <row r="4862">
          <cell r="W4862">
            <v>0</v>
          </cell>
          <cell r="AB4862" t="str">
            <v>line item not tagged</v>
          </cell>
        </row>
        <row r="4863">
          <cell r="W4863">
            <v>0</v>
          </cell>
          <cell r="AB4863" t="str">
            <v>line item not tagged</v>
          </cell>
        </row>
        <row r="4864">
          <cell r="W4864">
            <v>0</v>
          </cell>
          <cell r="AB4864" t="str">
            <v>line item not tagged</v>
          </cell>
        </row>
        <row r="4865">
          <cell r="W4865">
            <v>0</v>
          </cell>
          <cell r="AB4865" t="str">
            <v>line item not tagged</v>
          </cell>
        </row>
        <row r="4866">
          <cell r="W4866">
            <v>0</v>
          </cell>
          <cell r="AB4866" t="str">
            <v>line item not tagged</v>
          </cell>
        </row>
        <row r="4867">
          <cell r="W4867">
            <v>0</v>
          </cell>
          <cell r="AB4867" t="str">
            <v>line item not tagged</v>
          </cell>
        </row>
        <row r="4868">
          <cell r="W4868">
            <v>0</v>
          </cell>
          <cell r="AB4868" t="str">
            <v>line item not tagged</v>
          </cell>
        </row>
        <row r="4869">
          <cell r="W4869">
            <v>0</v>
          </cell>
          <cell r="AB4869" t="str">
            <v>line item not tagged</v>
          </cell>
        </row>
        <row r="4870">
          <cell r="W4870">
            <v>0</v>
          </cell>
          <cell r="AB4870" t="str">
            <v>line item not tagged</v>
          </cell>
        </row>
        <row r="4871">
          <cell r="W4871">
            <v>0</v>
          </cell>
          <cell r="AB4871" t="str">
            <v>line item not tagged</v>
          </cell>
        </row>
        <row r="4872">
          <cell r="W4872">
            <v>0</v>
          </cell>
          <cell r="AB4872" t="str">
            <v>line item not tagged</v>
          </cell>
        </row>
        <row r="4873">
          <cell r="W4873">
            <v>0</v>
          </cell>
          <cell r="AB4873" t="str">
            <v>line item not tagged</v>
          </cell>
        </row>
        <row r="4874">
          <cell r="W4874">
            <v>0</v>
          </cell>
          <cell r="AB4874" t="str">
            <v>line item not tagged</v>
          </cell>
        </row>
        <row r="4875">
          <cell r="W4875">
            <v>0</v>
          </cell>
          <cell r="AB4875" t="str">
            <v>line item not tagged</v>
          </cell>
        </row>
        <row r="4876">
          <cell r="W4876">
            <v>0</v>
          </cell>
          <cell r="AB4876" t="str">
            <v>line item not tagged</v>
          </cell>
        </row>
        <row r="4877">
          <cell r="W4877">
            <v>0</v>
          </cell>
          <cell r="AB4877" t="str">
            <v>line item not tagged</v>
          </cell>
        </row>
        <row r="4878">
          <cell r="W4878">
            <v>0</v>
          </cell>
          <cell r="AB4878" t="str">
            <v>line item not tagged</v>
          </cell>
        </row>
        <row r="4879">
          <cell r="W4879">
            <v>0</v>
          </cell>
          <cell r="AB4879" t="str">
            <v>line item not tagged</v>
          </cell>
        </row>
        <row r="4880">
          <cell r="W4880">
            <v>0</v>
          </cell>
          <cell r="AB4880" t="str">
            <v>line item not tagged</v>
          </cell>
        </row>
        <row r="4881">
          <cell r="W4881">
            <v>0</v>
          </cell>
          <cell r="AB4881" t="str">
            <v>line item not tagged</v>
          </cell>
        </row>
        <row r="4882">
          <cell r="W4882">
            <v>0</v>
          </cell>
          <cell r="AB4882" t="str">
            <v>line item not tagged</v>
          </cell>
        </row>
        <row r="4883">
          <cell r="W4883">
            <v>0</v>
          </cell>
          <cell r="AB4883" t="str">
            <v>line item not tagged</v>
          </cell>
        </row>
        <row r="4884">
          <cell r="W4884">
            <v>0</v>
          </cell>
          <cell r="AB4884" t="str">
            <v>line item not tagged</v>
          </cell>
        </row>
        <row r="4885">
          <cell r="W4885">
            <v>0</v>
          </cell>
          <cell r="AB4885" t="str">
            <v>line item not tagged</v>
          </cell>
        </row>
        <row r="4886">
          <cell r="W4886">
            <v>0</v>
          </cell>
          <cell r="AB4886" t="str">
            <v>line item not tagged</v>
          </cell>
        </row>
        <row r="4887">
          <cell r="W4887">
            <v>0</v>
          </cell>
          <cell r="AB4887" t="str">
            <v>line item not tagged</v>
          </cell>
        </row>
        <row r="4888">
          <cell r="W4888">
            <v>0</v>
          </cell>
          <cell r="AB4888" t="str">
            <v>line item not tagged</v>
          </cell>
        </row>
        <row r="4889">
          <cell r="W4889">
            <v>0</v>
          </cell>
          <cell r="AB4889" t="str">
            <v>line item not tagged</v>
          </cell>
        </row>
        <row r="4890">
          <cell r="W4890">
            <v>0</v>
          </cell>
          <cell r="AB4890" t="str">
            <v>line item not tagged</v>
          </cell>
        </row>
        <row r="4891">
          <cell r="W4891">
            <v>0</v>
          </cell>
          <cell r="AB4891" t="str">
            <v>line item not tagged</v>
          </cell>
        </row>
        <row r="4892">
          <cell r="W4892">
            <v>0</v>
          </cell>
          <cell r="AB4892" t="str">
            <v>line item not tagged</v>
          </cell>
        </row>
        <row r="4893">
          <cell r="W4893">
            <v>0</v>
          </cell>
          <cell r="AB4893" t="str">
            <v>line item not tagged</v>
          </cell>
        </row>
        <row r="4894">
          <cell r="W4894">
            <v>0</v>
          </cell>
          <cell r="AB4894" t="str">
            <v>line item not tagged</v>
          </cell>
        </row>
        <row r="4895">
          <cell r="W4895">
            <v>0</v>
          </cell>
          <cell r="AB4895" t="str">
            <v>line item not tagged</v>
          </cell>
        </row>
        <row r="4896">
          <cell r="W4896">
            <v>0</v>
          </cell>
          <cell r="AB4896" t="str">
            <v>line item not tagged</v>
          </cell>
        </row>
        <row r="4897">
          <cell r="W4897">
            <v>0</v>
          </cell>
          <cell r="AB4897" t="str">
            <v>line item not tagged</v>
          </cell>
        </row>
        <row r="4898">
          <cell r="W4898">
            <v>0</v>
          </cell>
          <cell r="AB4898" t="str">
            <v>line item not tagged</v>
          </cell>
        </row>
        <row r="4899">
          <cell r="W4899">
            <v>0</v>
          </cell>
          <cell r="AB4899" t="str">
            <v>line item not tagged</v>
          </cell>
        </row>
        <row r="4900">
          <cell r="W4900">
            <v>0</v>
          </cell>
          <cell r="AB4900" t="str">
            <v>line item not tagged</v>
          </cell>
        </row>
        <row r="4901">
          <cell r="W4901">
            <v>0</v>
          </cell>
          <cell r="AB4901" t="str">
            <v>line item not tagged</v>
          </cell>
        </row>
        <row r="4902">
          <cell r="W4902">
            <v>0</v>
          </cell>
          <cell r="AB4902" t="str">
            <v>line item not tagged</v>
          </cell>
        </row>
        <row r="4903">
          <cell r="W4903">
            <v>0</v>
          </cell>
          <cell r="AB4903" t="str">
            <v>line item not tagged</v>
          </cell>
        </row>
        <row r="4904">
          <cell r="W4904">
            <v>0</v>
          </cell>
          <cell r="AB4904" t="str">
            <v>line item not tagged</v>
          </cell>
        </row>
        <row r="4905">
          <cell r="W4905">
            <v>0</v>
          </cell>
          <cell r="AB4905" t="str">
            <v>line item not tagged</v>
          </cell>
        </row>
        <row r="4906">
          <cell r="W4906">
            <v>0</v>
          </cell>
          <cell r="AB4906" t="str">
            <v>line item not tagged</v>
          </cell>
        </row>
        <row r="4907">
          <cell r="W4907">
            <v>0</v>
          </cell>
          <cell r="AB4907" t="str">
            <v>line item not tagged</v>
          </cell>
        </row>
        <row r="4908">
          <cell r="W4908">
            <v>0</v>
          </cell>
          <cell r="AB4908" t="str">
            <v>line item not tagged</v>
          </cell>
        </row>
        <row r="4909">
          <cell r="W4909">
            <v>0</v>
          </cell>
          <cell r="AB4909" t="str">
            <v>line item not tagged</v>
          </cell>
        </row>
        <row r="4910">
          <cell r="W4910">
            <v>0</v>
          </cell>
          <cell r="AB4910" t="str">
            <v>line item not tagged</v>
          </cell>
        </row>
        <row r="4911">
          <cell r="W4911">
            <v>0</v>
          </cell>
          <cell r="AB4911" t="str">
            <v>line item not tagged</v>
          </cell>
        </row>
        <row r="4912">
          <cell r="W4912">
            <v>0</v>
          </cell>
          <cell r="AB4912" t="str">
            <v>line item not tagged</v>
          </cell>
        </row>
        <row r="4913">
          <cell r="W4913">
            <v>0</v>
          </cell>
          <cell r="AB4913" t="str">
            <v>line item not tagged</v>
          </cell>
        </row>
        <row r="4914">
          <cell r="W4914">
            <v>0</v>
          </cell>
          <cell r="AB4914" t="str">
            <v>line item not tagged</v>
          </cell>
        </row>
        <row r="4915">
          <cell r="W4915">
            <v>0</v>
          </cell>
          <cell r="AB4915" t="str">
            <v>line item not tagged</v>
          </cell>
        </row>
        <row r="4916">
          <cell r="W4916">
            <v>0</v>
          </cell>
          <cell r="AB4916" t="str">
            <v>line item not tagged</v>
          </cell>
        </row>
        <row r="4917">
          <cell r="W4917">
            <v>0</v>
          </cell>
          <cell r="AB4917" t="str">
            <v>line item not tagged</v>
          </cell>
        </row>
        <row r="4918">
          <cell r="W4918">
            <v>0</v>
          </cell>
          <cell r="AB4918" t="str">
            <v>line item not tagged</v>
          </cell>
        </row>
        <row r="4919">
          <cell r="W4919">
            <v>0</v>
          </cell>
          <cell r="AB4919" t="str">
            <v>line item not tagged</v>
          </cell>
        </row>
        <row r="4920">
          <cell r="W4920">
            <v>0</v>
          </cell>
          <cell r="AB4920" t="str">
            <v>line item not tagged</v>
          </cell>
        </row>
        <row r="4921">
          <cell r="W4921">
            <v>0</v>
          </cell>
          <cell r="AB4921" t="str">
            <v>line item not tagged</v>
          </cell>
        </row>
        <row r="4922">
          <cell r="W4922">
            <v>0</v>
          </cell>
          <cell r="AB4922" t="str">
            <v>line item not tagged</v>
          </cell>
        </row>
        <row r="4923">
          <cell r="W4923">
            <v>0</v>
          </cell>
          <cell r="AB4923" t="str">
            <v>line item not tagged</v>
          </cell>
        </row>
        <row r="4924">
          <cell r="W4924">
            <v>0</v>
          </cell>
          <cell r="AB4924" t="str">
            <v>line item not tagged</v>
          </cell>
        </row>
        <row r="4925">
          <cell r="W4925">
            <v>0</v>
          </cell>
          <cell r="AB4925" t="str">
            <v>line item not tagged</v>
          </cell>
        </row>
        <row r="4926">
          <cell r="W4926">
            <v>0</v>
          </cell>
          <cell r="AB4926" t="str">
            <v>line item not tagged</v>
          </cell>
        </row>
        <row r="4927">
          <cell r="W4927">
            <v>0</v>
          </cell>
          <cell r="AB4927" t="str">
            <v>line item not tagged</v>
          </cell>
        </row>
        <row r="4928">
          <cell r="W4928">
            <v>0</v>
          </cell>
          <cell r="AB4928" t="str">
            <v>line item not tagged</v>
          </cell>
        </row>
        <row r="4929">
          <cell r="W4929">
            <v>0</v>
          </cell>
          <cell r="AB4929" t="str">
            <v>line item not tagged</v>
          </cell>
        </row>
        <row r="4930">
          <cell r="W4930">
            <v>0</v>
          </cell>
          <cell r="AB4930" t="str">
            <v>line item not tagged</v>
          </cell>
        </row>
        <row r="4931">
          <cell r="W4931">
            <v>0</v>
          </cell>
          <cell r="AB4931" t="str">
            <v>line item not tagged</v>
          </cell>
        </row>
        <row r="4932">
          <cell r="W4932">
            <v>0</v>
          </cell>
          <cell r="AB4932" t="str">
            <v>line item not tagged</v>
          </cell>
        </row>
        <row r="4933">
          <cell r="W4933">
            <v>0</v>
          </cell>
          <cell r="AB4933" t="str">
            <v>line item not tagged</v>
          </cell>
        </row>
        <row r="4934">
          <cell r="W4934">
            <v>0</v>
          </cell>
          <cell r="AB4934" t="str">
            <v>line item not tagged</v>
          </cell>
        </row>
        <row r="4935">
          <cell r="W4935">
            <v>0</v>
          </cell>
          <cell r="AB4935" t="str">
            <v>line item not tagged</v>
          </cell>
        </row>
        <row r="4936">
          <cell r="W4936">
            <v>0</v>
          </cell>
          <cell r="AB4936" t="str">
            <v>line item not tagged</v>
          </cell>
        </row>
        <row r="4937">
          <cell r="W4937">
            <v>0</v>
          </cell>
          <cell r="AB4937" t="str">
            <v>line item not tagged</v>
          </cell>
        </row>
        <row r="4938">
          <cell r="W4938">
            <v>0</v>
          </cell>
          <cell r="AB4938" t="str">
            <v>line item not tagged</v>
          </cell>
        </row>
        <row r="4939">
          <cell r="W4939">
            <v>0</v>
          </cell>
          <cell r="AB4939" t="str">
            <v>line item not tagged</v>
          </cell>
        </row>
        <row r="4940">
          <cell r="W4940">
            <v>0</v>
          </cell>
          <cell r="AB4940" t="str">
            <v>line item not tagged</v>
          </cell>
        </row>
        <row r="4941">
          <cell r="W4941">
            <v>0</v>
          </cell>
          <cell r="AB4941" t="str">
            <v>line item not tagged</v>
          </cell>
        </row>
        <row r="4942">
          <cell r="W4942">
            <v>0</v>
          </cell>
          <cell r="AB4942" t="str">
            <v>line item not tagged</v>
          </cell>
        </row>
        <row r="4943">
          <cell r="W4943">
            <v>0</v>
          </cell>
          <cell r="AB4943" t="str">
            <v>line item not tagged</v>
          </cell>
        </row>
        <row r="4944">
          <cell r="W4944">
            <v>0</v>
          </cell>
          <cell r="AB4944" t="str">
            <v>line item not tagged</v>
          </cell>
        </row>
        <row r="4945">
          <cell r="W4945">
            <v>0</v>
          </cell>
          <cell r="AB4945" t="str">
            <v>line item not tagged</v>
          </cell>
        </row>
        <row r="4946">
          <cell r="W4946">
            <v>0</v>
          </cell>
          <cell r="AB4946" t="str">
            <v>line item not tagged</v>
          </cell>
        </row>
        <row r="4947">
          <cell r="W4947">
            <v>0</v>
          </cell>
          <cell r="AB4947" t="str">
            <v>line item not tagged</v>
          </cell>
        </row>
        <row r="4948">
          <cell r="W4948">
            <v>0</v>
          </cell>
          <cell r="AB4948" t="str">
            <v>line item not tagged</v>
          </cell>
        </row>
        <row r="4949">
          <cell r="W4949">
            <v>0</v>
          </cell>
          <cell r="AB4949" t="str">
            <v>line item not tagged</v>
          </cell>
        </row>
        <row r="4950">
          <cell r="W4950">
            <v>0</v>
          </cell>
          <cell r="AB4950" t="str">
            <v>line item not tagged</v>
          </cell>
        </row>
        <row r="4951">
          <cell r="W4951">
            <v>0</v>
          </cell>
          <cell r="AB4951" t="str">
            <v>line item not tagged</v>
          </cell>
        </row>
        <row r="4952">
          <cell r="W4952">
            <v>0</v>
          </cell>
          <cell r="AB4952" t="str">
            <v>line item not tagged</v>
          </cell>
        </row>
        <row r="4953">
          <cell r="W4953">
            <v>0</v>
          </cell>
          <cell r="AB4953" t="str">
            <v>line item not tagged</v>
          </cell>
        </row>
        <row r="4954">
          <cell r="W4954">
            <v>0</v>
          </cell>
          <cell r="AB4954" t="str">
            <v>line item not tagged</v>
          </cell>
        </row>
        <row r="4955">
          <cell r="W4955">
            <v>0</v>
          </cell>
          <cell r="AB4955" t="str">
            <v>line item not tagged</v>
          </cell>
        </row>
        <row r="4956">
          <cell r="W4956">
            <v>0</v>
          </cell>
          <cell r="AB4956" t="str">
            <v>line item not tagged</v>
          </cell>
        </row>
        <row r="4957">
          <cell r="W4957">
            <v>0</v>
          </cell>
          <cell r="AB4957" t="str">
            <v>line item not tagged</v>
          </cell>
        </row>
        <row r="4958">
          <cell r="W4958">
            <v>0</v>
          </cell>
          <cell r="AB4958" t="str">
            <v>line item not tagged</v>
          </cell>
        </row>
        <row r="4959">
          <cell r="W4959">
            <v>0</v>
          </cell>
          <cell r="AB4959" t="str">
            <v>line item not tagged</v>
          </cell>
        </row>
        <row r="4960">
          <cell r="W4960">
            <v>0</v>
          </cell>
          <cell r="AB4960" t="str">
            <v>line item not tagged</v>
          </cell>
        </row>
        <row r="4961">
          <cell r="W4961">
            <v>0</v>
          </cell>
          <cell r="AB4961" t="str">
            <v>line item not tagged</v>
          </cell>
        </row>
        <row r="4962">
          <cell r="W4962">
            <v>0</v>
          </cell>
          <cell r="AB4962" t="str">
            <v>line item not tagged</v>
          </cell>
        </row>
        <row r="4963">
          <cell r="W4963">
            <v>0</v>
          </cell>
          <cell r="AB4963" t="str">
            <v>line item not tagged</v>
          </cell>
        </row>
        <row r="4964">
          <cell r="W4964">
            <v>0</v>
          </cell>
          <cell r="AB4964" t="str">
            <v>line item not tagged</v>
          </cell>
        </row>
        <row r="4965">
          <cell r="W4965">
            <v>0</v>
          </cell>
          <cell r="AB4965" t="str">
            <v>line item not tagged</v>
          </cell>
        </row>
        <row r="4966">
          <cell r="W4966">
            <v>0</v>
          </cell>
          <cell r="AB4966" t="str">
            <v>line item not tagged</v>
          </cell>
        </row>
        <row r="4967">
          <cell r="W4967">
            <v>0</v>
          </cell>
          <cell r="AB4967" t="str">
            <v>line item not tagged</v>
          </cell>
        </row>
        <row r="4968">
          <cell r="W4968">
            <v>0</v>
          </cell>
          <cell r="AB4968" t="str">
            <v>line item not tagged</v>
          </cell>
        </row>
        <row r="4969">
          <cell r="W4969">
            <v>0</v>
          </cell>
          <cell r="AB4969" t="str">
            <v>line item not tagged</v>
          </cell>
        </row>
        <row r="4970">
          <cell r="W4970">
            <v>0</v>
          </cell>
          <cell r="AB4970" t="str">
            <v>line item not tagged</v>
          </cell>
        </row>
        <row r="4971">
          <cell r="W4971">
            <v>0</v>
          </cell>
          <cell r="AB4971" t="str">
            <v>line item not tagged</v>
          </cell>
        </row>
        <row r="4972">
          <cell r="W4972">
            <v>0</v>
          </cell>
          <cell r="AB4972" t="str">
            <v>line item not tagged</v>
          </cell>
        </row>
        <row r="4973">
          <cell r="W4973">
            <v>0</v>
          </cell>
          <cell r="AB4973" t="str">
            <v>line item not tagged</v>
          </cell>
        </row>
        <row r="4974">
          <cell r="W4974">
            <v>0</v>
          </cell>
          <cell r="AB4974" t="str">
            <v>line item not tagged</v>
          </cell>
        </row>
        <row r="4975">
          <cell r="W4975">
            <v>0</v>
          </cell>
          <cell r="AB4975" t="str">
            <v>line item not tagged</v>
          </cell>
        </row>
        <row r="4976">
          <cell r="W4976">
            <v>0</v>
          </cell>
          <cell r="AB4976" t="str">
            <v>line item not tagged</v>
          </cell>
        </row>
        <row r="4977">
          <cell r="W4977">
            <v>0</v>
          </cell>
          <cell r="AB4977" t="str">
            <v>line item not tagged</v>
          </cell>
        </row>
        <row r="4978">
          <cell r="W4978">
            <v>0</v>
          </cell>
          <cell r="AB4978" t="str">
            <v>line item not tagged</v>
          </cell>
        </row>
        <row r="4979">
          <cell r="W4979">
            <v>0</v>
          </cell>
          <cell r="AB4979" t="str">
            <v>line item not tagged</v>
          </cell>
        </row>
        <row r="4980">
          <cell r="W4980">
            <v>0</v>
          </cell>
          <cell r="AB4980" t="str">
            <v>line item not tagged</v>
          </cell>
        </row>
        <row r="4981">
          <cell r="W4981">
            <v>0</v>
          </cell>
          <cell r="AB4981" t="str">
            <v>line item not tagged</v>
          </cell>
        </row>
        <row r="4982">
          <cell r="W4982">
            <v>0</v>
          </cell>
          <cell r="AB4982" t="str">
            <v>line item not tagged</v>
          </cell>
        </row>
        <row r="4983">
          <cell r="W4983">
            <v>0</v>
          </cell>
          <cell r="AB4983" t="str">
            <v>line item not tagged</v>
          </cell>
        </row>
        <row r="4984">
          <cell r="W4984">
            <v>0</v>
          </cell>
          <cell r="AB4984" t="str">
            <v>line item not tagged</v>
          </cell>
        </row>
        <row r="4985">
          <cell r="W4985">
            <v>0</v>
          </cell>
          <cell r="AB4985" t="str">
            <v>line item not tagged</v>
          </cell>
        </row>
        <row r="4986">
          <cell r="W4986">
            <v>0</v>
          </cell>
          <cell r="AB4986" t="str">
            <v>line item not tagged</v>
          </cell>
        </row>
        <row r="4987">
          <cell r="W4987">
            <v>0</v>
          </cell>
          <cell r="AB4987" t="str">
            <v>line item not tagged</v>
          </cell>
        </row>
        <row r="4988">
          <cell r="W4988">
            <v>0</v>
          </cell>
          <cell r="AB4988" t="str">
            <v>line item not tagged</v>
          </cell>
        </row>
        <row r="4989">
          <cell r="W4989">
            <v>0</v>
          </cell>
          <cell r="AB4989" t="str">
            <v>line item not tagged</v>
          </cell>
        </row>
        <row r="4990">
          <cell r="W4990">
            <v>0</v>
          </cell>
          <cell r="AB4990" t="str">
            <v>line item not tagged</v>
          </cell>
        </row>
        <row r="4991">
          <cell r="W4991">
            <v>0</v>
          </cell>
          <cell r="AB4991" t="str">
            <v>line item not tagged</v>
          </cell>
        </row>
        <row r="4992">
          <cell r="W4992">
            <v>0</v>
          </cell>
          <cell r="AB4992" t="str">
            <v>line item not tagged</v>
          </cell>
        </row>
        <row r="4993">
          <cell r="W4993">
            <v>0</v>
          </cell>
          <cell r="AB4993" t="str">
            <v>line item not tagged</v>
          </cell>
        </row>
        <row r="4994">
          <cell r="W4994">
            <v>0</v>
          </cell>
          <cell r="AB4994" t="str">
            <v>line item not tagged</v>
          </cell>
        </row>
        <row r="4995">
          <cell r="W4995">
            <v>0</v>
          </cell>
          <cell r="AB4995" t="str">
            <v>line item not tagged</v>
          </cell>
        </row>
        <row r="4996">
          <cell r="W4996">
            <v>0</v>
          </cell>
          <cell r="AB4996" t="str">
            <v>line item not tagged</v>
          </cell>
        </row>
        <row r="4997">
          <cell r="W4997">
            <v>0</v>
          </cell>
          <cell r="AB4997" t="str">
            <v>line item not tagged</v>
          </cell>
        </row>
        <row r="4998">
          <cell r="W4998">
            <v>0</v>
          </cell>
          <cell r="AB4998" t="str">
            <v>line item not tagged</v>
          </cell>
        </row>
        <row r="4999">
          <cell r="W4999">
            <v>0</v>
          </cell>
          <cell r="AB4999" t="str">
            <v>line item not tagged</v>
          </cell>
        </row>
        <row r="5000">
          <cell r="W5000">
            <v>0</v>
          </cell>
          <cell r="AB5000" t="str">
            <v>line item not tagged</v>
          </cell>
        </row>
        <row r="5001">
          <cell r="W5001">
            <v>0</v>
          </cell>
          <cell r="AB5001" t="str">
            <v>line item not tagged</v>
          </cell>
        </row>
        <row r="5002">
          <cell r="W5002">
            <v>0</v>
          </cell>
          <cell r="AB5002" t="str">
            <v>line item not tagged</v>
          </cell>
        </row>
        <row r="5003">
          <cell r="W5003">
            <v>0</v>
          </cell>
          <cell r="AB5003" t="str">
            <v>line item not tagged</v>
          </cell>
        </row>
        <row r="5004">
          <cell r="W5004">
            <v>0</v>
          </cell>
          <cell r="AB5004" t="str">
            <v>line item not tagged</v>
          </cell>
        </row>
        <row r="5005">
          <cell r="W5005">
            <v>0</v>
          </cell>
          <cell r="AB5005" t="str">
            <v>line item not tagged</v>
          </cell>
        </row>
        <row r="5006">
          <cell r="W5006">
            <v>0</v>
          </cell>
          <cell r="AB5006" t="str">
            <v>line item not tagged</v>
          </cell>
        </row>
        <row r="5007">
          <cell r="W5007">
            <v>0</v>
          </cell>
          <cell r="AB5007" t="str">
            <v>line item not tagged</v>
          </cell>
        </row>
        <row r="5008">
          <cell r="W5008">
            <v>0</v>
          </cell>
          <cell r="AB5008" t="str">
            <v>line item not tagged</v>
          </cell>
        </row>
        <row r="5009">
          <cell r="W5009">
            <v>0</v>
          </cell>
          <cell r="AB5009" t="str">
            <v>line item not tagged</v>
          </cell>
        </row>
        <row r="5010">
          <cell r="W5010">
            <v>0</v>
          </cell>
          <cell r="AB5010" t="str">
            <v>line item not tagged</v>
          </cell>
        </row>
        <row r="5011">
          <cell r="W5011">
            <v>0</v>
          </cell>
          <cell r="AB5011" t="str">
            <v>line item not tagged</v>
          </cell>
        </row>
        <row r="5012">
          <cell r="W5012">
            <v>0</v>
          </cell>
          <cell r="AB5012" t="str">
            <v>line item not tagged</v>
          </cell>
        </row>
        <row r="5013">
          <cell r="W5013">
            <v>0</v>
          </cell>
          <cell r="AB5013" t="str">
            <v>line item not tagged</v>
          </cell>
        </row>
        <row r="5014">
          <cell r="W5014">
            <v>0</v>
          </cell>
          <cell r="AB5014" t="str">
            <v>line item not tagged</v>
          </cell>
        </row>
        <row r="5015">
          <cell r="W5015">
            <v>0</v>
          </cell>
          <cell r="AB5015" t="str">
            <v>line item not tagged</v>
          </cell>
        </row>
        <row r="5016">
          <cell r="W5016">
            <v>0</v>
          </cell>
          <cell r="AB5016" t="str">
            <v>line item not tagged</v>
          </cell>
        </row>
        <row r="5017">
          <cell r="W5017">
            <v>0</v>
          </cell>
          <cell r="AB5017" t="str">
            <v>line item not tagged</v>
          </cell>
        </row>
        <row r="5018">
          <cell r="W5018">
            <v>0</v>
          </cell>
          <cell r="AB5018" t="str">
            <v>line item not tagged</v>
          </cell>
        </row>
        <row r="5019">
          <cell r="W5019">
            <v>0</v>
          </cell>
          <cell r="AB5019" t="str">
            <v>line item not tagged</v>
          </cell>
        </row>
        <row r="5020">
          <cell r="W5020">
            <v>0</v>
          </cell>
          <cell r="AB5020" t="str">
            <v>line item not tagged</v>
          </cell>
        </row>
        <row r="5021">
          <cell r="W5021">
            <v>0</v>
          </cell>
          <cell r="AB5021" t="str">
            <v>line item not tagged</v>
          </cell>
        </row>
        <row r="5022">
          <cell r="W5022">
            <v>0</v>
          </cell>
          <cell r="AB5022" t="str">
            <v>line item not tagged</v>
          </cell>
        </row>
        <row r="5023">
          <cell r="W5023">
            <v>0</v>
          </cell>
          <cell r="AB5023" t="str">
            <v>line item not tagged</v>
          </cell>
        </row>
        <row r="5024">
          <cell r="W5024">
            <v>0</v>
          </cell>
          <cell r="AB5024" t="str">
            <v>line item not tagged</v>
          </cell>
        </row>
        <row r="5025">
          <cell r="W5025">
            <v>0</v>
          </cell>
          <cell r="AB5025" t="str">
            <v>line item not tagged</v>
          </cell>
        </row>
        <row r="5026">
          <cell r="W5026">
            <v>0</v>
          </cell>
          <cell r="AB5026" t="str">
            <v>line item not tagged</v>
          </cell>
        </row>
        <row r="5027">
          <cell r="W5027">
            <v>0</v>
          </cell>
          <cell r="AB5027" t="str">
            <v>line item not tagged</v>
          </cell>
        </row>
        <row r="5028">
          <cell r="W5028">
            <v>0</v>
          </cell>
          <cell r="AB5028" t="str">
            <v>line item not tagged</v>
          </cell>
        </row>
        <row r="5029">
          <cell r="W5029">
            <v>0</v>
          </cell>
          <cell r="AB5029" t="str">
            <v>line item not tagged</v>
          </cell>
        </row>
        <row r="5030">
          <cell r="W5030">
            <v>0</v>
          </cell>
          <cell r="AB5030" t="str">
            <v>line item not tagged</v>
          </cell>
        </row>
        <row r="5031">
          <cell r="W5031">
            <v>0</v>
          </cell>
          <cell r="AB5031" t="str">
            <v>line item not tagged</v>
          </cell>
        </row>
        <row r="5032">
          <cell r="W5032">
            <v>0</v>
          </cell>
          <cell r="AB5032" t="str">
            <v>line item not tagged</v>
          </cell>
        </row>
        <row r="5033">
          <cell r="W5033">
            <v>0</v>
          </cell>
          <cell r="AB5033" t="str">
            <v>line item not tagged</v>
          </cell>
        </row>
        <row r="5034">
          <cell r="W5034">
            <v>0</v>
          </cell>
          <cell r="AB5034" t="str">
            <v>line item not tagged</v>
          </cell>
        </row>
        <row r="5035">
          <cell r="W5035">
            <v>0</v>
          </cell>
          <cell r="AB5035" t="str">
            <v>line item not tagged</v>
          </cell>
        </row>
        <row r="5036">
          <cell r="W5036">
            <v>0</v>
          </cell>
          <cell r="AB5036" t="str">
            <v>line item not tagged</v>
          </cell>
        </row>
        <row r="5037">
          <cell r="W5037">
            <v>0</v>
          </cell>
          <cell r="AB5037" t="str">
            <v>line item not tagged</v>
          </cell>
        </row>
        <row r="5038">
          <cell r="W5038">
            <v>0</v>
          </cell>
          <cell r="AB5038" t="str">
            <v>line item not tagged</v>
          </cell>
        </row>
        <row r="5039">
          <cell r="W5039">
            <v>0</v>
          </cell>
          <cell r="AB5039" t="str">
            <v>line item not tagged</v>
          </cell>
        </row>
        <row r="5040">
          <cell r="W5040">
            <v>0</v>
          </cell>
          <cell r="AB5040" t="str">
            <v>line item not tagged</v>
          </cell>
        </row>
        <row r="5041">
          <cell r="W5041">
            <v>0</v>
          </cell>
          <cell r="AB5041" t="str">
            <v>line item not tagged</v>
          </cell>
        </row>
        <row r="5042">
          <cell r="W5042">
            <v>0</v>
          </cell>
          <cell r="AB5042" t="str">
            <v>line item not tagged</v>
          </cell>
        </row>
        <row r="5043">
          <cell r="W5043">
            <v>0</v>
          </cell>
          <cell r="AB5043" t="str">
            <v>line item not tagged</v>
          </cell>
        </row>
        <row r="5044">
          <cell r="W5044">
            <v>0</v>
          </cell>
          <cell r="AB5044" t="str">
            <v>line item not tagged</v>
          </cell>
        </row>
        <row r="5045">
          <cell r="W5045">
            <v>0</v>
          </cell>
          <cell r="AB5045" t="str">
            <v>line item not tagged</v>
          </cell>
        </row>
        <row r="5046">
          <cell r="W5046">
            <v>0</v>
          </cell>
          <cell r="AB5046" t="str">
            <v>line item not tagged</v>
          </cell>
        </row>
        <row r="5047">
          <cell r="W5047">
            <v>0</v>
          </cell>
          <cell r="AB5047" t="str">
            <v>line item not tagged</v>
          </cell>
        </row>
        <row r="5048">
          <cell r="W5048">
            <v>0</v>
          </cell>
          <cell r="AB5048" t="str">
            <v>line item not tagged</v>
          </cell>
        </row>
        <row r="5049">
          <cell r="W5049">
            <v>0</v>
          </cell>
          <cell r="AB5049" t="str">
            <v>line item not tagged</v>
          </cell>
        </row>
        <row r="5050">
          <cell r="W5050">
            <v>0</v>
          </cell>
          <cell r="AB5050" t="str">
            <v>line item not tagged</v>
          </cell>
        </row>
        <row r="5051">
          <cell r="W5051">
            <v>0</v>
          </cell>
          <cell r="AB5051" t="str">
            <v>line item not tagged</v>
          </cell>
        </row>
        <row r="5052">
          <cell r="W5052">
            <v>0</v>
          </cell>
          <cell r="AB5052" t="str">
            <v>line item not tagged</v>
          </cell>
        </row>
        <row r="5053">
          <cell r="W5053">
            <v>0</v>
          </cell>
          <cell r="AB5053" t="str">
            <v>line item not tagged</v>
          </cell>
        </row>
        <row r="5054">
          <cell r="W5054">
            <v>0</v>
          </cell>
          <cell r="AB5054" t="str">
            <v>line item not tagged</v>
          </cell>
        </row>
        <row r="5055">
          <cell r="W5055">
            <v>0</v>
          </cell>
          <cell r="AB5055" t="str">
            <v>line item not tagged</v>
          </cell>
        </row>
        <row r="5056">
          <cell r="W5056">
            <v>0</v>
          </cell>
          <cell r="AB5056" t="str">
            <v>line item not tagged</v>
          </cell>
        </row>
        <row r="5057">
          <cell r="W5057">
            <v>0</v>
          </cell>
          <cell r="AB5057" t="str">
            <v>line item not tagged</v>
          </cell>
        </row>
        <row r="5058">
          <cell r="W5058">
            <v>0</v>
          </cell>
          <cell r="AB5058" t="str">
            <v>line item not tagged</v>
          </cell>
        </row>
        <row r="5059">
          <cell r="W5059">
            <v>0</v>
          </cell>
          <cell r="AB5059" t="str">
            <v>line item not tagged</v>
          </cell>
        </row>
        <row r="5060">
          <cell r="W5060">
            <v>0</v>
          </cell>
          <cell r="AB5060" t="str">
            <v>line item not tagged</v>
          </cell>
        </row>
        <row r="5061">
          <cell r="W5061">
            <v>0</v>
          </cell>
          <cell r="AB5061" t="str">
            <v>line item not tagged</v>
          </cell>
        </row>
        <row r="5062">
          <cell r="W5062">
            <v>0</v>
          </cell>
          <cell r="AB5062" t="str">
            <v>line item not tagged</v>
          </cell>
        </row>
        <row r="5063">
          <cell r="W5063">
            <v>0</v>
          </cell>
          <cell r="AB5063" t="str">
            <v>line item not tagged</v>
          </cell>
        </row>
        <row r="5064">
          <cell r="W5064">
            <v>0</v>
          </cell>
          <cell r="AB5064" t="str">
            <v>line item not tagged</v>
          </cell>
        </row>
        <row r="5065">
          <cell r="W5065">
            <v>0</v>
          </cell>
          <cell r="AB5065" t="str">
            <v>line item not tagged</v>
          </cell>
        </row>
        <row r="5066">
          <cell r="W5066">
            <v>0</v>
          </cell>
          <cell r="AB5066" t="str">
            <v>line item not tagged</v>
          </cell>
        </row>
        <row r="5067">
          <cell r="W5067">
            <v>0</v>
          </cell>
          <cell r="AB5067" t="str">
            <v>line item not tagged</v>
          </cell>
        </row>
        <row r="5068">
          <cell r="W5068">
            <v>0</v>
          </cell>
          <cell r="AB5068" t="str">
            <v>line item not tagged</v>
          </cell>
        </row>
        <row r="5069">
          <cell r="W5069">
            <v>0</v>
          </cell>
          <cell r="AB5069" t="str">
            <v>line item not tagged</v>
          </cell>
        </row>
        <row r="5070">
          <cell r="W5070">
            <v>0</v>
          </cell>
          <cell r="AB5070" t="str">
            <v>line item not tagged</v>
          </cell>
        </row>
        <row r="5071">
          <cell r="W5071">
            <v>0</v>
          </cell>
          <cell r="AB5071" t="str">
            <v>line item not tagged</v>
          </cell>
        </row>
        <row r="5072">
          <cell r="W5072">
            <v>0</v>
          </cell>
          <cell r="AB5072" t="str">
            <v>line item not tagged</v>
          </cell>
        </row>
        <row r="5073">
          <cell r="W5073">
            <v>0</v>
          </cell>
          <cell r="AB5073" t="str">
            <v>line item not tagged</v>
          </cell>
        </row>
        <row r="5074">
          <cell r="W5074">
            <v>0</v>
          </cell>
          <cell r="AB5074" t="str">
            <v>line item not tagged</v>
          </cell>
        </row>
        <row r="5075">
          <cell r="W5075">
            <v>0</v>
          </cell>
          <cell r="AB5075" t="str">
            <v>line item not tagged</v>
          </cell>
        </row>
        <row r="5076">
          <cell r="W5076">
            <v>0</v>
          </cell>
          <cell r="AB5076" t="str">
            <v>line item not tagged</v>
          </cell>
        </row>
        <row r="5077">
          <cell r="W5077">
            <v>0</v>
          </cell>
          <cell r="AB5077" t="str">
            <v>line item not tagged</v>
          </cell>
        </row>
        <row r="5078">
          <cell r="W5078">
            <v>0</v>
          </cell>
          <cell r="AB5078" t="str">
            <v>line item not tagged</v>
          </cell>
        </row>
        <row r="5079">
          <cell r="W5079">
            <v>0</v>
          </cell>
          <cell r="AB5079" t="str">
            <v>line item not tagged</v>
          </cell>
        </row>
        <row r="5080">
          <cell r="W5080">
            <v>0</v>
          </cell>
          <cell r="AB5080" t="str">
            <v>line item not tagged</v>
          </cell>
        </row>
        <row r="5081">
          <cell r="W5081">
            <v>0</v>
          </cell>
          <cell r="AB5081" t="str">
            <v>line item not tagged</v>
          </cell>
        </row>
        <row r="5082">
          <cell r="W5082">
            <v>0</v>
          </cell>
          <cell r="AB5082" t="str">
            <v>line item not tagged</v>
          </cell>
        </row>
        <row r="5083">
          <cell r="W5083">
            <v>0</v>
          </cell>
          <cell r="AB5083" t="str">
            <v>line item not tagged</v>
          </cell>
        </row>
        <row r="5084">
          <cell r="W5084">
            <v>0</v>
          </cell>
          <cell r="AB5084" t="str">
            <v>line item not tagged</v>
          </cell>
        </row>
        <row r="5085">
          <cell r="W5085">
            <v>0</v>
          </cell>
          <cell r="AB5085" t="str">
            <v>line item not tagged</v>
          </cell>
        </row>
        <row r="5086">
          <cell r="W5086">
            <v>0</v>
          </cell>
          <cell r="AB5086" t="str">
            <v>line item not tagged</v>
          </cell>
        </row>
        <row r="5087">
          <cell r="W5087">
            <v>0</v>
          </cell>
          <cell r="AB5087" t="str">
            <v>line item not tagged</v>
          </cell>
        </row>
        <row r="5088">
          <cell r="W5088">
            <v>0</v>
          </cell>
          <cell r="AB5088" t="str">
            <v>line item not tagged</v>
          </cell>
        </row>
        <row r="5089">
          <cell r="W5089">
            <v>0</v>
          </cell>
          <cell r="AB5089" t="str">
            <v>line item not tagged</v>
          </cell>
        </row>
        <row r="5090">
          <cell r="W5090">
            <v>0</v>
          </cell>
          <cell r="AB5090" t="str">
            <v>line item not tagged</v>
          </cell>
        </row>
        <row r="5091">
          <cell r="W5091">
            <v>0</v>
          </cell>
          <cell r="AB5091" t="str">
            <v>line item not tagged</v>
          </cell>
        </row>
        <row r="5092">
          <cell r="W5092">
            <v>0</v>
          </cell>
          <cell r="AB5092" t="str">
            <v>line item not tagged</v>
          </cell>
        </row>
        <row r="5093">
          <cell r="W5093">
            <v>0</v>
          </cell>
          <cell r="AB5093" t="str">
            <v>line item not tagged</v>
          </cell>
        </row>
        <row r="5094">
          <cell r="W5094">
            <v>0</v>
          </cell>
          <cell r="AB5094" t="str">
            <v>line item not tagged</v>
          </cell>
        </row>
        <row r="5095">
          <cell r="W5095">
            <v>0</v>
          </cell>
          <cell r="AB5095" t="str">
            <v>line item not tagged</v>
          </cell>
        </row>
        <row r="5096">
          <cell r="W5096">
            <v>0</v>
          </cell>
          <cell r="AB5096" t="str">
            <v>line item not tagged</v>
          </cell>
        </row>
        <row r="5097">
          <cell r="W5097">
            <v>0</v>
          </cell>
          <cell r="AB5097" t="str">
            <v>line item not tagged</v>
          </cell>
        </row>
        <row r="5098">
          <cell r="W5098">
            <v>0</v>
          </cell>
          <cell r="AB5098" t="str">
            <v>line item not tagged</v>
          </cell>
        </row>
        <row r="5099">
          <cell r="W5099">
            <v>0</v>
          </cell>
          <cell r="AB5099" t="str">
            <v>line item not tagged</v>
          </cell>
        </row>
        <row r="5100">
          <cell r="W5100">
            <v>0</v>
          </cell>
          <cell r="AB5100" t="str">
            <v>line item not tagged</v>
          </cell>
        </row>
        <row r="5101">
          <cell r="W5101">
            <v>0</v>
          </cell>
          <cell r="AB5101" t="str">
            <v>line item not tagged</v>
          </cell>
        </row>
        <row r="5102">
          <cell r="W5102">
            <v>0</v>
          </cell>
          <cell r="AB5102" t="str">
            <v>line item not tagged</v>
          </cell>
        </row>
        <row r="5103">
          <cell r="W5103">
            <v>0</v>
          </cell>
          <cell r="AB5103" t="str">
            <v>line item not tagged</v>
          </cell>
        </row>
        <row r="5104">
          <cell r="W5104">
            <v>0</v>
          </cell>
          <cell r="AB5104" t="str">
            <v>line item not tagged</v>
          </cell>
        </row>
        <row r="5105">
          <cell r="W5105">
            <v>0</v>
          </cell>
          <cell r="AB5105" t="str">
            <v>line item not tagged</v>
          </cell>
        </row>
        <row r="5106">
          <cell r="W5106">
            <v>0</v>
          </cell>
          <cell r="AB5106" t="str">
            <v>line item not tagged</v>
          </cell>
        </row>
        <row r="5107">
          <cell r="W5107">
            <v>0</v>
          </cell>
          <cell r="AB5107" t="str">
            <v>line item not tagged</v>
          </cell>
        </row>
        <row r="5108">
          <cell r="W5108">
            <v>0</v>
          </cell>
          <cell r="AB5108" t="str">
            <v>line item not tagged</v>
          </cell>
        </row>
        <row r="5109">
          <cell r="W5109">
            <v>0</v>
          </cell>
          <cell r="AB5109" t="str">
            <v>line item not tagged</v>
          </cell>
        </row>
        <row r="5110">
          <cell r="W5110">
            <v>0</v>
          </cell>
          <cell r="AB5110" t="str">
            <v>line item not tagged</v>
          </cell>
        </row>
        <row r="5111">
          <cell r="W5111">
            <v>0</v>
          </cell>
          <cell r="AB5111" t="str">
            <v>line item not tagged</v>
          </cell>
        </row>
        <row r="5112">
          <cell r="W5112">
            <v>0</v>
          </cell>
          <cell r="AB5112" t="str">
            <v>line item not tagged</v>
          </cell>
        </row>
        <row r="5113">
          <cell r="W5113">
            <v>0</v>
          </cell>
          <cell r="AB5113" t="str">
            <v>line item not tagged</v>
          </cell>
        </row>
        <row r="5114">
          <cell r="W5114">
            <v>0</v>
          </cell>
          <cell r="AB5114" t="str">
            <v>line item not tagged</v>
          </cell>
        </row>
        <row r="5115">
          <cell r="W5115">
            <v>0</v>
          </cell>
          <cell r="AB5115" t="str">
            <v>line item not tagged</v>
          </cell>
        </row>
        <row r="5116">
          <cell r="W5116">
            <v>0</v>
          </cell>
          <cell r="AB5116" t="str">
            <v>line item not tagged</v>
          </cell>
        </row>
        <row r="5117">
          <cell r="W5117">
            <v>0</v>
          </cell>
          <cell r="AB5117" t="str">
            <v>line item not tagged</v>
          </cell>
        </row>
        <row r="5118">
          <cell r="W5118">
            <v>0</v>
          </cell>
          <cell r="AB5118" t="str">
            <v>line item not tagged</v>
          </cell>
        </row>
        <row r="5119">
          <cell r="W5119">
            <v>0</v>
          </cell>
          <cell r="AB5119" t="str">
            <v>line item not tagged</v>
          </cell>
        </row>
        <row r="5120">
          <cell r="W5120">
            <v>0</v>
          </cell>
          <cell r="AB5120" t="str">
            <v>line item not tagged</v>
          </cell>
        </row>
        <row r="5121">
          <cell r="W5121">
            <v>0</v>
          </cell>
          <cell r="AB5121" t="str">
            <v>line item not tagged</v>
          </cell>
        </row>
        <row r="5122">
          <cell r="W5122">
            <v>0</v>
          </cell>
          <cell r="AB5122" t="str">
            <v>line item not tagged</v>
          </cell>
        </row>
        <row r="5123">
          <cell r="W5123">
            <v>0</v>
          </cell>
          <cell r="AB5123" t="str">
            <v>line item not tagged</v>
          </cell>
        </row>
        <row r="5124">
          <cell r="W5124">
            <v>0</v>
          </cell>
          <cell r="AB5124" t="str">
            <v>line item not tagged</v>
          </cell>
        </row>
        <row r="5125">
          <cell r="W5125">
            <v>0</v>
          </cell>
          <cell r="AB5125" t="str">
            <v>line item not tagged</v>
          </cell>
        </row>
        <row r="5126">
          <cell r="W5126">
            <v>0</v>
          </cell>
          <cell r="AB5126" t="str">
            <v>line item not tagged</v>
          </cell>
        </row>
        <row r="5127">
          <cell r="W5127">
            <v>0</v>
          </cell>
          <cell r="AB5127" t="str">
            <v>line item not tagged</v>
          </cell>
        </row>
        <row r="5128">
          <cell r="W5128">
            <v>0</v>
          </cell>
          <cell r="AB5128" t="str">
            <v>line item not tagged</v>
          </cell>
        </row>
        <row r="5129">
          <cell r="W5129">
            <v>0</v>
          </cell>
          <cell r="AB5129" t="str">
            <v>line item not tagged</v>
          </cell>
        </row>
        <row r="5130">
          <cell r="W5130">
            <v>0</v>
          </cell>
          <cell r="AB5130" t="str">
            <v>line item not tagged</v>
          </cell>
        </row>
        <row r="5131">
          <cell r="W5131">
            <v>0</v>
          </cell>
          <cell r="AB5131" t="str">
            <v>line item not tagged</v>
          </cell>
        </row>
        <row r="5132">
          <cell r="W5132">
            <v>0</v>
          </cell>
          <cell r="AB5132" t="str">
            <v>line item not tagged</v>
          </cell>
        </row>
        <row r="5133">
          <cell r="W5133">
            <v>0</v>
          </cell>
          <cell r="AB5133" t="str">
            <v>line item not tagged</v>
          </cell>
        </row>
        <row r="5134">
          <cell r="W5134">
            <v>0</v>
          </cell>
          <cell r="AB5134" t="str">
            <v>line item not tagged</v>
          </cell>
        </row>
        <row r="5135">
          <cell r="W5135">
            <v>0</v>
          </cell>
          <cell r="AB5135" t="str">
            <v>line item not tagged</v>
          </cell>
        </row>
        <row r="5136">
          <cell r="W5136">
            <v>0</v>
          </cell>
          <cell r="AB5136" t="str">
            <v>line item not tagged</v>
          </cell>
        </row>
        <row r="5137">
          <cell r="W5137">
            <v>0</v>
          </cell>
          <cell r="AB5137" t="str">
            <v>line item not tagged</v>
          </cell>
        </row>
        <row r="5138">
          <cell r="W5138">
            <v>0</v>
          </cell>
          <cell r="AB5138" t="str">
            <v>line item not tagged</v>
          </cell>
        </row>
        <row r="5139">
          <cell r="W5139">
            <v>0</v>
          </cell>
          <cell r="AB5139" t="str">
            <v>line item not tagged</v>
          </cell>
        </row>
        <row r="5140">
          <cell r="W5140">
            <v>0</v>
          </cell>
          <cell r="AB5140" t="str">
            <v>line item not tagged</v>
          </cell>
        </row>
        <row r="5141">
          <cell r="W5141">
            <v>0</v>
          </cell>
          <cell r="AB5141" t="str">
            <v>line item not tagged</v>
          </cell>
        </row>
        <row r="5142">
          <cell r="W5142">
            <v>0</v>
          </cell>
          <cell r="AB5142" t="str">
            <v>line item not tagged</v>
          </cell>
        </row>
        <row r="5143">
          <cell r="W5143">
            <v>0</v>
          </cell>
          <cell r="AB5143" t="str">
            <v>line item not tagged</v>
          </cell>
        </row>
        <row r="5144">
          <cell r="W5144">
            <v>0</v>
          </cell>
          <cell r="AB5144" t="str">
            <v>line item not tagged</v>
          </cell>
        </row>
        <row r="5145">
          <cell r="W5145">
            <v>0</v>
          </cell>
          <cell r="AB5145" t="str">
            <v>line item not tagged</v>
          </cell>
        </row>
        <row r="5146">
          <cell r="W5146">
            <v>0</v>
          </cell>
          <cell r="AB5146" t="str">
            <v>line item not tagged</v>
          </cell>
        </row>
        <row r="5147">
          <cell r="W5147">
            <v>0</v>
          </cell>
          <cell r="AB5147" t="str">
            <v>line item not tagged</v>
          </cell>
        </row>
        <row r="5148">
          <cell r="W5148">
            <v>0</v>
          </cell>
          <cell r="AB5148" t="str">
            <v>line item not tagged</v>
          </cell>
        </row>
        <row r="5149">
          <cell r="W5149">
            <v>0</v>
          </cell>
          <cell r="AB5149" t="str">
            <v>line item not tagged</v>
          </cell>
        </row>
        <row r="5150">
          <cell r="W5150">
            <v>0</v>
          </cell>
          <cell r="AB5150" t="str">
            <v>line item not tagged</v>
          </cell>
        </row>
        <row r="5151">
          <cell r="W5151">
            <v>0</v>
          </cell>
          <cell r="AB5151" t="str">
            <v>line item not tagged</v>
          </cell>
        </row>
        <row r="5152">
          <cell r="W5152">
            <v>0</v>
          </cell>
          <cell r="AB5152" t="str">
            <v>line item not tagged</v>
          </cell>
        </row>
        <row r="5153">
          <cell r="W5153">
            <v>0</v>
          </cell>
          <cell r="AB5153" t="str">
            <v>line item not tagged</v>
          </cell>
        </row>
        <row r="5154">
          <cell r="W5154">
            <v>0</v>
          </cell>
          <cell r="AB5154" t="str">
            <v>line item not tagged</v>
          </cell>
        </row>
        <row r="5155">
          <cell r="W5155">
            <v>0</v>
          </cell>
          <cell r="AB5155" t="str">
            <v>line item not tagged</v>
          </cell>
        </row>
        <row r="5156">
          <cell r="W5156">
            <v>0</v>
          </cell>
          <cell r="AB5156" t="str">
            <v>line item not tagged</v>
          </cell>
        </row>
        <row r="5157">
          <cell r="W5157">
            <v>0</v>
          </cell>
          <cell r="AB5157" t="str">
            <v>line item not tagged</v>
          </cell>
        </row>
        <row r="5158">
          <cell r="W5158">
            <v>0</v>
          </cell>
          <cell r="AB5158" t="str">
            <v>line item not tagged</v>
          </cell>
        </row>
        <row r="5159">
          <cell r="W5159">
            <v>0</v>
          </cell>
          <cell r="AB5159" t="str">
            <v>line item not tagged</v>
          </cell>
        </row>
        <row r="5160">
          <cell r="W5160">
            <v>0</v>
          </cell>
          <cell r="AB5160" t="str">
            <v>line item not tagged</v>
          </cell>
        </row>
        <row r="5161">
          <cell r="W5161">
            <v>0</v>
          </cell>
          <cell r="AB5161" t="str">
            <v>line item not tagged</v>
          </cell>
        </row>
        <row r="5162">
          <cell r="W5162">
            <v>0</v>
          </cell>
          <cell r="AB5162" t="str">
            <v>line item not tagged</v>
          </cell>
        </row>
        <row r="5163">
          <cell r="W5163">
            <v>0</v>
          </cell>
          <cell r="AB5163" t="str">
            <v>line item not tagged</v>
          </cell>
        </row>
        <row r="5164">
          <cell r="W5164">
            <v>0</v>
          </cell>
          <cell r="AB5164" t="str">
            <v>line item not tagged</v>
          </cell>
        </row>
        <row r="5165">
          <cell r="W5165">
            <v>0</v>
          </cell>
          <cell r="AB5165" t="str">
            <v>line item not tagged</v>
          </cell>
        </row>
        <row r="5166">
          <cell r="W5166">
            <v>0</v>
          </cell>
          <cell r="AB5166" t="str">
            <v>line item not tagged</v>
          </cell>
        </row>
        <row r="5167">
          <cell r="W5167">
            <v>0</v>
          </cell>
          <cell r="AB5167" t="str">
            <v>line item not tagged</v>
          </cell>
        </row>
        <row r="5168">
          <cell r="W5168">
            <v>0</v>
          </cell>
          <cell r="AB5168" t="str">
            <v>line item not tagged</v>
          </cell>
        </row>
        <row r="5169">
          <cell r="W5169">
            <v>0</v>
          </cell>
          <cell r="AB5169" t="str">
            <v>line item not tagged</v>
          </cell>
        </row>
        <row r="5170">
          <cell r="W5170">
            <v>0</v>
          </cell>
          <cell r="AB5170" t="str">
            <v>line item not tagged</v>
          </cell>
        </row>
        <row r="5171">
          <cell r="W5171">
            <v>0</v>
          </cell>
          <cell r="AB5171" t="str">
            <v>line item not tagged</v>
          </cell>
        </row>
        <row r="5172">
          <cell r="W5172">
            <v>0</v>
          </cell>
          <cell r="AB5172" t="str">
            <v>line item not tagged</v>
          </cell>
        </row>
        <row r="5173">
          <cell r="W5173">
            <v>0</v>
          </cell>
          <cell r="AB5173" t="str">
            <v>line item not tagged</v>
          </cell>
        </row>
        <row r="5174">
          <cell r="W5174">
            <v>0</v>
          </cell>
          <cell r="AB5174" t="str">
            <v>line item not tagged</v>
          </cell>
        </row>
        <row r="5175">
          <cell r="W5175">
            <v>0</v>
          </cell>
          <cell r="AB5175" t="str">
            <v>line item not tagged</v>
          </cell>
        </row>
        <row r="5176">
          <cell r="W5176">
            <v>0</v>
          </cell>
          <cell r="AB5176" t="str">
            <v>line item not tagged</v>
          </cell>
        </row>
        <row r="5177">
          <cell r="W5177">
            <v>0</v>
          </cell>
          <cell r="AB5177" t="str">
            <v>line item not tagged</v>
          </cell>
        </row>
        <row r="5178">
          <cell r="W5178">
            <v>0</v>
          </cell>
          <cell r="AB5178" t="str">
            <v>line item not tagged</v>
          </cell>
        </row>
        <row r="5179">
          <cell r="W5179">
            <v>0</v>
          </cell>
          <cell r="AB5179" t="str">
            <v>line item not tagged</v>
          </cell>
        </row>
        <row r="5180">
          <cell r="W5180">
            <v>0</v>
          </cell>
          <cell r="AB5180" t="str">
            <v>line item not tagged</v>
          </cell>
        </row>
        <row r="5181">
          <cell r="W5181">
            <v>0</v>
          </cell>
          <cell r="AB5181" t="str">
            <v>line item not tagged</v>
          </cell>
        </row>
        <row r="5182">
          <cell r="W5182">
            <v>0</v>
          </cell>
          <cell r="AB5182" t="str">
            <v>line item not tagged</v>
          </cell>
        </row>
        <row r="5183">
          <cell r="W5183">
            <v>0</v>
          </cell>
          <cell r="AB5183" t="str">
            <v>line item not tagged</v>
          </cell>
        </row>
        <row r="5184">
          <cell r="W5184">
            <v>0</v>
          </cell>
          <cell r="AB5184" t="str">
            <v>line item not tagged</v>
          </cell>
        </row>
        <row r="5185">
          <cell r="W5185">
            <v>0</v>
          </cell>
          <cell r="AB5185" t="str">
            <v>line item not tagged</v>
          </cell>
        </row>
        <row r="5186">
          <cell r="W5186">
            <v>0</v>
          </cell>
          <cell r="AB5186" t="str">
            <v>line item not tagged</v>
          </cell>
        </row>
        <row r="5187">
          <cell r="W5187">
            <v>0</v>
          </cell>
          <cell r="AB5187" t="str">
            <v>line item not tagged</v>
          </cell>
        </row>
        <row r="5188">
          <cell r="W5188">
            <v>0</v>
          </cell>
          <cell r="AB5188" t="str">
            <v>line item not tagged</v>
          </cell>
        </row>
        <row r="5189">
          <cell r="W5189">
            <v>0</v>
          </cell>
          <cell r="AB5189" t="str">
            <v>line item not tagged</v>
          </cell>
        </row>
        <row r="5190">
          <cell r="W5190">
            <v>0</v>
          </cell>
          <cell r="AB5190" t="str">
            <v>line item not tagged</v>
          </cell>
        </row>
        <row r="5191">
          <cell r="W5191">
            <v>0</v>
          </cell>
          <cell r="AB5191" t="str">
            <v>line item not tagged</v>
          </cell>
        </row>
        <row r="5192">
          <cell r="W5192">
            <v>0</v>
          </cell>
          <cell r="AB5192" t="str">
            <v>line item not tagged</v>
          </cell>
        </row>
        <row r="5193">
          <cell r="W5193">
            <v>0</v>
          </cell>
          <cell r="AB5193" t="str">
            <v>line item not tagged</v>
          </cell>
        </row>
        <row r="5194">
          <cell r="W5194">
            <v>0</v>
          </cell>
          <cell r="AB5194" t="str">
            <v>line item not tagged</v>
          </cell>
        </row>
        <row r="5195">
          <cell r="W5195">
            <v>0</v>
          </cell>
          <cell r="AB5195" t="str">
            <v>line item not tagged</v>
          </cell>
        </row>
        <row r="5196">
          <cell r="W5196">
            <v>0</v>
          </cell>
          <cell r="AB5196" t="str">
            <v>line item not tagged</v>
          </cell>
        </row>
        <row r="5197">
          <cell r="W5197">
            <v>0</v>
          </cell>
          <cell r="AB5197" t="str">
            <v>line item not tagged</v>
          </cell>
        </row>
        <row r="5198">
          <cell r="W5198">
            <v>0</v>
          </cell>
          <cell r="AB5198" t="str">
            <v>line item not tagged</v>
          </cell>
        </row>
        <row r="5199">
          <cell r="W5199">
            <v>0</v>
          </cell>
          <cell r="AB5199" t="str">
            <v>line item not tagged</v>
          </cell>
        </row>
        <row r="5200">
          <cell r="W5200">
            <v>0</v>
          </cell>
          <cell r="AB5200" t="str">
            <v>line item not tagged</v>
          </cell>
        </row>
        <row r="5201">
          <cell r="W5201">
            <v>0</v>
          </cell>
          <cell r="AB5201" t="str">
            <v>line item not tagged</v>
          </cell>
        </row>
        <row r="5202">
          <cell r="W5202">
            <v>0</v>
          </cell>
          <cell r="AB5202" t="str">
            <v>line item not tagged</v>
          </cell>
        </row>
        <row r="5203">
          <cell r="W5203">
            <v>0</v>
          </cell>
          <cell r="AB5203" t="str">
            <v>line item not tagged</v>
          </cell>
        </row>
        <row r="5204">
          <cell r="W5204">
            <v>0</v>
          </cell>
          <cell r="AB5204" t="str">
            <v>line item not tagged</v>
          </cell>
        </row>
        <row r="5205">
          <cell r="W5205">
            <v>0</v>
          </cell>
          <cell r="AB5205" t="str">
            <v>line item not tagged</v>
          </cell>
        </row>
        <row r="5206">
          <cell r="W5206">
            <v>0</v>
          </cell>
          <cell r="AB5206" t="str">
            <v>line item not tagged</v>
          </cell>
        </row>
        <row r="5207">
          <cell r="W5207">
            <v>0</v>
          </cell>
          <cell r="AB5207" t="str">
            <v>line item not tagged</v>
          </cell>
        </row>
        <row r="5208">
          <cell r="W5208">
            <v>0</v>
          </cell>
          <cell r="AB5208" t="str">
            <v>line item not tagged</v>
          </cell>
        </row>
        <row r="5209">
          <cell r="W5209">
            <v>0</v>
          </cell>
          <cell r="AB5209" t="str">
            <v>line item not tagged</v>
          </cell>
        </row>
        <row r="5210">
          <cell r="W5210">
            <v>0</v>
          </cell>
          <cell r="AB5210" t="str">
            <v>line item not tagged</v>
          </cell>
        </row>
        <row r="5211">
          <cell r="W5211">
            <v>0</v>
          </cell>
          <cell r="AB5211" t="str">
            <v>line item not tagged</v>
          </cell>
        </row>
        <row r="5212">
          <cell r="W5212">
            <v>0</v>
          </cell>
          <cell r="AB5212" t="str">
            <v>line item not tagged</v>
          </cell>
        </row>
        <row r="5213">
          <cell r="W5213">
            <v>0</v>
          </cell>
          <cell r="AB5213" t="str">
            <v>line item not tagged</v>
          </cell>
        </row>
        <row r="5214">
          <cell r="W5214">
            <v>0</v>
          </cell>
          <cell r="AB5214" t="str">
            <v>line item not tagged</v>
          </cell>
        </row>
        <row r="5215">
          <cell r="W5215">
            <v>0</v>
          </cell>
          <cell r="AB5215" t="str">
            <v>line item not tagged</v>
          </cell>
        </row>
        <row r="5216">
          <cell r="W5216">
            <v>0</v>
          </cell>
          <cell r="AB5216" t="str">
            <v>line item not tagged</v>
          </cell>
        </row>
        <row r="5217">
          <cell r="W5217">
            <v>0</v>
          </cell>
          <cell r="AB5217" t="str">
            <v>line item not tagged</v>
          </cell>
        </row>
        <row r="5218">
          <cell r="W5218">
            <v>0</v>
          </cell>
          <cell r="AB5218" t="str">
            <v>line item not tagged</v>
          </cell>
        </row>
        <row r="5219">
          <cell r="W5219">
            <v>0</v>
          </cell>
          <cell r="AB5219" t="str">
            <v>line item not tagged</v>
          </cell>
        </row>
        <row r="5220">
          <cell r="W5220">
            <v>0</v>
          </cell>
          <cell r="AB5220" t="str">
            <v>line item not tagged</v>
          </cell>
        </row>
        <row r="5221">
          <cell r="W5221">
            <v>0</v>
          </cell>
          <cell r="AB5221" t="str">
            <v>line item not tagged</v>
          </cell>
        </row>
        <row r="5222">
          <cell r="W5222">
            <v>0</v>
          </cell>
          <cell r="AB5222" t="str">
            <v>line item not tagged</v>
          </cell>
        </row>
        <row r="5223">
          <cell r="W5223">
            <v>0</v>
          </cell>
          <cell r="AB5223" t="str">
            <v>line item not tagged</v>
          </cell>
        </row>
        <row r="5224">
          <cell r="W5224">
            <v>0</v>
          </cell>
          <cell r="AB5224" t="str">
            <v>line item not tagged</v>
          </cell>
        </row>
        <row r="5225">
          <cell r="W5225">
            <v>0</v>
          </cell>
          <cell r="AB5225" t="str">
            <v>line item not tagged</v>
          </cell>
        </row>
        <row r="5226">
          <cell r="W5226">
            <v>0</v>
          </cell>
          <cell r="AB5226" t="str">
            <v>line item not tagged</v>
          </cell>
        </row>
        <row r="5227">
          <cell r="W5227">
            <v>0</v>
          </cell>
          <cell r="AB5227" t="str">
            <v>line item not tagged</v>
          </cell>
        </row>
        <row r="5228">
          <cell r="W5228">
            <v>0</v>
          </cell>
          <cell r="AB5228" t="str">
            <v>line item not tagged</v>
          </cell>
        </row>
        <row r="5229">
          <cell r="W5229">
            <v>0</v>
          </cell>
          <cell r="AB5229" t="str">
            <v>line item not tagged</v>
          </cell>
        </row>
        <row r="5230">
          <cell r="W5230">
            <v>0</v>
          </cell>
          <cell r="AB5230" t="str">
            <v>line item not tagged</v>
          </cell>
        </row>
        <row r="5231">
          <cell r="W5231">
            <v>0</v>
          </cell>
          <cell r="AB5231" t="str">
            <v>line item not tagged</v>
          </cell>
        </row>
        <row r="5232">
          <cell r="W5232">
            <v>0</v>
          </cell>
          <cell r="AB5232" t="str">
            <v>line item not tagged</v>
          </cell>
        </row>
        <row r="5233">
          <cell r="W5233">
            <v>0</v>
          </cell>
          <cell r="AB5233" t="str">
            <v>line item not tagged</v>
          </cell>
        </row>
        <row r="5234">
          <cell r="W5234">
            <v>0</v>
          </cell>
          <cell r="AB5234" t="str">
            <v>line item not tagged</v>
          </cell>
        </row>
        <row r="5235">
          <cell r="W5235">
            <v>0</v>
          </cell>
          <cell r="AB5235" t="str">
            <v>line item not tagged</v>
          </cell>
        </row>
        <row r="5236">
          <cell r="W5236">
            <v>0</v>
          </cell>
          <cell r="AB5236" t="str">
            <v>line item not tagged</v>
          </cell>
        </row>
        <row r="5237">
          <cell r="W5237">
            <v>0</v>
          </cell>
          <cell r="AB5237" t="str">
            <v>line item not tagged</v>
          </cell>
        </row>
        <row r="5238">
          <cell r="W5238">
            <v>0</v>
          </cell>
          <cell r="AB5238" t="str">
            <v>line item not tagged</v>
          </cell>
        </row>
        <row r="5239">
          <cell r="W5239">
            <v>0</v>
          </cell>
          <cell r="AB5239" t="str">
            <v>line item not tagged</v>
          </cell>
        </row>
        <row r="5240">
          <cell r="W5240">
            <v>0</v>
          </cell>
          <cell r="AB5240" t="str">
            <v>line item not tagged</v>
          </cell>
        </row>
        <row r="5241">
          <cell r="W5241">
            <v>0</v>
          </cell>
          <cell r="AB5241" t="str">
            <v>line item not tagged</v>
          </cell>
        </row>
        <row r="5242">
          <cell r="W5242">
            <v>0</v>
          </cell>
          <cell r="AB5242" t="str">
            <v>line item not tagged</v>
          </cell>
        </row>
        <row r="5243">
          <cell r="W5243">
            <v>0</v>
          </cell>
          <cell r="AB5243" t="str">
            <v>line item not tagged</v>
          </cell>
        </row>
        <row r="5244">
          <cell r="W5244">
            <v>0</v>
          </cell>
          <cell r="AB5244" t="str">
            <v>line item not tagged</v>
          </cell>
        </row>
        <row r="5245">
          <cell r="W5245">
            <v>0</v>
          </cell>
          <cell r="AB5245" t="str">
            <v>line item not tagged</v>
          </cell>
        </row>
        <row r="5246">
          <cell r="W5246">
            <v>0</v>
          </cell>
          <cell r="AB5246" t="str">
            <v>line item not tagged</v>
          </cell>
        </row>
        <row r="5247">
          <cell r="W5247">
            <v>0</v>
          </cell>
          <cell r="AB5247" t="str">
            <v>line item not tagged</v>
          </cell>
        </row>
        <row r="5248">
          <cell r="W5248">
            <v>0</v>
          </cell>
          <cell r="AB5248" t="str">
            <v>line item not tagged</v>
          </cell>
        </row>
        <row r="5249">
          <cell r="W5249">
            <v>0</v>
          </cell>
          <cell r="AB5249" t="str">
            <v>line item not tagged</v>
          </cell>
        </row>
        <row r="5250">
          <cell r="W5250">
            <v>0</v>
          </cell>
          <cell r="AB5250" t="str">
            <v>line item not tagged</v>
          </cell>
        </row>
        <row r="5251">
          <cell r="W5251">
            <v>0</v>
          </cell>
          <cell r="AB5251" t="str">
            <v>line item not tagged</v>
          </cell>
        </row>
        <row r="5252">
          <cell r="W5252">
            <v>0</v>
          </cell>
          <cell r="AB5252" t="str">
            <v>line item not tagged</v>
          </cell>
        </row>
        <row r="5253">
          <cell r="W5253">
            <v>0</v>
          </cell>
          <cell r="AB5253" t="str">
            <v>line item not tagged</v>
          </cell>
        </row>
        <row r="5254">
          <cell r="W5254">
            <v>0</v>
          </cell>
          <cell r="AB5254" t="str">
            <v>line item not tagged</v>
          </cell>
        </row>
        <row r="5255">
          <cell r="W5255">
            <v>0</v>
          </cell>
          <cell r="AB5255" t="str">
            <v>line item not tagged</v>
          </cell>
        </row>
        <row r="5256">
          <cell r="W5256">
            <v>0</v>
          </cell>
          <cell r="AB5256" t="str">
            <v>line item not tagged</v>
          </cell>
        </row>
        <row r="5257">
          <cell r="W5257">
            <v>0</v>
          </cell>
          <cell r="AB5257" t="str">
            <v>line item not tagged</v>
          </cell>
        </row>
        <row r="5258">
          <cell r="W5258">
            <v>0</v>
          </cell>
          <cell r="AB5258" t="str">
            <v>line item not tagged</v>
          </cell>
        </row>
        <row r="5259">
          <cell r="W5259">
            <v>0</v>
          </cell>
          <cell r="AB5259" t="str">
            <v>line item not tagged</v>
          </cell>
        </row>
        <row r="5260">
          <cell r="W5260">
            <v>0</v>
          </cell>
          <cell r="AB5260" t="str">
            <v>line item not tagged</v>
          </cell>
        </row>
        <row r="5261">
          <cell r="W5261">
            <v>0</v>
          </cell>
          <cell r="AB5261" t="str">
            <v>line item not tagged</v>
          </cell>
        </row>
        <row r="5262">
          <cell r="W5262">
            <v>0</v>
          </cell>
          <cell r="AB5262" t="str">
            <v>line item not tagged</v>
          </cell>
        </row>
        <row r="5263">
          <cell r="W5263">
            <v>0</v>
          </cell>
          <cell r="AB5263" t="str">
            <v>line item not tagged</v>
          </cell>
        </row>
        <row r="5264">
          <cell r="W5264">
            <v>0</v>
          </cell>
          <cell r="AB5264" t="str">
            <v>line item not tagged</v>
          </cell>
        </row>
        <row r="5265">
          <cell r="W5265">
            <v>0</v>
          </cell>
          <cell r="AB5265" t="str">
            <v>line item not tagged</v>
          </cell>
        </row>
        <row r="5266">
          <cell r="W5266">
            <v>0</v>
          </cell>
          <cell r="AB5266" t="str">
            <v>line item not tagged</v>
          </cell>
        </row>
        <row r="5267">
          <cell r="W5267">
            <v>0</v>
          </cell>
          <cell r="AB5267" t="str">
            <v>line item not tagged</v>
          </cell>
        </row>
        <row r="5268">
          <cell r="W5268">
            <v>0</v>
          </cell>
          <cell r="AB5268" t="str">
            <v>line item not tagged</v>
          </cell>
        </row>
        <row r="5269">
          <cell r="W5269">
            <v>0</v>
          </cell>
          <cell r="AB5269" t="str">
            <v>line item not tagged</v>
          </cell>
        </row>
        <row r="5270">
          <cell r="W5270">
            <v>0</v>
          </cell>
          <cell r="AB5270" t="str">
            <v>line item not tagged</v>
          </cell>
        </row>
        <row r="5271">
          <cell r="W5271">
            <v>0</v>
          </cell>
          <cell r="AB5271" t="str">
            <v>line item not tagged</v>
          </cell>
        </row>
        <row r="5272">
          <cell r="W5272">
            <v>0</v>
          </cell>
          <cell r="AB5272" t="str">
            <v>line item not tagged</v>
          </cell>
        </row>
        <row r="5273">
          <cell r="W5273">
            <v>0</v>
          </cell>
          <cell r="AB5273" t="str">
            <v>line item not tagged</v>
          </cell>
        </row>
        <row r="5274">
          <cell r="W5274">
            <v>0</v>
          </cell>
          <cell r="AB5274" t="str">
            <v>line item not tagged</v>
          </cell>
        </row>
        <row r="5275">
          <cell r="W5275">
            <v>0</v>
          </cell>
          <cell r="AB5275" t="str">
            <v>line item not tagged</v>
          </cell>
        </row>
        <row r="5276">
          <cell r="W5276">
            <v>0</v>
          </cell>
          <cell r="AB5276" t="str">
            <v>line item not tagged</v>
          </cell>
        </row>
        <row r="5277">
          <cell r="W5277">
            <v>0</v>
          </cell>
          <cell r="AB5277" t="str">
            <v>line item not tagged</v>
          </cell>
        </row>
        <row r="5278">
          <cell r="W5278">
            <v>0</v>
          </cell>
          <cell r="AB5278" t="str">
            <v>line item not tagged</v>
          </cell>
        </row>
        <row r="5279">
          <cell r="W5279">
            <v>0</v>
          </cell>
          <cell r="AB5279" t="str">
            <v>line item not tagged</v>
          </cell>
        </row>
        <row r="5280">
          <cell r="W5280">
            <v>0</v>
          </cell>
          <cell r="AB5280" t="str">
            <v>line item not tagged</v>
          </cell>
        </row>
        <row r="5281">
          <cell r="W5281">
            <v>0</v>
          </cell>
          <cell r="AB5281" t="str">
            <v>line item not tagged</v>
          </cell>
        </row>
        <row r="5282">
          <cell r="W5282">
            <v>0</v>
          </cell>
          <cell r="AB5282" t="str">
            <v>line item not tagged</v>
          </cell>
        </row>
        <row r="5283">
          <cell r="W5283">
            <v>0</v>
          </cell>
          <cell r="AB5283" t="str">
            <v>line item not tagged</v>
          </cell>
        </row>
        <row r="5284">
          <cell r="W5284">
            <v>0</v>
          </cell>
          <cell r="AB5284" t="str">
            <v>line item not tagged</v>
          </cell>
        </row>
        <row r="5285">
          <cell r="W5285">
            <v>0</v>
          </cell>
          <cell r="AB5285" t="str">
            <v>line item not tagged</v>
          </cell>
        </row>
        <row r="5286">
          <cell r="W5286">
            <v>0</v>
          </cell>
          <cell r="AB5286" t="str">
            <v>line item not tagged</v>
          </cell>
        </row>
        <row r="5287">
          <cell r="W5287">
            <v>0</v>
          </cell>
          <cell r="AB5287" t="str">
            <v>line item not tagged</v>
          </cell>
        </row>
        <row r="5288">
          <cell r="W5288">
            <v>0</v>
          </cell>
          <cell r="AB5288" t="str">
            <v>line item not tagged</v>
          </cell>
        </row>
        <row r="5289">
          <cell r="W5289">
            <v>0</v>
          </cell>
          <cell r="AB5289" t="str">
            <v>line item not tagged</v>
          </cell>
        </row>
        <row r="5290">
          <cell r="W5290">
            <v>0</v>
          </cell>
          <cell r="AB5290" t="str">
            <v>line item not tagged</v>
          </cell>
        </row>
        <row r="5291">
          <cell r="W5291">
            <v>0</v>
          </cell>
          <cell r="AB5291" t="str">
            <v>line item not tagged</v>
          </cell>
        </row>
        <row r="5292">
          <cell r="W5292">
            <v>0</v>
          </cell>
          <cell r="AB5292" t="str">
            <v>line item not tagged</v>
          </cell>
        </row>
        <row r="5293">
          <cell r="W5293">
            <v>0</v>
          </cell>
          <cell r="AB5293" t="str">
            <v>line item not tagged</v>
          </cell>
        </row>
        <row r="5294">
          <cell r="W5294">
            <v>0</v>
          </cell>
          <cell r="AB5294" t="str">
            <v>line item not tagged</v>
          </cell>
        </row>
        <row r="5295">
          <cell r="W5295">
            <v>0</v>
          </cell>
          <cell r="AB5295" t="str">
            <v>line item not tagged</v>
          </cell>
        </row>
        <row r="5296">
          <cell r="W5296">
            <v>0</v>
          </cell>
          <cell r="AB5296" t="str">
            <v>line item not tagged</v>
          </cell>
        </row>
        <row r="5297">
          <cell r="W5297">
            <v>0</v>
          </cell>
          <cell r="AB5297" t="str">
            <v>line item not tagged</v>
          </cell>
        </row>
        <row r="5298">
          <cell r="W5298">
            <v>0</v>
          </cell>
          <cell r="AB5298" t="str">
            <v>line item not tagged</v>
          </cell>
        </row>
        <row r="5299">
          <cell r="W5299">
            <v>0</v>
          </cell>
          <cell r="AB5299" t="str">
            <v>line item not tagged</v>
          </cell>
        </row>
        <row r="5300">
          <cell r="W5300">
            <v>0</v>
          </cell>
          <cell r="AB5300" t="str">
            <v>line item not tagged</v>
          </cell>
        </row>
        <row r="5301">
          <cell r="W5301">
            <v>0</v>
          </cell>
          <cell r="AB5301" t="str">
            <v>line item not tagged</v>
          </cell>
        </row>
        <row r="5302">
          <cell r="W5302">
            <v>0</v>
          </cell>
          <cell r="AB5302" t="str">
            <v>line item not tagged</v>
          </cell>
        </row>
        <row r="5303">
          <cell r="W5303">
            <v>0</v>
          </cell>
          <cell r="AB5303" t="str">
            <v>line item not tagged</v>
          </cell>
        </row>
        <row r="5304">
          <cell r="W5304">
            <v>0</v>
          </cell>
          <cell r="AB5304" t="str">
            <v>line item not tagged</v>
          </cell>
        </row>
        <row r="5305">
          <cell r="W5305">
            <v>0</v>
          </cell>
          <cell r="AB5305" t="str">
            <v>line item not tagged</v>
          </cell>
        </row>
        <row r="5306">
          <cell r="W5306">
            <v>0</v>
          </cell>
          <cell r="AB5306" t="str">
            <v>line item not tagged</v>
          </cell>
        </row>
        <row r="5307">
          <cell r="W5307">
            <v>0</v>
          </cell>
          <cell r="AB5307" t="str">
            <v>line item not tagged</v>
          </cell>
        </row>
        <row r="5308">
          <cell r="W5308">
            <v>0</v>
          </cell>
          <cell r="AB5308" t="str">
            <v>line item not tagged</v>
          </cell>
        </row>
        <row r="5309">
          <cell r="W5309">
            <v>0</v>
          </cell>
          <cell r="AB5309" t="str">
            <v>line item not tagged</v>
          </cell>
        </row>
        <row r="5310">
          <cell r="W5310">
            <v>0</v>
          </cell>
          <cell r="AB5310" t="str">
            <v>line item not tagged</v>
          </cell>
        </row>
        <row r="5311">
          <cell r="W5311">
            <v>0</v>
          </cell>
          <cell r="AB5311" t="str">
            <v>line item not tagged</v>
          </cell>
        </row>
        <row r="5312">
          <cell r="W5312">
            <v>0</v>
          </cell>
          <cell r="AB5312" t="str">
            <v>line item not tagged</v>
          </cell>
        </row>
        <row r="5313">
          <cell r="W5313">
            <v>0</v>
          </cell>
          <cell r="AB5313" t="str">
            <v>line item not tagged</v>
          </cell>
        </row>
        <row r="5314">
          <cell r="W5314">
            <v>0</v>
          </cell>
          <cell r="AB5314" t="str">
            <v>line item not tagged</v>
          </cell>
        </row>
        <row r="5315">
          <cell r="W5315">
            <v>0</v>
          </cell>
          <cell r="AB5315" t="str">
            <v>line item not tagged</v>
          </cell>
        </row>
        <row r="5316">
          <cell r="W5316">
            <v>0</v>
          </cell>
          <cell r="AB5316" t="str">
            <v>line item not tagged</v>
          </cell>
        </row>
        <row r="5317">
          <cell r="W5317">
            <v>0</v>
          </cell>
          <cell r="AB5317" t="str">
            <v>line item not tagged</v>
          </cell>
        </row>
        <row r="5318">
          <cell r="W5318">
            <v>0</v>
          </cell>
          <cell r="AB5318" t="str">
            <v>line item not tagged</v>
          </cell>
        </row>
        <row r="5319">
          <cell r="W5319">
            <v>0</v>
          </cell>
          <cell r="AB5319" t="str">
            <v>line item not tagged</v>
          </cell>
        </row>
        <row r="5320">
          <cell r="W5320">
            <v>0</v>
          </cell>
          <cell r="AB5320" t="str">
            <v>line item not tagged</v>
          </cell>
        </row>
        <row r="5321">
          <cell r="W5321">
            <v>0</v>
          </cell>
          <cell r="AB5321" t="str">
            <v>line item not tagged</v>
          </cell>
        </row>
        <row r="5322">
          <cell r="W5322">
            <v>0</v>
          </cell>
          <cell r="AB5322" t="str">
            <v>line item not tagged</v>
          </cell>
        </row>
        <row r="5323">
          <cell r="W5323">
            <v>0</v>
          </cell>
          <cell r="AB5323" t="str">
            <v>line item not tagged</v>
          </cell>
        </row>
        <row r="5324">
          <cell r="W5324">
            <v>0</v>
          </cell>
          <cell r="AB5324" t="str">
            <v>line item not tagged</v>
          </cell>
        </row>
        <row r="5325">
          <cell r="W5325">
            <v>0</v>
          </cell>
          <cell r="AB5325" t="str">
            <v>line item not tagged</v>
          </cell>
        </row>
        <row r="5326">
          <cell r="W5326">
            <v>0</v>
          </cell>
          <cell r="AB5326" t="str">
            <v>line item not tagged</v>
          </cell>
        </row>
        <row r="5327">
          <cell r="W5327">
            <v>0</v>
          </cell>
          <cell r="AB5327" t="str">
            <v>line item not tagged</v>
          </cell>
        </row>
        <row r="5328">
          <cell r="W5328">
            <v>0</v>
          </cell>
          <cell r="AB5328" t="str">
            <v>line item not tagged</v>
          </cell>
        </row>
        <row r="5329">
          <cell r="W5329">
            <v>0</v>
          </cell>
          <cell r="AB5329" t="str">
            <v>line item not tagged</v>
          </cell>
        </row>
        <row r="5330">
          <cell r="W5330">
            <v>0</v>
          </cell>
          <cell r="AB5330" t="str">
            <v>line item not tagged</v>
          </cell>
        </row>
        <row r="5331">
          <cell r="W5331">
            <v>0</v>
          </cell>
          <cell r="AB5331" t="str">
            <v>line item not tagged</v>
          </cell>
        </row>
        <row r="5332">
          <cell r="W5332">
            <v>0</v>
          </cell>
          <cell r="AB5332" t="str">
            <v>line item not tagged</v>
          </cell>
        </row>
        <row r="5333">
          <cell r="W5333">
            <v>0</v>
          </cell>
          <cell r="AB5333" t="str">
            <v>line item not tagged</v>
          </cell>
        </row>
        <row r="5334">
          <cell r="W5334">
            <v>0</v>
          </cell>
          <cell r="AB5334" t="str">
            <v>line item not tagged</v>
          </cell>
        </row>
        <row r="5335">
          <cell r="W5335">
            <v>0</v>
          </cell>
          <cell r="AB5335" t="str">
            <v>line item not tagged</v>
          </cell>
        </row>
        <row r="5336">
          <cell r="W5336">
            <v>0</v>
          </cell>
          <cell r="AB5336" t="str">
            <v>line item not tagged</v>
          </cell>
        </row>
        <row r="5337">
          <cell r="W5337">
            <v>0</v>
          </cell>
          <cell r="AB5337" t="str">
            <v>line item not tagged</v>
          </cell>
        </row>
        <row r="5338">
          <cell r="W5338">
            <v>0</v>
          </cell>
          <cell r="AB5338" t="str">
            <v>line item not tagged</v>
          </cell>
        </row>
        <row r="5339">
          <cell r="W5339">
            <v>0</v>
          </cell>
          <cell r="AB5339" t="str">
            <v>line item not tagged</v>
          </cell>
        </row>
        <row r="5340">
          <cell r="W5340">
            <v>0</v>
          </cell>
          <cell r="AB5340" t="str">
            <v>line item not tagged</v>
          </cell>
        </row>
        <row r="5341">
          <cell r="W5341">
            <v>0</v>
          </cell>
          <cell r="AB5341" t="str">
            <v>line item not tagged</v>
          </cell>
        </row>
        <row r="5342">
          <cell r="W5342">
            <v>0</v>
          </cell>
          <cell r="AB5342" t="str">
            <v>line item not tagged</v>
          </cell>
        </row>
        <row r="5343">
          <cell r="W5343">
            <v>0</v>
          </cell>
          <cell r="AB5343" t="str">
            <v>line item not tagged</v>
          </cell>
        </row>
        <row r="5344">
          <cell r="W5344">
            <v>0</v>
          </cell>
          <cell r="AB5344" t="str">
            <v>line item not tagged</v>
          </cell>
        </row>
        <row r="5345">
          <cell r="W5345">
            <v>0</v>
          </cell>
          <cell r="AB5345" t="str">
            <v>line item not tagged</v>
          </cell>
        </row>
        <row r="5346">
          <cell r="W5346">
            <v>0</v>
          </cell>
          <cell r="AB5346" t="str">
            <v>line item not tagged</v>
          </cell>
        </row>
        <row r="5347">
          <cell r="W5347">
            <v>0</v>
          </cell>
          <cell r="AB5347" t="str">
            <v>line item not tagged</v>
          </cell>
        </row>
        <row r="5348">
          <cell r="W5348">
            <v>0</v>
          </cell>
          <cell r="AB5348" t="str">
            <v>line item not tagged</v>
          </cell>
        </row>
        <row r="5349">
          <cell r="W5349">
            <v>0</v>
          </cell>
          <cell r="AB5349" t="str">
            <v>line item not tagged</v>
          </cell>
        </row>
        <row r="5350">
          <cell r="W5350">
            <v>0</v>
          </cell>
          <cell r="AB5350" t="str">
            <v>line item not tagged</v>
          </cell>
        </row>
        <row r="5351">
          <cell r="W5351">
            <v>0</v>
          </cell>
          <cell r="AB5351" t="str">
            <v>line item not tagged</v>
          </cell>
        </row>
        <row r="5352">
          <cell r="W5352">
            <v>0</v>
          </cell>
          <cell r="AB5352" t="str">
            <v>line item not tagged</v>
          </cell>
        </row>
        <row r="5353">
          <cell r="W5353">
            <v>0</v>
          </cell>
          <cell r="AB5353" t="str">
            <v>line item not tagged</v>
          </cell>
        </row>
        <row r="5354">
          <cell r="W5354">
            <v>0</v>
          </cell>
          <cell r="AB5354" t="str">
            <v>line item not tagged</v>
          </cell>
        </row>
        <row r="5355">
          <cell r="W5355">
            <v>0</v>
          </cell>
          <cell r="AB5355" t="str">
            <v>line item not tagged</v>
          </cell>
        </row>
        <row r="5356">
          <cell r="W5356">
            <v>0</v>
          </cell>
          <cell r="AB5356" t="str">
            <v>line item not tagged</v>
          </cell>
        </row>
        <row r="5357">
          <cell r="W5357">
            <v>0</v>
          </cell>
          <cell r="AB5357" t="str">
            <v>line item not tagged</v>
          </cell>
        </row>
        <row r="5358">
          <cell r="W5358">
            <v>0</v>
          </cell>
          <cell r="AB5358" t="str">
            <v>line item not tagged</v>
          </cell>
        </row>
        <row r="5359">
          <cell r="W5359">
            <v>0</v>
          </cell>
          <cell r="AB5359" t="str">
            <v>line item not tagged</v>
          </cell>
        </row>
        <row r="5360">
          <cell r="W5360">
            <v>0</v>
          </cell>
          <cell r="AB5360" t="str">
            <v>line item not tagged</v>
          </cell>
        </row>
        <row r="5361">
          <cell r="W5361">
            <v>0</v>
          </cell>
          <cell r="AB5361" t="str">
            <v>line item not tagged</v>
          </cell>
        </row>
        <row r="5362">
          <cell r="W5362">
            <v>0</v>
          </cell>
          <cell r="AB5362" t="str">
            <v>line item not tagged</v>
          </cell>
        </row>
        <row r="5363">
          <cell r="W5363">
            <v>0</v>
          </cell>
          <cell r="AB5363" t="str">
            <v>line item not tagged</v>
          </cell>
        </row>
        <row r="5364">
          <cell r="W5364">
            <v>0</v>
          </cell>
          <cell r="AB5364" t="str">
            <v>line item not tagged</v>
          </cell>
        </row>
        <row r="5365">
          <cell r="W5365">
            <v>0</v>
          </cell>
          <cell r="AB5365" t="str">
            <v>line item not tagged</v>
          </cell>
        </row>
        <row r="5366">
          <cell r="W5366">
            <v>0</v>
          </cell>
          <cell r="AB5366" t="str">
            <v>line item not tagged</v>
          </cell>
        </row>
        <row r="5367">
          <cell r="W5367">
            <v>0</v>
          </cell>
          <cell r="AB5367" t="str">
            <v>line item not tagged</v>
          </cell>
        </row>
        <row r="5368">
          <cell r="W5368">
            <v>0</v>
          </cell>
          <cell r="AB5368" t="str">
            <v>line item not tagged</v>
          </cell>
        </row>
        <row r="5369">
          <cell r="W5369">
            <v>0</v>
          </cell>
          <cell r="AB5369" t="str">
            <v>line item not tagged</v>
          </cell>
        </row>
        <row r="5370">
          <cell r="W5370">
            <v>0</v>
          </cell>
          <cell r="AB5370" t="str">
            <v>line item not tagged</v>
          </cell>
        </row>
        <row r="5371">
          <cell r="W5371">
            <v>0</v>
          </cell>
          <cell r="AB5371" t="str">
            <v>line item not tagged</v>
          </cell>
        </row>
        <row r="5372">
          <cell r="W5372">
            <v>0</v>
          </cell>
          <cell r="AB5372" t="str">
            <v>line item not tagged</v>
          </cell>
        </row>
        <row r="5373">
          <cell r="W5373">
            <v>0</v>
          </cell>
          <cell r="AB5373" t="str">
            <v>line item not tagged</v>
          </cell>
        </row>
        <row r="5374">
          <cell r="W5374">
            <v>0</v>
          </cell>
          <cell r="AB5374" t="str">
            <v>line item not tagged</v>
          </cell>
        </row>
        <row r="5375">
          <cell r="W5375">
            <v>0</v>
          </cell>
          <cell r="AB5375" t="str">
            <v>line item not tagged</v>
          </cell>
        </row>
        <row r="5376">
          <cell r="W5376">
            <v>0</v>
          </cell>
          <cell r="AB5376" t="str">
            <v>line item not tagged</v>
          </cell>
        </row>
        <row r="5377">
          <cell r="W5377">
            <v>0</v>
          </cell>
          <cell r="AB5377" t="str">
            <v>line item not tagged</v>
          </cell>
        </row>
        <row r="5378">
          <cell r="W5378">
            <v>0</v>
          </cell>
          <cell r="AB5378" t="str">
            <v>line item not tagged</v>
          </cell>
        </row>
        <row r="5379">
          <cell r="W5379">
            <v>0</v>
          </cell>
          <cell r="AB5379" t="str">
            <v>line item not tagged</v>
          </cell>
        </row>
        <row r="5380">
          <cell r="W5380">
            <v>0</v>
          </cell>
          <cell r="AB5380" t="str">
            <v>line item not tagged</v>
          </cell>
        </row>
        <row r="5381">
          <cell r="W5381">
            <v>0</v>
          </cell>
          <cell r="AB5381" t="str">
            <v>line item not tagged</v>
          </cell>
        </row>
        <row r="5382">
          <cell r="W5382">
            <v>0</v>
          </cell>
          <cell r="AB5382" t="str">
            <v>line item not tagged</v>
          </cell>
        </row>
        <row r="5383">
          <cell r="W5383">
            <v>0</v>
          </cell>
          <cell r="AB5383" t="str">
            <v>line item not tagged</v>
          </cell>
        </row>
        <row r="5384">
          <cell r="W5384">
            <v>0</v>
          </cell>
          <cell r="AB5384" t="str">
            <v>line item not tagged</v>
          </cell>
        </row>
        <row r="5385">
          <cell r="W5385">
            <v>0</v>
          </cell>
          <cell r="AB5385" t="str">
            <v>line item not tagged</v>
          </cell>
        </row>
        <row r="5386">
          <cell r="W5386">
            <v>0</v>
          </cell>
          <cell r="AB5386" t="str">
            <v>line item not tagged</v>
          </cell>
        </row>
        <row r="5387">
          <cell r="W5387">
            <v>0</v>
          </cell>
          <cell r="AB5387" t="str">
            <v>line item not tagged</v>
          </cell>
        </row>
        <row r="5388">
          <cell r="W5388">
            <v>0</v>
          </cell>
          <cell r="AB5388" t="str">
            <v>line item not tagged</v>
          </cell>
        </row>
        <row r="5389">
          <cell r="W5389">
            <v>0</v>
          </cell>
          <cell r="AB5389" t="str">
            <v>line item not tagged</v>
          </cell>
        </row>
        <row r="5390">
          <cell r="W5390">
            <v>0</v>
          </cell>
          <cell r="AB5390" t="str">
            <v>line item not tagged</v>
          </cell>
        </row>
        <row r="5391">
          <cell r="W5391">
            <v>0</v>
          </cell>
          <cell r="AB5391" t="str">
            <v>line item not tagged</v>
          </cell>
        </row>
        <row r="5392">
          <cell r="W5392">
            <v>0</v>
          </cell>
          <cell r="AB5392" t="str">
            <v>line item not tagged</v>
          </cell>
        </row>
        <row r="5393">
          <cell r="W5393">
            <v>0</v>
          </cell>
          <cell r="AB5393" t="str">
            <v>line item not tagged</v>
          </cell>
        </row>
        <row r="5394">
          <cell r="W5394">
            <v>0</v>
          </cell>
          <cell r="AB5394" t="str">
            <v>line item not tagged</v>
          </cell>
        </row>
        <row r="5395">
          <cell r="W5395">
            <v>0</v>
          </cell>
          <cell r="AB5395" t="str">
            <v>line item not tagged</v>
          </cell>
        </row>
        <row r="5396">
          <cell r="W5396">
            <v>0</v>
          </cell>
          <cell r="AB5396" t="str">
            <v>line item not tagged</v>
          </cell>
        </row>
        <row r="5397">
          <cell r="W5397">
            <v>0</v>
          </cell>
          <cell r="AB5397" t="str">
            <v>line item not tagged</v>
          </cell>
        </row>
        <row r="5398">
          <cell r="W5398">
            <v>0</v>
          </cell>
          <cell r="AB5398" t="str">
            <v>line item not tagged</v>
          </cell>
        </row>
        <row r="5399">
          <cell r="W5399">
            <v>0</v>
          </cell>
          <cell r="AB5399" t="str">
            <v>line item not tagged</v>
          </cell>
        </row>
        <row r="5400">
          <cell r="W5400">
            <v>0</v>
          </cell>
          <cell r="AB5400" t="str">
            <v>line item not tagged</v>
          </cell>
        </row>
        <row r="5401">
          <cell r="W5401">
            <v>0</v>
          </cell>
          <cell r="AB5401" t="str">
            <v>line item not tagged</v>
          </cell>
        </row>
        <row r="5402">
          <cell r="W5402">
            <v>0</v>
          </cell>
          <cell r="AB5402" t="str">
            <v>line item not tagged</v>
          </cell>
        </row>
        <row r="5403">
          <cell r="W5403">
            <v>0</v>
          </cell>
          <cell r="AB5403" t="str">
            <v>line item not tagged</v>
          </cell>
        </row>
        <row r="5404">
          <cell r="W5404">
            <v>0</v>
          </cell>
          <cell r="AB5404" t="str">
            <v>line item not tagged</v>
          </cell>
        </row>
        <row r="5405">
          <cell r="W5405">
            <v>0</v>
          </cell>
          <cell r="AB5405" t="str">
            <v>line item not tagged</v>
          </cell>
        </row>
        <row r="5406">
          <cell r="W5406">
            <v>0</v>
          </cell>
          <cell r="AB5406" t="str">
            <v>line item not tagged</v>
          </cell>
        </row>
        <row r="5407">
          <cell r="W5407">
            <v>0</v>
          </cell>
          <cell r="AB5407" t="str">
            <v>line item not tagged</v>
          </cell>
        </row>
        <row r="5408">
          <cell r="W5408">
            <v>0</v>
          </cell>
          <cell r="AB5408" t="str">
            <v>line item not tagged</v>
          </cell>
        </row>
        <row r="5409">
          <cell r="W5409">
            <v>0</v>
          </cell>
          <cell r="AB5409" t="str">
            <v>line item not tagged</v>
          </cell>
        </row>
        <row r="5410">
          <cell r="W5410">
            <v>0</v>
          </cell>
          <cell r="AB5410" t="str">
            <v>line item not tagged</v>
          </cell>
        </row>
        <row r="5411">
          <cell r="W5411">
            <v>0</v>
          </cell>
          <cell r="AB5411" t="str">
            <v>line item not tagged</v>
          </cell>
        </row>
        <row r="5412">
          <cell r="W5412">
            <v>0</v>
          </cell>
          <cell r="AB5412" t="str">
            <v>line item not tagged</v>
          </cell>
        </row>
        <row r="5413">
          <cell r="W5413">
            <v>0</v>
          </cell>
          <cell r="AB5413" t="str">
            <v>line item not tagged</v>
          </cell>
        </row>
        <row r="5414">
          <cell r="W5414">
            <v>0</v>
          </cell>
          <cell r="AB5414" t="str">
            <v>line item not tagged</v>
          </cell>
        </row>
        <row r="5415">
          <cell r="W5415">
            <v>0</v>
          </cell>
          <cell r="AB5415" t="str">
            <v>line item not tagged</v>
          </cell>
        </row>
        <row r="5416">
          <cell r="W5416">
            <v>0</v>
          </cell>
          <cell r="AB5416" t="str">
            <v>line item not tagged</v>
          </cell>
        </row>
        <row r="5417">
          <cell r="W5417">
            <v>0</v>
          </cell>
          <cell r="AB5417" t="str">
            <v>line item not tagged</v>
          </cell>
        </row>
        <row r="5418">
          <cell r="W5418">
            <v>0</v>
          </cell>
          <cell r="AB5418" t="str">
            <v>line item not tagged</v>
          </cell>
        </row>
        <row r="5419">
          <cell r="W5419">
            <v>0</v>
          </cell>
          <cell r="AB5419" t="str">
            <v>line item not tagged</v>
          </cell>
        </row>
        <row r="5420">
          <cell r="W5420">
            <v>0</v>
          </cell>
          <cell r="AB5420" t="str">
            <v>line item not tagged</v>
          </cell>
        </row>
        <row r="5421">
          <cell r="W5421">
            <v>0</v>
          </cell>
          <cell r="AB5421" t="str">
            <v>line item not tagged</v>
          </cell>
        </row>
        <row r="5422">
          <cell r="W5422">
            <v>0</v>
          </cell>
          <cell r="AB5422" t="str">
            <v>line item not tagged</v>
          </cell>
        </row>
        <row r="5423">
          <cell r="W5423">
            <v>0</v>
          </cell>
          <cell r="AB5423" t="str">
            <v>line item not tagged</v>
          </cell>
        </row>
        <row r="5424">
          <cell r="W5424">
            <v>0</v>
          </cell>
          <cell r="AB5424" t="str">
            <v>line item not tagged</v>
          </cell>
        </row>
        <row r="5425">
          <cell r="W5425">
            <v>0</v>
          </cell>
          <cell r="AB5425" t="str">
            <v>line item not tagged</v>
          </cell>
        </row>
        <row r="5426">
          <cell r="W5426">
            <v>0</v>
          </cell>
          <cell r="AB5426" t="str">
            <v>line item not tagged</v>
          </cell>
        </row>
        <row r="5427">
          <cell r="W5427">
            <v>0</v>
          </cell>
          <cell r="AB5427" t="str">
            <v>line item not tagged</v>
          </cell>
        </row>
        <row r="5428">
          <cell r="W5428">
            <v>0</v>
          </cell>
          <cell r="AB5428" t="str">
            <v>line item not tagged</v>
          </cell>
        </row>
        <row r="5429">
          <cell r="W5429">
            <v>0</v>
          </cell>
          <cell r="AB5429" t="str">
            <v>line item not tagged</v>
          </cell>
        </row>
        <row r="5430">
          <cell r="W5430">
            <v>0</v>
          </cell>
          <cell r="AB5430" t="str">
            <v>line item not tagged</v>
          </cell>
        </row>
        <row r="5431">
          <cell r="W5431">
            <v>0</v>
          </cell>
          <cell r="AB5431" t="str">
            <v>line item not tagged</v>
          </cell>
        </row>
        <row r="5432">
          <cell r="W5432">
            <v>0</v>
          </cell>
          <cell r="AB5432" t="str">
            <v>line item not tagged</v>
          </cell>
        </row>
        <row r="5433">
          <cell r="W5433">
            <v>0</v>
          </cell>
          <cell r="AB5433" t="str">
            <v>line item not tagged</v>
          </cell>
        </row>
        <row r="5434">
          <cell r="W5434">
            <v>0</v>
          </cell>
          <cell r="AB5434" t="str">
            <v>line item not tagged</v>
          </cell>
        </row>
        <row r="5435">
          <cell r="W5435">
            <v>0</v>
          </cell>
          <cell r="AB5435" t="str">
            <v>line item not tagged</v>
          </cell>
        </row>
        <row r="5436">
          <cell r="W5436">
            <v>0</v>
          </cell>
          <cell r="AB5436" t="str">
            <v>line item not tagged</v>
          </cell>
        </row>
        <row r="5437">
          <cell r="W5437">
            <v>0</v>
          </cell>
          <cell r="AB5437" t="str">
            <v>line item not tagged</v>
          </cell>
        </row>
        <row r="5438">
          <cell r="W5438">
            <v>0</v>
          </cell>
          <cell r="AB5438" t="str">
            <v>line item not tagged</v>
          </cell>
        </row>
        <row r="5439">
          <cell r="W5439">
            <v>0</v>
          </cell>
          <cell r="AB5439" t="str">
            <v>line item not tagged</v>
          </cell>
        </row>
        <row r="5440">
          <cell r="W5440">
            <v>0</v>
          </cell>
          <cell r="AB5440" t="str">
            <v>line item not tagged</v>
          </cell>
        </row>
        <row r="5441">
          <cell r="W5441">
            <v>0</v>
          </cell>
          <cell r="AB5441" t="str">
            <v>line item not tagged</v>
          </cell>
        </row>
        <row r="5442">
          <cell r="W5442">
            <v>0</v>
          </cell>
          <cell r="AB5442" t="str">
            <v>line item not tagged</v>
          </cell>
        </row>
        <row r="5443">
          <cell r="W5443">
            <v>0</v>
          </cell>
          <cell r="AB5443" t="str">
            <v>line item not tagged</v>
          </cell>
        </row>
        <row r="5444">
          <cell r="W5444">
            <v>0</v>
          </cell>
          <cell r="AB5444" t="str">
            <v>line item not tagged</v>
          </cell>
        </row>
        <row r="5445">
          <cell r="W5445">
            <v>0</v>
          </cell>
          <cell r="AB5445" t="str">
            <v>line item not tagged</v>
          </cell>
        </row>
        <row r="5446">
          <cell r="W5446">
            <v>0</v>
          </cell>
          <cell r="AB5446" t="str">
            <v>line item not tagged</v>
          </cell>
        </row>
        <row r="5447">
          <cell r="W5447">
            <v>0</v>
          </cell>
          <cell r="AB5447" t="str">
            <v>line item not tagged</v>
          </cell>
        </row>
        <row r="5448">
          <cell r="W5448">
            <v>0</v>
          </cell>
          <cell r="AB5448" t="str">
            <v>line item not tagged</v>
          </cell>
        </row>
        <row r="5449">
          <cell r="W5449">
            <v>0</v>
          </cell>
          <cell r="AB5449" t="str">
            <v>line item not tagged</v>
          </cell>
        </row>
        <row r="5450">
          <cell r="W5450">
            <v>0</v>
          </cell>
          <cell r="AB5450" t="str">
            <v>line item not tagged</v>
          </cell>
        </row>
        <row r="5451">
          <cell r="W5451">
            <v>0</v>
          </cell>
          <cell r="AB5451" t="str">
            <v>line item not tagged</v>
          </cell>
        </row>
        <row r="5452">
          <cell r="W5452">
            <v>0</v>
          </cell>
          <cell r="AB5452" t="str">
            <v>line item not tagged</v>
          </cell>
        </row>
        <row r="5453">
          <cell r="W5453">
            <v>0</v>
          </cell>
          <cell r="AB5453" t="str">
            <v>line item not tagged</v>
          </cell>
        </row>
        <row r="5454">
          <cell r="W5454">
            <v>0</v>
          </cell>
          <cell r="AB5454" t="str">
            <v>line item not tagged</v>
          </cell>
        </row>
        <row r="5455">
          <cell r="W5455">
            <v>0</v>
          </cell>
          <cell r="AB5455" t="str">
            <v>line item not tagged</v>
          </cell>
        </row>
        <row r="5456">
          <cell r="W5456">
            <v>0</v>
          </cell>
          <cell r="AB5456" t="str">
            <v>line item not tagged</v>
          </cell>
        </row>
        <row r="5457">
          <cell r="W5457">
            <v>0</v>
          </cell>
          <cell r="AB5457" t="str">
            <v>line item not tagged</v>
          </cell>
        </row>
        <row r="5458">
          <cell r="W5458">
            <v>0</v>
          </cell>
          <cell r="AB5458" t="str">
            <v>line item not tagged</v>
          </cell>
        </row>
        <row r="5459">
          <cell r="W5459">
            <v>0</v>
          </cell>
          <cell r="AB5459" t="str">
            <v>line item not tagged</v>
          </cell>
        </row>
        <row r="5460">
          <cell r="W5460">
            <v>0</v>
          </cell>
          <cell r="AB5460" t="str">
            <v>line item not tagged</v>
          </cell>
        </row>
        <row r="5461">
          <cell r="W5461">
            <v>0</v>
          </cell>
          <cell r="AB5461" t="str">
            <v>line item not tagged</v>
          </cell>
        </row>
        <row r="5462">
          <cell r="W5462">
            <v>0</v>
          </cell>
          <cell r="AB5462" t="str">
            <v>line item not tagged</v>
          </cell>
        </row>
        <row r="5463">
          <cell r="W5463">
            <v>0</v>
          </cell>
          <cell r="AB5463" t="str">
            <v>line item not tagged</v>
          </cell>
        </row>
        <row r="5464">
          <cell r="W5464">
            <v>0</v>
          </cell>
          <cell r="AB5464" t="str">
            <v>line item not tagged</v>
          </cell>
        </row>
        <row r="5465">
          <cell r="W5465">
            <v>0</v>
          </cell>
          <cell r="AB5465" t="str">
            <v>line item not tagged</v>
          </cell>
        </row>
        <row r="5466">
          <cell r="W5466">
            <v>0</v>
          </cell>
          <cell r="AB5466" t="str">
            <v>line item not tagged</v>
          </cell>
        </row>
        <row r="5467">
          <cell r="W5467">
            <v>0</v>
          </cell>
          <cell r="AB5467" t="str">
            <v>line item not tagged</v>
          </cell>
        </row>
        <row r="5468">
          <cell r="W5468">
            <v>0</v>
          </cell>
          <cell r="AB5468" t="str">
            <v>line item not tagged</v>
          </cell>
        </row>
        <row r="5469">
          <cell r="W5469">
            <v>0</v>
          </cell>
          <cell r="AB5469" t="str">
            <v>line item not tagged</v>
          </cell>
        </row>
        <row r="5470">
          <cell r="W5470">
            <v>0</v>
          </cell>
          <cell r="AB5470" t="str">
            <v>line item not tagged</v>
          </cell>
        </row>
        <row r="5471">
          <cell r="W5471">
            <v>0</v>
          </cell>
          <cell r="AB5471" t="str">
            <v>line item not tagged</v>
          </cell>
        </row>
        <row r="5472">
          <cell r="W5472">
            <v>0</v>
          </cell>
          <cell r="AB5472" t="str">
            <v>line item not tagged</v>
          </cell>
        </row>
        <row r="5473">
          <cell r="W5473">
            <v>0</v>
          </cell>
          <cell r="AB5473" t="str">
            <v>line item not tagged</v>
          </cell>
        </row>
        <row r="5474">
          <cell r="W5474">
            <v>0</v>
          </cell>
          <cell r="AB5474" t="str">
            <v>line item not tagged</v>
          </cell>
        </row>
        <row r="5475">
          <cell r="W5475">
            <v>0</v>
          </cell>
          <cell r="AB5475" t="str">
            <v>line item not tagged</v>
          </cell>
        </row>
        <row r="5476">
          <cell r="W5476">
            <v>0</v>
          </cell>
          <cell r="AB5476" t="str">
            <v>line item not tagged</v>
          </cell>
        </row>
        <row r="5477">
          <cell r="W5477">
            <v>0</v>
          </cell>
          <cell r="AB5477" t="str">
            <v>line item not tagged</v>
          </cell>
        </row>
        <row r="5478">
          <cell r="W5478">
            <v>0</v>
          </cell>
          <cell r="AB5478" t="str">
            <v>line item not tagged</v>
          </cell>
        </row>
        <row r="5479">
          <cell r="W5479">
            <v>0</v>
          </cell>
          <cell r="AB5479" t="str">
            <v>line item not tagged</v>
          </cell>
        </row>
        <row r="5480">
          <cell r="W5480">
            <v>0</v>
          </cell>
          <cell r="AB5480" t="str">
            <v>line item not tagged</v>
          </cell>
        </row>
        <row r="5481">
          <cell r="W5481">
            <v>0</v>
          </cell>
          <cell r="AB5481" t="str">
            <v>line item not tagged</v>
          </cell>
        </row>
        <row r="5482">
          <cell r="W5482">
            <v>0</v>
          </cell>
          <cell r="AB5482" t="str">
            <v>line item not tagged</v>
          </cell>
        </row>
        <row r="5483">
          <cell r="W5483">
            <v>0</v>
          </cell>
          <cell r="AB5483" t="str">
            <v>line item not tagged</v>
          </cell>
        </row>
        <row r="5484">
          <cell r="W5484">
            <v>0</v>
          </cell>
          <cell r="AB5484" t="str">
            <v>line item not tagged</v>
          </cell>
        </row>
        <row r="5485">
          <cell r="W5485">
            <v>0</v>
          </cell>
          <cell r="AB5485" t="str">
            <v>line item not tagged</v>
          </cell>
        </row>
        <row r="5486">
          <cell r="W5486">
            <v>0</v>
          </cell>
          <cell r="AB5486" t="str">
            <v>line item not tagged</v>
          </cell>
        </row>
        <row r="5487">
          <cell r="W5487">
            <v>0</v>
          </cell>
          <cell r="AB5487" t="str">
            <v>line item not tagged</v>
          </cell>
        </row>
        <row r="5488">
          <cell r="W5488">
            <v>0</v>
          </cell>
          <cell r="AB5488" t="str">
            <v>line item not tagged</v>
          </cell>
        </row>
        <row r="5489">
          <cell r="W5489">
            <v>0</v>
          </cell>
          <cell r="AB5489" t="str">
            <v>line item not tagged</v>
          </cell>
        </row>
        <row r="5490">
          <cell r="W5490">
            <v>0</v>
          </cell>
          <cell r="AB5490" t="str">
            <v>line item not tagged</v>
          </cell>
        </row>
        <row r="5491">
          <cell r="W5491">
            <v>0</v>
          </cell>
          <cell r="AB5491" t="str">
            <v>line item not tagged</v>
          </cell>
        </row>
        <row r="5492">
          <cell r="W5492">
            <v>0</v>
          </cell>
          <cell r="AB5492" t="str">
            <v>line item not tagged</v>
          </cell>
        </row>
        <row r="5493">
          <cell r="W5493">
            <v>0</v>
          </cell>
          <cell r="AB5493" t="str">
            <v>line item not tagged</v>
          </cell>
        </row>
        <row r="5494">
          <cell r="W5494">
            <v>0</v>
          </cell>
          <cell r="AB5494" t="str">
            <v>line item not tagged</v>
          </cell>
        </row>
        <row r="5495">
          <cell r="W5495">
            <v>0</v>
          </cell>
          <cell r="AB5495" t="str">
            <v>line item not tagged</v>
          </cell>
        </row>
        <row r="5496">
          <cell r="W5496">
            <v>0</v>
          </cell>
          <cell r="AB5496" t="str">
            <v>line item not tagged</v>
          </cell>
        </row>
        <row r="5497">
          <cell r="W5497">
            <v>0</v>
          </cell>
          <cell r="AB5497" t="str">
            <v>line item not tagged</v>
          </cell>
        </row>
        <row r="5498">
          <cell r="W5498">
            <v>0</v>
          </cell>
          <cell r="AB5498" t="str">
            <v>line item not tagged</v>
          </cell>
        </row>
        <row r="5499">
          <cell r="W5499">
            <v>0</v>
          </cell>
          <cell r="AB5499" t="str">
            <v>line item not tagged</v>
          </cell>
        </row>
        <row r="5500">
          <cell r="W5500">
            <v>0</v>
          </cell>
          <cell r="AB5500" t="str">
            <v>line item not tagged</v>
          </cell>
        </row>
        <row r="5501">
          <cell r="W5501">
            <v>0</v>
          </cell>
          <cell r="AB5501" t="str">
            <v>line item not tagged</v>
          </cell>
        </row>
        <row r="5502">
          <cell r="W5502">
            <v>0</v>
          </cell>
          <cell r="AB5502" t="str">
            <v>line item not tagged</v>
          </cell>
        </row>
        <row r="5503">
          <cell r="W5503">
            <v>0</v>
          </cell>
          <cell r="AB5503" t="str">
            <v>line item not tagged</v>
          </cell>
        </row>
        <row r="5504">
          <cell r="W5504">
            <v>0</v>
          </cell>
          <cell r="AB5504" t="str">
            <v>line item not tagged</v>
          </cell>
        </row>
        <row r="5505">
          <cell r="W5505">
            <v>0</v>
          </cell>
          <cell r="AB5505" t="str">
            <v>line item not tagged</v>
          </cell>
        </row>
        <row r="5506">
          <cell r="W5506">
            <v>0</v>
          </cell>
          <cell r="AB5506" t="str">
            <v>line item not tagged</v>
          </cell>
        </row>
        <row r="5507">
          <cell r="W5507">
            <v>0</v>
          </cell>
          <cell r="AB5507" t="str">
            <v>line item not tagged</v>
          </cell>
        </row>
        <row r="5508">
          <cell r="W5508">
            <v>0</v>
          </cell>
          <cell r="AB5508" t="str">
            <v>line item not tagged</v>
          </cell>
        </row>
        <row r="5509">
          <cell r="W5509">
            <v>0</v>
          </cell>
          <cell r="AB5509" t="str">
            <v>line item not tagged</v>
          </cell>
        </row>
        <row r="5510">
          <cell r="W5510">
            <v>0</v>
          </cell>
          <cell r="AB5510" t="str">
            <v>line item not tagged</v>
          </cell>
        </row>
        <row r="5511">
          <cell r="W5511">
            <v>0</v>
          </cell>
          <cell r="AB5511" t="str">
            <v>line item not tagged</v>
          </cell>
        </row>
        <row r="5512">
          <cell r="W5512">
            <v>0</v>
          </cell>
          <cell r="AB5512" t="str">
            <v>line item not tagged</v>
          </cell>
        </row>
        <row r="5513">
          <cell r="W5513">
            <v>0</v>
          </cell>
          <cell r="AB5513" t="str">
            <v>line item not tagged</v>
          </cell>
        </row>
        <row r="5514">
          <cell r="W5514">
            <v>0</v>
          </cell>
          <cell r="AB5514" t="str">
            <v>line item not tagged</v>
          </cell>
        </row>
        <row r="5515">
          <cell r="W5515">
            <v>0</v>
          </cell>
          <cell r="AB5515" t="str">
            <v>line item not tagged</v>
          </cell>
        </row>
        <row r="5516">
          <cell r="W5516">
            <v>0</v>
          </cell>
          <cell r="AB5516" t="str">
            <v>line item not tagged</v>
          </cell>
        </row>
        <row r="5517">
          <cell r="W5517">
            <v>0</v>
          </cell>
          <cell r="AB5517" t="str">
            <v>line item not tagged</v>
          </cell>
        </row>
        <row r="5518">
          <cell r="W5518">
            <v>0</v>
          </cell>
          <cell r="AB5518" t="str">
            <v>line item not tagged</v>
          </cell>
        </row>
        <row r="5519">
          <cell r="W5519">
            <v>0</v>
          </cell>
          <cell r="AB5519" t="str">
            <v>line item not tagged</v>
          </cell>
        </row>
        <row r="5520">
          <cell r="W5520">
            <v>0</v>
          </cell>
          <cell r="AB5520" t="str">
            <v>line item not tagged</v>
          </cell>
        </row>
        <row r="5521">
          <cell r="W5521">
            <v>0</v>
          </cell>
          <cell r="AB5521" t="str">
            <v>line item not tagged</v>
          </cell>
        </row>
        <row r="5522">
          <cell r="W5522">
            <v>0</v>
          </cell>
          <cell r="AB5522" t="str">
            <v>line item not tagged</v>
          </cell>
        </row>
        <row r="5523">
          <cell r="W5523">
            <v>0</v>
          </cell>
          <cell r="AB5523" t="str">
            <v>line item not tagged</v>
          </cell>
        </row>
        <row r="5524">
          <cell r="W5524">
            <v>0</v>
          </cell>
          <cell r="AB5524" t="str">
            <v>line item not tagged</v>
          </cell>
        </row>
        <row r="5525">
          <cell r="W5525">
            <v>0</v>
          </cell>
          <cell r="AB5525" t="str">
            <v>line item not tagged</v>
          </cell>
        </row>
        <row r="5526">
          <cell r="W5526">
            <v>0</v>
          </cell>
          <cell r="AB5526" t="str">
            <v>line item not tagged</v>
          </cell>
        </row>
        <row r="5527">
          <cell r="W5527">
            <v>0</v>
          </cell>
          <cell r="AB5527" t="str">
            <v>line item not tagged</v>
          </cell>
        </row>
        <row r="5528">
          <cell r="W5528">
            <v>0</v>
          </cell>
          <cell r="AB5528" t="str">
            <v>line item not tagged</v>
          </cell>
        </row>
        <row r="5529">
          <cell r="W5529">
            <v>0</v>
          </cell>
          <cell r="AB5529" t="str">
            <v>line item not tagged</v>
          </cell>
        </row>
        <row r="5530">
          <cell r="W5530">
            <v>0</v>
          </cell>
          <cell r="AB5530" t="str">
            <v>line item not tagged</v>
          </cell>
        </row>
        <row r="5531">
          <cell r="W5531">
            <v>0</v>
          </cell>
          <cell r="AB5531" t="str">
            <v>line item not tagged</v>
          </cell>
        </row>
        <row r="5532">
          <cell r="W5532">
            <v>0</v>
          </cell>
          <cell r="AB5532" t="str">
            <v>line item not tagged</v>
          </cell>
        </row>
        <row r="5533">
          <cell r="W5533">
            <v>0</v>
          </cell>
          <cell r="AB5533" t="str">
            <v>line item not tagged</v>
          </cell>
        </row>
        <row r="5534">
          <cell r="W5534">
            <v>0</v>
          </cell>
          <cell r="AB5534" t="str">
            <v>line item not tagged</v>
          </cell>
        </row>
        <row r="5535">
          <cell r="W5535">
            <v>0</v>
          </cell>
          <cell r="AB5535" t="str">
            <v>line item not tagged</v>
          </cell>
        </row>
        <row r="5536">
          <cell r="W5536">
            <v>0</v>
          </cell>
          <cell r="AB5536" t="str">
            <v>line item not tagged</v>
          </cell>
        </row>
        <row r="5537">
          <cell r="W5537">
            <v>0</v>
          </cell>
          <cell r="AB5537" t="str">
            <v>line item not tagged</v>
          </cell>
        </row>
        <row r="5538">
          <cell r="W5538">
            <v>0</v>
          </cell>
          <cell r="AB5538" t="str">
            <v>line item not tagged</v>
          </cell>
        </row>
        <row r="5539">
          <cell r="W5539">
            <v>0</v>
          </cell>
          <cell r="AB5539" t="str">
            <v>line item not tagged</v>
          </cell>
        </row>
        <row r="5540">
          <cell r="W5540">
            <v>0</v>
          </cell>
          <cell r="AB5540" t="str">
            <v>line item not tagged</v>
          </cell>
        </row>
        <row r="5541">
          <cell r="W5541">
            <v>0</v>
          </cell>
          <cell r="AB5541" t="str">
            <v>line item not tagged</v>
          </cell>
        </row>
        <row r="5542">
          <cell r="W5542">
            <v>0</v>
          </cell>
          <cell r="AB5542" t="str">
            <v>line item not tagged</v>
          </cell>
        </row>
        <row r="5543">
          <cell r="W5543">
            <v>0</v>
          </cell>
          <cell r="AB5543" t="str">
            <v>line item not tagged</v>
          </cell>
        </row>
        <row r="5544">
          <cell r="W5544">
            <v>0</v>
          </cell>
          <cell r="AB5544" t="str">
            <v>line item not tagged</v>
          </cell>
        </row>
        <row r="5545">
          <cell r="W5545">
            <v>0</v>
          </cell>
          <cell r="AB5545" t="str">
            <v>line item not tagged</v>
          </cell>
        </row>
        <row r="5546">
          <cell r="W5546">
            <v>0</v>
          </cell>
          <cell r="AB5546" t="str">
            <v>line item not tagged</v>
          </cell>
        </row>
        <row r="5547">
          <cell r="W5547">
            <v>0</v>
          </cell>
          <cell r="AB5547" t="str">
            <v>line item not tagged</v>
          </cell>
        </row>
        <row r="5548">
          <cell r="W5548">
            <v>0</v>
          </cell>
          <cell r="AB5548" t="str">
            <v>line item not tagged</v>
          </cell>
        </row>
        <row r="5549">
          <cell r="W5549">
            <v>0</v>
          </cell>
          <cell r="AB5549" t="str">
            <v>line item not tagged</v>
          </cell>
        </row>
        <row r="5550">
          <cell r="W5550">
            <v>0</v>
          </cell>
          <cell r="AB5550" t="str">
            <v>line item not tagged</v>
          </cell>
        </row>
        <row r="5551">
          <cell r="W5551">
            <v>0</v>
          </cell>
          <cell r="AB5551" t="str">
            <v>line item not tagged</v>
          </cell>
        </row>
        <row r="5552">
          <cell r="W5552">
            <v>0</v>
          </cell>
          <cell r="AB5552" t="str">
            <v>line item not tagged</v>
          </cell>
        </row>
        <row r="5553">
          <cell r="W5553">
            <v>0</v>
          </cell>
          <cell r="AB5553" t="str">
            <v>line item not tagged</v>
          </cell>
        </row>
        <row r="5554">
          <cell r="W5554">
            <v>0</v>
          </cell>
          <cell r="AB5554" t="str">
            <v>line item not tagged</v>
          </cell>
        </row>
        <row r="5555">
          <cell r="W5555">
            <v>0</v>
          </cell>
          <cell r="AB5555" t="str">
            <v>line item not tagged</v>
          </cell>
        </row>
        <row r="5556">
          <cell r="W5556">
            <v>0</v>
          </cell>
          <cell r="AB5556" t="str">
            <v>line item not tagged</v>
          </cell>
        </row>
        <row r="5557">
          <cell r="W5557">
            <v>0</v>
          </cell>
          <cell r="AB5557" t="str">
            <v>line item not tagged</v>
          </cell>
        </row>
        <row r="5558">
          <cell r="W5558">
            <v>0</v>
          </cell>
          <cell r="AB5558" t="str">
            <v>line item not tagged</v>
          </cell>
        </row>
        <row r="5559">
          <cell r="W5559">
            <v>0</v>
          </cell>
          <cell r="AB5559" t="str">
            <v>line item not tagged</v>
          </cell>
        </row>
        <row r="5560">
          <cell r="W5560">
            <v>0</v>
          </cell>
          <cell r="AB5560" t="str">
            <v>line item not tagged</v>
          </cell>
        </row>
        <row r="5561">
          <cell r="W5561">
            <v>0</v>
          </cell>
          <cell r="AB5561" t="str">
            <v>line item not tagged</v>
          </cell>
        </row>
        <row r="5562">
          <cell r="W5562">
            <v>0</v>
          </cell>
          <cell r="AB5562" t="str">
            <v>line item not tagged</v>
          </cell>
        </row>
        <row r="5563">
          <cell r="W5563">
            <v>0</v>
          </cell>
          <cell r="AB5563" t="str">
            <v>line item not tagged</v>
          </cell>
        </row>
        <row r="5564">
          <cell r="W5564">
            <v>0</v>
          </cell>
          <cell r="AB5564" t="str">
            <v>line item not tagged</v>
          </cell>
        </row>
        <row r="5565">
          <cell r="W5565">
            <v>0</v>
          </cell>
          <cell r="AB5565" t="str">
            <v>line item not tagged</v>
          </cell>
        </row>
        <row r="5566">
          <cell r="W5566">
            <v>0</v>
          </cell>
          <cell r="AB5566" t="str">
            <v>line item not tagged</v>
          </cell>
        </row>
        <row r="5567">
          <cell r="W5567">
            <v>0</v>
          </cell>
          <cell r="AB5567" t="str">
            <v>line item not tagged</v>
          </cell>
        </row>
        <row r="5568">
          <cell r="W5568">
            <v>0</v>
          </cell>
          <cell r="AB5568" t="str">
            <v>line item not tagged</v>
          </cell>
        </row>
        <row r="5569">
          <cell r="W5569">
            <v>0</v>
          </cell>
          <cell r="AB5569" t="str">
            <v>line item not tagged</v>
          </cell>
        </row>
        <row r="5570">
          <cell r="W5570">
            <v>0</v>
          </cell>
          <cell r="AB5570" t="str">
            <v>line item not tagged</v>
          </cell>
        </row>
        <row r="5571">
          <cell r="W5571">
            <v>0</v>
          </cell>
          <cell r="AB5571" t="str">
            <v>line item not tagged</v>
          </cell>
        </row>
        <row r="5572">
          <cell r="W5572">
            <v>0</v>
          </cell>
          <cell r="AB5572" t="str">
            <v>line item not tagged</v>
          </cell>
        </row>
        <row r="5573">
          <cell r="W5573">
            <v>0</v>
          </cell>
          <cell r="AB5573" t="str">
            <v>line item not tagged</v>
          </cell>
        </row>
        <row r="5574">
          <cell r="W5574">
            <v>0</v>
          </cell>
          <cell r="AB5574" t="str">
            <v>line item not tagged</v>
          </cell>
        </row>
        <row r="5575">
          <cell r="W5575">
            <v>0</v>
          </cell>
          <cell r="AB5575" t="str">
            <v>line item not tagged</v>
          </cell>
        </row>
        <row r="5576">
          <cell r="W5576">
            <v>0</v>
          </cell>
          <cell r="AB5576" t="str">
            <v>line item not tagged</v>
          </cell>
        </row>
        <row r="5577">
          <cell r="W5577">
            <v>0</v>
          </cell>
          <cell r="AB5577" t="str">
            <v>line item not tagged</v>
          </cell>
        </row>
        <row r="5578">
          <cell r="W5578">
            <v>0</v>
          </cell>
          <cell r="AB5578" t="str">
            <v>line item not tagged</v>
          </cell>
        </row>
        <row r="5579">
          <cell r="W5579">
            <v>0</v>
          </cell>
          <cell r="AB5579" t="str">
            <v>line item not tagged</v>
          </cell>
        </row>
        <row r="5580">
          <cell r="W5580">
            <v>0</v>
          </cell>
          <cell r="AB5580" t="str">
            <v>line item not tagged</v>
          </cell>
        </row>
        <row r="5581">
          <cell r="W5581">
            <v>0</v>
          </cell>
          <cell r="AB5581" t="str">
            <v>line item not tagged</v>
          </cell>
        </row>
        <row r="5582">
          <cell r="W5582">
            <v>0</v>
          </cell>
          <cell r="AB5582" t="str">
            <v>line item not tagged</v>
          </cell>
        </row>
        <row r="5583">
          <cell r="W5583">
            <v>0</v>
          </cell>
          <cell r="AB5583" t="str">
            <v>line item not tagged</v>
          </cell>
        </row>
        <row r="5584">
          <cell r="W5584">
            <v>0</v>
          </cell>
          <cell r="AB5584" t="str">
            <v>line item not tagged</v>
          </cell>
        </row>
        <row r="5585">
          <cell r="W5585">
            <v>0</v>
          </cell>
          <cell r="AB5585" t="str">
            <v>line item not tagged</v>
          </cell>
        </row>
        <row r="5586">
          <cell r="W5586">
            <v>0</v>
          </cell>
          <cell r="AB5586" t="str">
            <v>line item not tagged</v>
          </cell>
        </row>
        <row r="5587">
          <cell r="W5587">
            <v>0</v>
          </cell>
          <cell r="AB5587" t="str">
            <v>line item not tagged</v>
          </cell>
        </row>
        <row r="5588">
          <cell r="W5588">
            <v>0</v>
          </cell>
          <cell r="AB5588" t="str">
            <v>line item not tagged</v>
          </cell>
        </row>
        <row r="5589">
          <cell r="W5589">
            <v>0</v>
          </cell>
          <cell r="AB5589" t="str">
            <v>line item not tagged</v>
          </cell>
        </row>
        <row r="5590">
          <cell r="W5590">
            <v>0</v>
          </cell>
          <cell r="AB5590" t="str">
            <v>line item not tagged</v>
          </cell>
        </row>
        <row r="5591">
          <cell r="W5591">
            <v>0</v>
          </cell>
          <cell r="AB5591" t="str">
            <v>line item not tagged</v>
          </cell>
        </row>
        <row r="5592">
          <cell r="W5592">
            <v>0</v>
          </cell>
          <cell r="AB5592" t="str">
            <v>line item not tagged</v>
          </cell>
        </row>
        <row r="5593">
          <cell r="W5593">
            <v>0</v>
          </cell>
          <cell r="AB5593" t="str">
            <v>line item not tagged</v>
          </cell>
        </row>
        <row r="5594">
          <cell r="W5594">
            <v>0</v>
          </cell>
          <cell r="AB5594" t="str">
            <v>line item not tagged</v>
          </cell>
        </row>
        <row r="5595">
          <cell r="W5595">
            <v>0</v>
          </cell>
          <cell r="AB5595" t="str">
            <v>line item not tagged</v>
          </cell>
        </row>
        <row r="5596">
          <cell r="W5596">
            <v>0</v>
          </cell>
          <cell r="AB5596" t="str">
            <v>line item not tagged</v>
          </cell>
        </row>
        <row r="5597">
          <cell r="W5597">
            <v>0</v>
          </cell>
          <cell r="AB5597" t="str">
            <v>line item not tagged</v>
          </cell>
        </row>
        <row r="5598">
          <cell r="W5598">
            <v>0</v>
          </cell>
          <cell r="AB5598" t="str">
            <v>line item not tagged</v>
          </cell>
        </row>
        <row r="5599">
          <cell r="W5599">
            <v>0</v>
          </cell>
          <cell r="AB5599" t="str">
            <v>line item not tagged</v>
          </cell>
        </row>
        <row r="5600">
          <cell r="W5600">
            <v>0</v>
          </cell>
          <cell r="AB5600" t="str">
            <v>line item not tagged</v>
          </cell>
        </row>
        <row r="5601">
          <cell r="W5601">
            <v>0</v>
          </cell>
          <cell r="AB5601" t="str">
            <v>line item not tagged</v>
          </cell>
        </row>
        <row r="5602">
          <cell r="W5602">
            <v>0</v>
          </cell>
          <cell r="AB5602" t="str">
            <v>line item not tagged</v>
          </cell>
        </row>
        <row r="5603">
          <cell r="W5603">
            <v>0</v>
          </cell>
          <cell r="AB5603" t="str">
            <v>line item not tagged</v>
          </cell>
        </row>
        <row r="5604">
          <cell r="W5604">
            <v>0</v>
          </cell>
          <cell r="AB5604" t="str">
            <v>line item not tagged</v>
          </cell>
        </row>
        <row r="5605">
          <cell r="W5605">
            <v>0</v>
          </cell>
          <cell r="AB5605" t="str">
            <v>line item not tagged</v>
          </cell>
        </row>
        <row r="5606">
          <cell r="W5606">
            <v>0</v>
          </cell>
          <cell r="AB5606" t="str">
            <v>line item not tagged</v>
          </cell>
        </row>
        <row r="5607">
          <cell r="W5607">
            <v>0</v>
          </cell>
          <cell r="AB5607" t="str">
            <v>line item not tagged</v>
          </cell>
        </row>
        <row r="5608">
          <cell r="W5608">
            <v>0</v>
          </cell>
          <cell r="AB5608" t="str">
            <v>line item not tagged</v>
          </cell>
        </row>
        <row r="5609">
          <cell r="W5609">
            <v>0</v>
          </cell>
          <cell r="AB5609" t="str">
            <v>line item not tagged</v>
          </cell>
        </row>
        <row r="5610">
          <cell r="W5610">
            <v>0</v>
          </cell>
          <cell r="AB5610" t="str">
            <v>line item not tagged</v>
          </cell>
        </row>
        <row r="5611">
          <cell r="W5611">
            <v>0</v>
          </cell>
          <cell r="AB5611" t="str">
            <v>line item not tagged</v>
          </cell>
        </row>
        <row r="5612">
          <cell r="W5612">
            <v>0</v>
          </cell>
          <cell r="AB5612" t="str">
            <v>line item not tagged</v>
          </cell>
        </row>
        <row r="5613">
          <cell r="W5613">
            <v>0</v>
          </cell>
          <cell r="AB5613" t="str">
            <v>line item not tagged</v>
          </cell>
        </row>
        <row r="5614">
          <cell r="W5614">
            <v>0</v>
          </cell>
          <cell r="AB5614" t="str">
            <v>line item not tagged</v>
          </cell>
        </row>
        <row r="5615">
          <cell r="W5615">
            <v>0</v>
          </cell>
          <cell r="AB5615" t="str">
            <v>line item not tagged</v>
          </cell>
        </row>
        <row r="5616">
          <cell r="W5616">
            <v>0</v>
          </cell>
          <cell r="AB5616" t="str">
            <v>line item not tagged</v>
          </cell>
        </row>
        <row r="5617">
          <cell r="W5617">
            <v>0</v>
          </cell>
          <cell r="AB5617" t="str">
            <v>line item not tagged</v>
          </cell>
        </row>
        <row r="5618">
          <cell r="W5618">
            <v>0</v>
          </cell>
          <cell r="AB5618" t="str">
            <v>line item not tagged</v>
          </cell>
        </row>
        <row r="5619">
          <cell r="W5619">
            <v>0</v>
          </cell>
          <cell r="AB5619" t="str">
            <v>line item not tagged</v>
          </cell>
        </row>
        <row r="5620">
          <cell r="W5620">
            <v>0</v>
          </cell>
          <cell r="AB5620" t="str">
            <v>line item not tagged</v>
          </cell>
        </row>
        <row r="5621">
          <cell r="W5621">
            <v>0</v>
          </cell>
          <cell r="AB5621" t="str">
            <v>line item not tagged</v>
          </cell>
        </row>
        <row r="5622">
          <cell r="W5622">
            <v>0</v>
          </cell>
          <cell r="AB5622" t="str">
            <v>line item not tagged</v>
          </cell>
        </row>
        <row r="5623">
          <cell r="W5623">
            <v>0</v>
          </cell>
          <cell r="AB5623" t="str">
            <v>line item not tagged</v>
          </cell>
        </row>
        <row r="5624">
          <cell r="W5624">
            <v>0</v>
          </cell>
          <cell r="AB5624" t="str">
            <v>line item not tagged</v>
          </cell>
        </row>
        <row r="5625">
          <cell r="W5625">
            <v>0</v>
          </cell>
          <cell r="AB5625" t="str">
            <v>line item not tagged</v>
          </cell>
        </row>
        <row r="5626">
          <cell r="W5626">
            <v>0</v>
          </cell>
          <cell r="AB5626" t="str">
            <v>line item not tagged</v>
          </cell>
        </row>
        <row r="5627">
          <cell r="W5627">
            <v>0</v>
          </cell>
          <cell r="AB5627" t="str">
            <v>line item not tagged</v>
          </cell>
        </row>
        <row r="5628">
          <cell r="W5628">
            <v>0</v>
          </cell>
          <cell r="AB5628" t="str">
            <v>line item not tagged</v>
          </cell>
        </row>
        <row r="5629">
          <cell r="W5629">
            <v>0</v>
          </cell>
          <cell r="AB5629" t="str">
            <v>line item not tagged</v>
          </cell>
        </row>
        <row r="5630">
          <cell r="W5630">
            <v>0</v>
          </cell>
          <cell r="AB5630" t="str">
            <v>line item not tagged</v>
          </cell>
        </row>
        <row r="5631">
          <cell r="W5631">
            <v>0</v>
          </cell>
          <cell r="AB5631" t="str">
            <v>line item not tagged</v>
          </cell>
        </row>
        <row r="5632">
          <cell r="W5632">
            <v>0</v>
          </cell>
          <cell r="AB5632" t="str">
            <v>line item not tagged</v>
          </cell>
        </row>
        <row r="5633">
          <cell r="W5633">
            <v>0</v>
          </cell>
          <cell r="AB5633" t="str">
            <v>line item not tagged</v>
          </cell>
        </row>
        <row r="5634">
          <cell r="W5634">
            <v>0</v>
          </cell>
          <cell r="AB5634" t="str">
            <v>line item not tagged</v>
          </cell>
        </row>
        <row r="5635">
          <cell r="W5635">
            <v>0</v>
          </cell>
          <cell r="AB5635" t="str">
            <v>line item not tagged</v>
          </cell>
        </row>
        <row r="5636">
          <cell r="W5636">
            <v>0</v>
          </cell>
          <cell r="AB5636" t="str">
            <v>line item not tagged</v>
          </cell>
        </row>
        <row r="5637">
          <cell r="W5637">
            <v>0</v>
          </cell>
          <cell r="AB5637" t="str">
            <v>line item not tagged</v>
          </cell>
        </row>
        <row r="5638">
          <cell r="W5638">
            <v>0</v>
          </cell>
          <cell r="AB5638" t="str">
            <v>line item not tagged</v>
          </cell>
        </row>
        <row r="5639">
          <cell r="W5639">
            <v>0</v>
          </cell>
          <cell r="AB5639" t="str">
            <v>line item not tagged</v>
          </cell>
        </row>
        <row r="5640">
          <cell r="W5640">
            <v>0</v>
          </cell>
          <cell r="AB5640" t="str">
            <v>line item not tagged</v>
          </cell>
        </row>
        <row r="5641">
          <cell r="W5641">
            <v>0</v>
          </cell>
          <cell r="AB5641" t="str">
            <v>line item not tagged</v>
          </cell>
        </row>
        <row r="5642">
          <cell r="W5642">
            <v>0</v>
          </cell>
          <cell r="AB5642" t="str">
            <v>line item not tagged</v>
          </cell>
        </row>
        <row r="5643">
          <cell r="W5643">
            <v>0</v>
          </cell>
          <cell r="AB5643" t="str">
            <v>line item not tagged</v>
          </cell>
        </row>
        <row r="5644">
          <cell r="W5644">
            <v>0</v>
          </cell>
          <cell r="AB5644" t="str">
            <v>line item not tagged</v>
          </cell>
        </row>
        <row r="5645">
          <cell r="W5645">
            <v>0</v>
          </cell>
          <cell r="AB5645" t="str">
            <v>line item not tagged</v>
          </cell>
        </row>
        <row r="5646">
          <cell r="W5646">
            <v>0</v>
          </cell>
          <cell r="AB5646" t="str">
            <v>line item not tagged</v>
          </cell>
        </row>
        <row r="5647">
          <cell r="W5647">
            <v>0</v>
          </cell>
          <cell r="AB5647" t="str">
            <v>line item not tagged</v>
          </cell>
        </row>
        <row r="5648">
          <cell r="W5648">
            <v>0</v>
          </cell>
          <cell r="AB5648" t="str">
            <v>line item not tagged</v>
          </cell>
        </row>
        <row r="5649">
          <cell r="W5649">
            <v>0</v>
          </cell>
          <cell r="AB5649" t="str">
            <v>line item not tagged</v>
          </cell>
        </row>
        <row r="5650">
          <cell r="W5650">
            <v>0</v>
          </cell>
          <cell r="AB5650" t="str">
            <v>line item not tagged</v>
          </cell>
        </row>
        <row r="5651">
          <cell r="W5651">
            <v>0</v>
          </cell>
          <cell r="AB5651" t="str">
            <v>line item not tagged</v>
          </cell>
        </row>
        <row r="5652">
          <cell r="W5652">
            <v>0</v>
          </cell>
          <cell r="AB5652" t="str">
            <v>line item not tagged</v>
          </cell>
        </row>
        <row r="5653">
          <cell r="W5653">
            <v>0</v>
          </cell>
          <cell r="AB5653" t="str">
            <v>line item not tagged</v>
          </cell>
        </row>
        <row r="5654">
          <cell r="W5654">
            <v>0</v>
          </cell>
          <cell r="AB5654" t="str">
            <v>line item not tagged</v>
          </cell>
        </row>
        <row r="5655">
          <cell r="W5655">
            <v>0</v>
          </cell>
          <cell r="AB5655" t="str">
            <v>line item not tagged</v>
          </cell>
        </row>
        <row r="5656">
          <cell r="W5656">
            <v>0</v>
          </cell>
          <cell r="AB5656" t="str">
            <v>line item not tagged</v>
          </cell>
        </row>
        <row r="5657">
          <cell r="W5657">
            <v>0</v>
          </cell>
          <cell r="AB5657" t="str">
            <v>line item not tagged</v>
          </cell>
        </row>
        <row r="5658">
          <cell r="W5658">
            <v>0</v>
          </cell>
          <cell r="AB5658" t="str">
            <v>line item not tagged</v>
          </cell>
        </row>
        <row r="5659">
          <cell r="W5659">
            <v>0</v>
          </cell>
          <cell r="AB5659" t="str">
            <v>line item not tagged</v>
          </cell>
        </row>
        <row r="5660">
          <cell r="W5660">
            <v>0</v>
          </cell>
          <cell r="AB5660" t="str">
            <v>line item not tagged</v>
          </cell>
        </row>
        <row r="5661">
          <cell r="W5661">
            <v>0</v>
          </cell>
          <cell r="AB5661" t="str">
            <v>line item not tagged</v>
          </cell>
        </row>
        <row r="5662">
          <cell r="W5662">
            <v>0</v>
          </cell>
          <cell r="AB5662" t="str">
            <v>line item not tagged</v>
          </cell>
        </row>
        <row r="5663">
          <cell r="W5663">
            <v>0</v>
          </cell>
          <cell r="AB5663" t="str">
            <v>line item not tagged</v>
          </cell>
        </row>
        <row r="5664">
          <cell r="W5664">
            <v>0</v>
          </cell>
          <cell r="AB5664" t="str">
            <v>line item not tagged</v>
          </cell>
        </row>
        <row r="5665">
          <cell r="W5665">
            <v>0</v>
          </cell>
          <cell r="AB5665" t="str">
            <v>line item not tagged</v>
          </cell>
        </row>
        <row r="5666">
          <cell r="W5666">
            <v>0</v>
          </cell>
          <cell r="AB5666" t="str">
            <v>line item not tagged</v>
          </cell>
        </row>
        <row r="5667">
          <cell r="W5667">
            <v>0</v>
          </cell>
          <cell r="AB5667" t="str">
            <v>line item not tagged</v>
          </cell>
        </row>
        <row r="5668">
          <cell r="W5668">
            <v>0</v>
          </cell>
          <cell r="AB5668" t="str">
            <v>line item not tagged</v>
          </cell>
        </row>
        <row r="5669">
          <cell r="W5669">
            <v>0</v>
          </cell>
          <cell r="AB5669" t="str">
            <v>line item not tagged</v>
          </cell>
        </row>
        <row r="5670">
          <cell r="W5670">
            <v>0</v>
          </cell>
          <cell r="AB5670" t="str">
            <v>line item not tagged</v>
          </cell>
        </row>
        <row r="5671">
          <cell r="W5671">
            <v>0</v>
          </cell>
          <cell r="AB5671" t="str">
            <v>line item not tagged</v>
          </cell>
        </row>
        <row r="5672">
          <cell r="W5672">
            <v>0</v>
          </cell>
          <cell r="AB5672" t="str">
            <v>line item not tagged</v>
          </cell>
        </row>
        <row r="5673">
          <cell r="W5673">
            <v>0</v>
          </cell>
          <cell r="AB5673" t="str">
            <v>line item not tagged</v>
          </cell>
        </row>
        <row r="5674">
          <cell r="W5674">
            <v>0</v>
          </cell>
          <cell r="AB5674" t="str">
            <v>line item not tagged</v>
          </cell>
        </row>
        <row r="5675">
          <cell r="W5675">
            <v>0</v>
          </cell>
          <cell r="AB5675" t="str">
            <v>line item not tagged</v>
          </cell>
        </row>
        <row r="5676">
          <cell r="W5676">
            <v>0</v>
          </cell>
          <cell r="AB5676" t="str">
            <v>line item not tagged</v>
          </cell>
        </row>
        <row r="5677">
          <cell r="W5677">
            <v>0</v>
          </cell>
          <cell r="AB5677" t="str">
            <v>line item not tagged</v>
          </cell>
        </row>
        <row r="5678">
          <cell r="W5678">
            <v>0</v>
          </cell>
          <cell r="AB5678" t="str">
            <v>line item not tagged</v>
          </cell>
        </row>
        <row r="5679">
          <cell r="W5679">
            <v>0</v>
          </cell>
          <cell r="AB5679" t="str">
            <v>line item not tagged</v>
          </cell>
        </row>
        <row r="5680">
          <cell r="W5680">
            <v>0</v>
          </cell>
          <cell r="AB5680" t="str">
            <v>line item not tagged</v>
          </cell>
        </row>
        <row r="5681">
          <cell r="W5681">
            <v>0</v>
          </cell>
          <cell r="AB5681" t="str">
            <v>line item not tagged</v>
          </cell>
        </row>
        <row r="5682">
          <cell r="W5682">
            <v>0</v>
          </cell>
          <cell r="AB5682" t="str">
            <v>line item not tagged</v>
          </cell>
        </row>
        <row r="5683">
          <cell r="W5683">
            <v>0</v>
          </cell>
          <cell r="AB5683" t="str">
            <v>line item not tagged</v>
          </cell>
        </row>
        <row r="5684">
          <cell r="W5684">
            <v>0</v>
          </cell>
          <cell r="AB5684" t="str">
            <v>line item not tagged</v>
          </cell>
        </row>
        <row r="5685">
          <cell r="W5685">
            <v>0</v>
          </cell>
          <cell r="AB5685" t="str">
            <v>line item not tagged</v>
          </cell>
        </row>
        <row r="5686">
          <cell r="W5686">
            <v>0</v>
          </cell>
          <cell r="AB5686" t="str">
            <v>line item not tagged</v>
          </cell>
        </row>
        <row r="5687">
          <cell r="W5687">
            <v>0</v>
          </cell>
          <cell r="AB5687" t="str">
            <v>line item not tagged</v>
          </cell>
        </row>
        <row r="5688">
          <cell r="W5688">
            <v>0</v>
          </cell>
          <cell r="AB5688" t="str">
            <v>line item not tagged</v>
          </cell>
        </row>
        <row r="5689">
          <cell r="W5689">
            <v>0</v>
          </cell>
          <cell r="AB5689" t="str">
            <v>line item not tagged</v>
          </cell>
        </row>
        <row r="5690">
          <cell r="W5690">
            <v>0</v>
          </cell>
          <cell r="AB5690" t="str">
            <v>line item not tagged</v>
          </cell>
        </row>
        <row r="5691">
          <cell r="W5691">
            <v>0</v>
          </cell>
          <cell r="AB5691" t="str">
            <v>line item not tagged</v>
          </cell>
        </row>
        <row r="5692">
          <cell r="W5692">
            <v>0</v>
          </cell>
          <cell r="AB5692" t="str">
            <v>line item not tagged</v>
          </cell>
        </row>
        <row r="5693">
          <cell r="W5693">
            <v>0</v>
          </cell>
          <cell r="AB5693" t="str">
            <v>line item not tagged</v>
          </cell>
        </row>
        <row r="5694">
          <cell r="W5694">
            <v>0</v>
          </cell>
          <cell r="AB5694" t="str">
            <v>line item not tagged</v>
          </cell>
        </row>
        <row r="5695">
          <cell r="W5695">
            <v>0</v>
          </cell>
          <cell r="AB5695" t="str">
            <v>line item not tagged</v>
          </cell>
        </row>
        <row r="5696">
          <cell r="W5696">
            <v>0</v>
          </cell>
          <cell r="AB5696" t="str">
            <v>line item not tagged</v>
          </cell>
        </row>
        <row r="5697">
          <cell r="W5697">
            <v>0</v>
          </cell>
          <cell r="AB5697" t="str">
            <v>line item not tagged</v>
          </cell>
        </row>
        <row r="5698">
          <cell r="W5698">
            <v>0</v>
          </cell>
          <cell r="AB5698" t="str">
            <v>line item not tagged</v>
          </cell>
        </row>
        <row r="5699">
          <cell r="W5699">
            <v>0</v>
          </cell>
          <cell r="AB5699" t="str">
            <v>line item not tagged</v>
          </cell>
        </row>
        <row r="5700">
          <cell r="W5700">
            <v>0</v>
          </cell>
          <cell r="AB5700" t="str">
            <v>line item not tagged</v>
          </cell>
        </row>
        <row r="5701">
          <cell r="W5701">
            <v>0</v>
          </cell>
          <cell r="AB5701" t="str">
            <v>line item not tagged</v>
          </cell>
        </row>
        <row r="5702">
          <cell r="W5702">
            <v>0</v>
          </cell>
          <cell r="AB5702" t="str">
            <v>line item not tagged</v>
          </cell>
        </row>
        <row r="5703">
          <cell r="W5703">
            <v>0</v>
          </cell>
          <cell r="AB5703" t="str">
            <v>line item not tagged</v>
          </cell>
        </row>
        <row r="5704">
          <cell r="W5704">
            <v>0</v>
          </cell>
          <cell r="AB5704" t="str">
            <v>line item not tagged</v>
          </cell>
        </row>
        <row r="5705">
          <cell r="W5705">
            <v>0</v>
          </cell>
          <cell r="AB5705" t="str">
            <v>line item not tagged</v>
          </cell>
        </row>
        <row r="5706">
          <cell r="W5706">
            <v>0</v>
          </cell>
          <cell r="AB5706" t="str">
            <v>line item not tagged</v>
          </cell>
        </row>
        <row r="5707">
          <cell r="W5707">
            <v>0</v>
          </cell>
          <cell r="AB5707" t="str">
            <v>line item not tagged</v>
          </cell>
        </row>
        <row r="5708">
          <cell r="W5708">
            <v>0</v>
          </cell>
          <cell r="AB5708" t="str">
            <v>line item not tagged</v>
          </cell>
        </row>
        <row r="5709">
          <cell r="W5709">
            <v>0</v>
          </cell>
          <cell r="AB5709" t="str">
            <v>line item not tagged</v>
          </cell>
        </row>
        <row r="5710">
          <cell r="W5710">
            <v>0</v>
          </cell>
          <cell r="AB5710" t="str">
            <v>line item not tagged</v>
          </cell>
        </row>
        <row r="5711">
          <cell r="W5711">
            <v>0</v>
          </cell>
          <cell r="AB5711" t="str">
            <v>line item not tagged</v>
          </cell>
        </row>
        <row r="5712">
          <cell r="W5712">
            <v>0</v>
          </cell>
          <cell r="AB5712" t="str">
            <v>line item not tagged</v>
          </cell>
        </row>
        <row r="5713">
          <cell r="W5713">
            <v>0</v>
          </cell>
          <cell r="AB5713" t="str">
            <v>line item not tagged</v>
          </cell>
        </row>
        <row r="5714">
          <cell r="W5714">
            <v>0</v>
          </cell>
          <cell r="AB5714" t="str">
            <v>line item not tagged</v>
          </cell>
        </row>
        <row r="5715">
          <cell r="W5715">
            <v>0</v>
          </cell>
          <cell r="AB5715" t="str">
            <v>line item not tagged</v>
          </cell>
        </row>
        <row r="5716">
          <cell r="W5716">
            <v>0</v>
          </cell>
          <cell r="AB5716" t="str">
            <v>line item not tagged</v>
          </cell>
        </row>
        <row r="5717">
          <cell r="W5717">
            <v>0</v>
          </cell>
          <cell r="AB5717" t="str">
            <v>line item not tagged</v>
          </cell>
        </row>
        <row r="5718">
          <cell r="W5718">
            <v>0</v>
          </cell>
          <cell r="AB5718" t="str">
            <v>line item not tagged</v>
          </cell>
        </row>
        <row r="5719">
          <cell r="W5719">
            <v>0</v>
          </cell>
          <cell r="AB5719" t="str">
            <v>line item not tagged</v>
          </cell>
        </row>
        <row r="5720">
          <cell r="W5720">
            <v>0</v>
          </cell>
          <cell r="AB5720" t="str">
            <v>line item not tagged</v>
          </cell>
        </row>
        <row r="5721">
          <cell r="W5721">
            <v>0</v>
          </cell>
          <cell r="AB5721" t="str">
            <v>line item not tagged</v>
          </cell>
        </row>
        <row r="5722">
          <cell r="W5722">
            <v>0</v>
          </cell>
          <cell r="AB5722" t="str">
            <v>line item not tagged</v>
          </cell>
        </row>
        <row r="5723">
          <cell r="W5723">
            <v>0</v>
          </cell>
          <cell r="AB5723" t="str">
            <v>line item not tagged</v>
          </cell>
        </row>
        <row r="5724">
          <cell r="W5724">
            <v>0</v>
          </cell>
          <cell r="AB5724" t="str">
            <v>line item not tagged</v>
          </cell>
        </row>
        <row r="5725">
          <cell r="W5725">
            <v>0</v>
          </cell>
          <cell r="AB5725" t="str">
            <v>line item not tagged</v>
          </cell>
        </row>
        <row r="5726">
          <cell r="W5726">
            <v>0</v>
          </cell>
          <cell r="AB5726" t="str">
            <v>line item not tagged</v>
          </cell>
        </row>
        <row r="5727">
          <cell r="W5727">
            <v>0</v>
          </cell>
          <cell r="AB5727" t="str">
            <v>line item not tagged</v>
          </cell>
        </row>
        <row r="5728">
          <cell r="W5728">
            <v>0</v>
          </cell>
          <cell r="AB5728" t="str">
            <v>line item not tagged</v>
          </cell>
        </row>
        <row r="5729">
          <cell r="W5729">
            <v>0</v>
          </cell>
          <cell r="AB5729" t="str">
            <v>line item not tagged</v>
          </cell>
        </row>
        <row r="5730">
          <cell r="W5730">
            <v>0</v>
          </cell>
          <cell r="AB5730" t="str">
            <v>line item not tagged</v>
          </cell>
        </row>
        <row r="5731">
          <cell r="W5731">
            <v>0</v>
          </cell>
          <cell r="AB5731" t="str">
            <v>line item not tagged</v>
          </cell>
        </row>
        <row r="5732">
          <cell r="W5732">
            <v>0</v>
          </cell>
          <cell r="AB5732" t="str">
            <v>line item not tagged</v>
          </cell>
        </row>
        <row r="5733">
          <cell r="W5733">
            <v>0</v>
          </cell>
          <cell r="AB5733" t="str">
            <v>line item not tagged</v>
          </cell>
        </row>
        <row r="5734">
          <cell r="W5734">
            <v>0</v>
          </cell>
          <cell r="AB5734" t="str">
            <v>line item not tagged</v>
          </cell>
        </row>
        <row r="5735">
          <cell r="W5735">
            <v>0</v>
          </cell>
          <cell r="AB5735" t="str">
            <v>line item not tagged</v>
          </cell>
        </row>
        <row r="5736">
          <cell r="W5736">
            <v>0</v>
          </cell>
          <cell r="AB5736" t="str">
            <v>line item not tagged</v>
          </cell>
        </row>
        <row r="5737">
          <cell r="W5737">
            <v>0</v>
          </cell>
          <cell r="AB5737" t="str">
            <v>line item not tagged</v>
          </cell>
        </row>
        <row r="5738">
          <cell r="W5738">
            <v>0</v>
          </cell>
          <cell r="AB5738" t="str">
            <v>line item not tagged</v>
          </cell>
        </row>
        <row r="5739">
          <cell r="W5739">
            <v>0</v>
          </cell>
          <cell r="AB5739" t="str">
            <v>line item not tagged</v>
          </cell>
        </row>
        <row r="5740">
          <cell r="W5740">
            <v>0</v>
          </cell>
          <cell r="AB5740" t="str">
            <v>line item not tagged</v>
          </cell>
        </row>
        <row r="5741">
          <cell r="W5741">
            <v>0</v>
          </cell>
          <cell r="AB5741" t="str">
            <v>line item not tagged</v>
          </cell>
        </row>
        <row r="5742">
          <cell r="W5742">
            <v>0</v>
          </cell>
          <cell r="AB5742" t="str">
            <v>line item not tagged</v>
          </cell>
        </row>
        <row r="5743">
          <cell r="W5743">
            <v>0</v>
          </cell>
          <cell r="AB5743" t="str">
            <v>line item not tagged</v>
          </cell>
        </row>
        <row r="5744">
          <cell r="W5744">
            <v>0</v>
          </cell>
          <cell r="AB5744" t="str">
            <v>line item not tagged</v>
          </cell>
        </row>
        <row r="5745">
          <cell r="W5745">
            <v>0</v>
          </cell>
          <cell r="AB5745" t="str">
            <v>line item not tagged</v>
          </cell>
        </row>
        <row r="5746">
          <cell r="W5746">
            <v>0</v>
          </cell>
          <cell r="AB5746" t="str">
            <v>line item not tagged</v>
          </cell>
        </row>
        <row r="5747">
          <cell r="W5747">
            <v>0</v>
          </cell>
          <cell r="AB5747" t="str">
            <v>line item not tagged</v>
          </cell>
        </row>
        <row r="5748">
          <cell r="W5748">
            <v>0</v>
          </cell>
          <cell r="AB5748" t="str">
            <v>line item not tagged</v>
          </cell>
        </row>
        <row r="5749">
          <cell r="W5749">
            <v>0</v>
          </cell>
          <cell r="AB5749" t="str">
            <v>line item not tagged</v>
          </cell>
        </row>
        <row r="5750">
          <cell r="W5750">
            <v>0</v>
          </cell>
          <cell r="AB5750" t="str">
            <v>line item not tagged</v>
          </cell>
        </row>
        <row r="5751">
          <cell r="W5751">
            <v>0</v>
          </cell>
          <cell r="AB5751" t="str">
            <v>line item not tagged</v>
          </cell>
        </row>
        <row r="5752">
          <cell r="W5752">
            <v>0</v>
          </cell>
          <cell r="AB5752" t="str">
            <v>line item not tagged</v>
          </cell>
        </row>
        <row r="5753">
          <cell r="W5753">
            <v>0</v>
          </cell>
          <cell r="AB5753" t="str">
            <v>line item not tagged</v>
          </cell>
        </row>
        <row r="5754">
          <cell r="W5754">
            <v>0</v>
          </cell>
          <cell r="AB5754" t="str">
            <v>line item not tagged</v>
          </cell>
        </row>
        <row r="5755">
          <cell r="W5755">
            <v>0</v>
          </cell>
          <cell r="AB5755" t="str">
            <v>line item not tagged</v>
          </cell>
        </row>
        <row r="5756">
          <cell r="W5756">
            <v>0</v>
          </cell>
          <cell r="AB5756" t="str">
            <v>line item not tagged</v>
          </cell>
        </row>
        <row r="5757">
          <cell r="W5757">
            <v>0</v>
          </cell>
          <cell r="AB5757" t="str">
            <v>line item not tagged</v>
          </cell>
        </row>
        <row r="5758">
          <cell r="W5758">
            <v>0</v>
          </cell>
          <cell r="AB5758" t="str">
            <v>line item not tagged</v>
          </cell>
        </row>
        <row r="5759">
          <cell r="W5759">
            <v>0</v>
          </cell>
          <cell r="AB5759" t="str">
            <v>line item not tagged</v>
          </cell>
        </row>
        <row r="5760">
          <cell r="W5760">
            <v>0</v>
          </cell>
          <cell r="AB5760" t="str">
            <v>line item not tagged</v>
          </cell>
        </row>
        <row r="5761">
          <cell r="W5761">
            <v>0</v>
          </cell>
          <cell r="AB5761" t="str">
            <v>line item not tagged</v>
          </cell>
        </row>
        <row r="5762">
          <cell r="W5762">
            <v>0</v>
          </cell>
          <cell r="AB5762" t="str">
            <v>line item not tagged</v>
          </cell>
        </row>
        <row r="5763">
          <cell r="W5763">
            <v>0</v>
          </cell>
          <cell r="AB5763" t="str">
            <v>line item not tagged</v>
          </cell>
        </row>
        <row r="5764">
          <cell r="W5764">
            <v>0</v>
          </cell>
          <cell r="AB5764" t="str">
            <v>line item not tagged</v>
          </cell>
        </row>
        <row r="5765">
          <cell r="W5765">
            <v>0</v>
          </cell>
          <cell r="AB5765" t="str">
            <v>line item not tagged</v>
          </cell>
        </row>
        <row r="5766">
          <cell r="W5766">
            <v>0</v>
          </cell>
          <cell r="AB5766" t="str">
            <v>line item not tagged</v>
          </cell>
        </row>
        <row r="5767">
          <cell r="W5767">
            <v>0</v>
          </cell>
          <cell r="AB5767" t="str">
            <v>line item not tagged</v>
          </cell>
        </row>
        <row r="5768">
          <cell r="W5768">
            <v>0</v>
          </cell>
          <cell r="AB5768" t="str">
            <v>line item not tagged</v>
          </cell>
        </row>
        <row r="5769">
          <cell r="W5769">
            <v>0</v>
          </cell>
          <cell r="AB5769" t="str">
            <v>line item not tagged</v>
          </cell>
        </row>
        <row r="5770">
          <cell r="W5770">
            <v>0</v>
          </cell>
          <cell r="AB5770" t="str">
            <v>line item not tagged</v>
          </cell>
        </row>
        <row r="5771">
          <cell r="W5771">
            <v>0</v>
          </cell>
          <cell r="AB5771" t="str">
            <v>line item not tagged</v>
          </cell>
        </row>
        <row r="5772">
          <cell r="W5772">
            <v>0</v>
          </cell>
          <cell r="AB5772" t="str">
            <v>line item not tagged</v>
          </cell>
        </row>
        <row r="5773">
          <cell r="W5773">
            <v>0</v>
          </cell>
          <cell r="AB5773" t="str">
            <v>line item not tagged</v>
          </cell>
        </row>
        <row r="5774">
          <cell r="W5774">
            <v>0</v>
          </cell>
          <cell r="AB5774" t="str">
            <v>line item not tagged</v>
          </cell>
        </row>
        <row r="5775">
          <cell r="W5775">
            <v>0</v>
          </cell>
          <cell r="AB5775" t="str">
            <v>line item not tagged</v>
          </cell>
        </row>
        <row r="5776">
          <cell r="W5776">
            <v>0</v>
          </cell>
          <cell r="AB5776" t="str">
            <v>line item not tagged</v>
          </cell>
        </row>
        <row r="5777">
          <cell r="W5777">
            <v>0</v>
          </cell>
          <cell r="AB5777" t="str">
            <v>line item not tagged</v>
          </cell>
        </row>
        <row r="5778">
          <cell r="W5778">
            <v>0</v>
          </cell>
          <cell r="AB5778" t="str">
            <v>line item not tagged</v>
          </cell>
        </row>
        <row r="5779">
          <cell r="W5779">
            <v>0</v>
          </cell>
          <cell r="AB5779" t="str">
            <v>line item not tagged</v>
          </cell>
        </row>
        <row r="5780">
          <cell r="W5780">
            <v>0</v>
          </cell>
          <cell r="AB5780" t="str">
            <v>line item not tagged</v>
          </cell>
        </row>
        <row r="5781">
          <cell r="W5781">
            <v>0</v>
          </cell>
          <cell r="AB5781" t="str">
            <v>line item not tagged</v>
          </cell>
        </row>
        <row r="5782">
          <cell r="W5782">
            <v>0</v>
          </cell>
          <cell r="AB5782" t="str">
            <v>line item not tagged</v>
          </cell>
        </row>
        <row r="5783">
          <cell r="W5783">
            <v>0</v>
          </cell>
          <cell r="AB5783" t="str">
            <v>line item not tagged</v>
          </cell>
        </row>
        <row r="5784">
          <cell r="W5784">
            <v>0</v>
          </cell>
          <cell r="AB5784" t="str">
            <v>line item not tagged</v>
          </cell>
        </row>
        <row r="5785">
          <cell r="W5785">
            <v>0</v>
          </cell>
          <cell r="AB5785" t="str">
            <v>line item not tagged</v>
          </cell>
        </row>
        <row r="5786">
          <cell r="W5786">
            <v>0</v>
          </cell>
          <cell r="AB5786" t="str">
            <v>line item not tagged</v>
          </cell>
        </row>
        <row r="5787">
          <cell r="W5787">
            <v>0</v>
          </cell>
          <cell r="AB5787" t="str">
            <v>line item not tagged</v>
          </cell>
        </row>
        <row r="5788">
          <cell r="W5788">
            <v>0</v>
          </cell>
          <cell r="AB5788" t="str">
            <v>line item not tagged</v>
          </cell>
        </row>
        <row r="5789">
          <cell r="W5789">
            <v>0</v>
          </cell>
          <cell r="AB5789" t="str">
            <v>line item not tagged</v>
          </cell>
        </row>
        <row r="5790">
          <cell r="W5790">
            <v>0</v>
          </cell>
          <cell r="AB5790" t="str">
            <v>line item not tagged</v>
          </cell>
        </row>
        <row r="5791">
          <cell r="W5791">
            <v>0</v>
          </cell>
          <cell r="AB5791" t="str">
            <v>line item not tagged</v>
          </cell>
        </row>
        <row r="5792">
          <cell r="W5792">
            <v>0</v>
          </cell>
          <cell r="AB5792" t="str">
            <v>line item not tagged</v>
          </cell>
        </row>
        <row r="5793">
          <cell r="W5793">
            <v>0</v>
          </cell>
          <cell r="AB5793" t="str">
            <v>line item not tagged</v>
          </cell>
        </row>
        <row r="5794">
          <cell r="W5794">
            <v>0</v>
          </cell>
          <cell r="AB5794" t="str">
            <v>line item not tagged</v>
          </cell>
        </row>
        <row r="5795">
          <cell r="W5795">
            <v>0</v>
          </cell>
          <cell r="AB5795" t="str">
            <v>line item not tagged</v>
          </cell>
        </row>
        <row r="5796">
          <cell r="W5796">
            <v>0</v>
          </cell>
          <cell r="AB5796" t="str">
            <v>line item not tagged</v>
          </cell>
        </row>
        <row r="5797">
          <cell r="W5797">
            <v>0</v>
          </cell>
          <cell r="AB5797" t="str">
            <v>line item not tagged</v>
          </cell>
        </row>
        <row r="5798">
          <cell r="W5798">
            <v>0</v>
          </cell>
          <cell r="AB5798" t="str">
            <v>line item not tagged</v>
          </cell>
        </row>
        <row r="5799">
          <cell r="W5799">
            <v>0</v>
          </cell>
          <cell r="AB5799" t="str">
            <v>line item not tagged</v>
          </cell>
        </row>
        <row r="5800">
          <cell r="W5800">
            <v>0</v>
          </cell>
          <cell r="AB5800" t="str">
            <v>line item not tagged</v>
          </cell>
        </row>
        <row r="5801">
          <cell r="W5801">
            <v>0</v>
          </cell>
          <cell r="AB5801" t="str">
            <v>line item not tagged</v>
          </cell>
        </row>
        <row r="5802">
          <cell r="W5802">
            <v>0</v>
          </cell>
          <cell r="AB5802" t="str">
            <v>line item not tagged</v>
          </cell>
        </row>
        <row r="5803">
          <cell r="W5803">
            <v>0</v>
          </cell>
          <cell r="AB5803" t="str">
            <v>line item not tagged</v>
          </cell>
        </row>
        <row r="5804">
          <cell r="W5804">
            <v>0</v>
          </cell>
          <cell r="AB5804" t="str">
            <v>line item not tagged</v>
          </cell>
        </row>
        <row r="5805">
          <cell r="W5805">
            <v>0</v>
          </cell>
          <cell r="AB5805" t="str">
            <v>line item not tagged</v>
          </cell>
        </row>
        <row r="5806">
          <cell r="W5806">
            <v>0</v>
          </cell>
          <cell r="AB5806" t="str">
            <v>line item not tagged</v>
          </cell>
        </row>
        <row r="5807">
          <cell r="W5807">
            <v>0</v>
          </cell>
          <cell r="AB5807" t="str">
            <v>line item not tagged</v>
          </cell>
        </row>
        <row r="5808">
          <cell r="W5808">
            <v>0</v>
          </cell>
          <cell r="AB5808" t="str">
            <v>line item not tagged</v>
          </cell>
        </row>
        <row r="5809">
          <cell r="W5809">
            <v>0</v>
          </cell>
          <cell r="AB5809" t="str">
            <v>line item not tagged</v>
          </cell>
        </row>
        <row r="5810">
          <cell r="W5810">
            <v>0</v>
          </cell>
          <cell r="AB5810" t="str">
            <v>line item not tagged</v>
          </cell>
        </row>
        <row r="5811">
          <cell r="W5811">
            <v>0</v>
          </cell>
          <cell r="AB5811" t="str">
            <v>line item not tagged</v>
          </cell>
        </row>
        <row r="5812">
          <cell r="W5812">
            <v>0</v>
          </cell>
          <cell r="AB5812" t="str">
            <v>line item not tagged</v>
          </cell>
        </row>
        <row r="5813">
          <cell r="W5813">
            <v>0</v>
          </cell>
          <cell r="AB5813" t="str">
            <v>line item not tagged</v>
          </cell>
        </row>
        <row r="5814">
          <cell r="W5814">
            <v>0</v>
          </cell>
          <cell r="AB5814" t="str">
            <v>line item not tagged</v>
          </cell>
        </row>
        <row r="5815">
          <cell r="W5815">
            <v>0</v>
          </cell>
          <cell r="AB5815" t="str">
            <v>line item not tagged</v>
          </cell>
        </row>
        <row r="5816">
          <cell r="W5816">
            <v>0</v>
          </cell>
          <cell r="AB5816" t="str">
            <v>line item not tagged</v>
          </cell>
        </row>
        <row r="5817">
          <cell r="W5817">
            <v>0</v>
          </cell>
          <cell r="AB5817" t="str">
            <v>line item not tagged</v>
          </cell>
        </row>
        <row r="5818">
          <cell r="W5818">
            <v>0</v>
          </cell>
          <cell r="AB5818" t="str">
            <v>line item not tagged</v>
          </cell>
        </row>
        <row r="5819">
          <cell r="W5819">
            <v>0</v>
          </cell>
          <cell r="AB5819" t="str">
            <v>line item not tagged</v>
          </cell>
        </row>
        <row r="5820">
          <cell r="W5820">
            <v>0</v>
          </cell>
          <cell r="AB5820" t="str">
            <v>line item not tagged</v>
          </cell>
        </row>
        <row r="5821">
          <cell r="W5821">
            <v>0</v>
          </cell>
          <cell r="AB5821" t="str">
            <v>line item not tagged</v>
          </cell>
        </row>
        <row r="5822">
          <cell r="W5822">
            <v>0</v>
          </cell>
          <cell r="AB5822" t="str">
            <v>line item not tagged</v>
          </cell>
        </row>
        <row r="5823">
          <cell r="W5823">
            <v>0</v>
          </cell>
          <cell r="AB5823" t="str">
            <v>line item not tagged</v>
          </cell>
        </row>
        <row r="5824">
          <cell r="W5824">
            <v>0</v>
          </cell>
          <cell r="AB5824" t="str">
            <v>line item not tagged</v>
          </cell>
        </row>
        <row r="5825">
          <cell r="W5825">
            <v>0</v>
          </cell>
          <cell r="AB5825" t="str">
            <v>line item not tagged</v>
          </cell>
        </row>
        <row r="5826">
          <cell r="W5826">
            <v>0</v>
          </cell>
          <cell r="AB5826" t="str">
            <v>line item not tagged</v>
          </cell>
        </row>
        <row r="5827">
          <cell r="W5827">
            <v>0</v>
          </cell>
          <cell r="AB5827" t="str">
            <v>line item not tagged</v>
          </cell>
        </row>
        <row r="5828">
          <cell r="W5828">
            <v>0</v>
          </cell>
          <cell r="AB5828" t="str">
            <v>line item not tagged</v>
          </cell>
        </row>
        <row r="5829">
          <cell r="W5829">
            <v>0</v>
          </cell>
          <cell r="AB5829" t="str">
            <v>line item not tagged</v>
          </cell>
        </row>
        <row r="5830">
          <cell r="W5830">
            <v>0</v>
          </cell>
          <cell r="AB5830" t="str">
            <v>line item not tagged</v>
          </cell>
        </row>
        <row r="5831">
          <cell r="W5831">
            <v>0</v>
          </cell>
          <cell r="AB5831" t="str">
            <v>line item not tagged</v>
          </cell>
        </row>
        <row r="5832">
          <cell r="W5832">
            <v>0</v>
          </cell>
          <cell r="AB5832" t="str">
            <v>line item not tagged</v>
          </cell>
        </row>
        <row r="5833">
          <cell r="W5833">
            <v>0</v>
          </cell>
          <cell r="AB5833" t="str">
            <v>line item not tagged</v>
          </cell>
        </row>
        <row r="5834">
          <cell r="W5834">
            <v>0</v>
          </cell>
          <cell r="AB5834" t="str">
            <v>line item not tagged</v>
          </cell>
        </row>
        <row r="5835">
          <cell r="W5835">
            <v>0</v>
          </cell>
          <cell r="AB5835" t="str">
            <v>line item not tagged</v>
          </cell>
        </row>
        <row r="5836">
          <cell r="W5836">
            <v>0</v>
          </cell>
          <cell r="AB5836" t="str">
            <v>line item not tagged</v>
          </cell>
        </row>
        <row r="5837">
          <cell r="W5837">
            <v>0</v>
          </cell>
          <cell r="AB5837" t="str">
            <v>line item not tagged</v>
          </cell>
        </row>
        <row r="5838">
          <cell r="W5838">
            <v>0</v>
          </cell>
          <cell r="AB5838" t="str">
            <v>line item not tagged</v>
          </cell>
        </row>
        <row r="5839">
          <cell r="W5839">
            <v>0</v>
          </cell>
          <cell r="AB5839" t="str">
            <v>line item not tagged</v>
          </cell>
        </row>
        <row r="5840">
          <cell r="W5840">
            <v>0</v>
          </cell>
          <cell r="AB5840" t="str">
            <v>line item not tagged</v>
          </cell>
        </row>
        <row r="5841">
          <cell r="W5841">
            <v>0</v>
          </cell>
          <cell r="AB5841" t="str">
            <v>line item not tagged</v>
          </cell>
        </row>
        <row r="5842">
          <cell r="W5842">
            <v>0</v>
          </cell>
          <cell r="AB5842" t="str">
            <v>line item not tagged</v>
          </cell>
        </row>
        <row r="5843">
          <cell r="W5843">
            <v>0</v>
          </cell>
          <cell r="AB5843" t="str">
            <v>line item not tagged</v>
          </cell>
        </row>
        <row r="5844">
          <cell r="W5844">
            <v>0</v>
          </cell>
          <cell r="AB5844" t="str">
            <v>line item not tagged</v>
          </cell>
        </row>
        <row r="5845">
          <cell r="W5845">
            <v>0</v>
          </cell>
          <cell r="AB5845" t="str">
            <v>line item not tagged</v>
          </cell>
        </row>
        <row r="5846">
          <cell r="W5846">
            <v>0</v>
          </cell>
          <cell r="AB5846" t="str">
            <v>line item not tagged</v>
          </cell>
        </row>
        <row r="5847">
          <cell r="W5847">
            <v>0</v>
          </cell>
          <cell r="AB5847" t="str">
            <v>line item not tagged</v>
          </cell>
        </row>
        <row r="5848">
          <cell r="W5848">
            <v>0</v>
          </cell>
          <cell r="AB5848" t="str">
            <v>line item not tagged</v>
          </cell>
        </row>
        <row r="5849">
          <cell r="W5849">
            <v>0</v>
          </cell>
          <cell r="AB5849" t="str">
            <v>line item not tagged</v>
          </cell>
        </row>
        <row r="5850">
          <cell r="W5850">
            <v>0</v>
          </cell>
          <cell r="AB5850" t="str">
            <v>line item not tagged</v>
          </cell>
        </row>
        <row r="5851">
          <cell r="W5851">
            <v>0</v>
          </cell>
          <cell r="AB5851" t="str">
            <v>line item not tagged</v>
          </cell>
        </row>
        <row r="5852">
          <cell r="W5852">
            <v>0</v>
          </cell>
          <cell r="AB5852" t="str">
            <v>line item not tagged</v>
          </cell>
        </row>
        <row r="5853">
          <cell r="W5853">
            <v>0</v>
          </cell>
          <cell r="AB5853" t="str">
            <v>line item not tagged</v>
          </cell>
        </row>
        <row r="5854">
          <cell r="W5854">
            <v>0</v>
          </cell>
          <cell r="AB5854" t="str">
            <v>line item not tagged</v>
          </cell>
        </row>
        <row r="5855">
          <cell r="W5855">
            <v>0</v>
          </cell>
          <cell r="AB5855" t="str">
            <v>line item not tagged</v>
          </cell>
        </row>
        <row r="5856">
          <cell r="W5856">
            <v>0</v>
          </cell>
          <cell r="AB5856" t="str">
            <v>line item not tagged</v>
          </cell>
        </row>
        <row r="5857">
          <cell r="W5857">
            <v>0</v>
          </cell>
          <cell r="AB5857" t="str">
            <v>line item not tagged</v>
          </cell>
        </row>
        <row r="5858">
          <cell r="W5858">
            <v>0</v>
          </cell>
          <cell r="AB5858" t="str">
            <v>line item not tagged</v>
          </cell>
        </row>
        <row r="5859">
          <cell r="W5859">
            <v>0</v>
          </cell>
          <cell r="AB5859" t="str">
            <v>line item not tagged</v>
          </cell>
        </row>
        <row r="5860">
          <cell r="W5860">
            <v>0</v>
          </cell>
          <cell r="AB5860" t="str">
            <v>line item not tagged</v>
          </cell>
        </row>
        <row r="5861">
          <cell r="W5861">
            <v>0</v>
          </cell>
          <cell r="AB5861" t="str">
            <v>line item not tagged</v>
          </cell>
        </row>
        <row r="5862">
          <cell r="W5862">
            <v>0</v>
          </cell>
          <cell r="AB5862" t="str">
            <v>line item not tagged</v>
          </cell>
        </row>
        <row r="5863">
          <cell r="W5863">
            <v>0</v>
          </cell>
          <cell r="AB5863" t="str">
            <v>line item not tagged</v>
          </cell>
        </row>
        <row r="5864">
          <cell r="W5864">
            <v>0</v>
          </cell>
          <cell r="AB5864" t="str">
            <v>line item not tagged</v>
          </cell>
        </row>
        <row r="5865">
          <cell r="W5865">
            <v>0</v>
          </cell>
          <cell r="AB5865" t="str">
            <v>line item not tagged</v>
          </cell>
        </row>
        <row r="5866">
          <cell r="W5866">
            <v>0</v>
          </cell>
          <cell r="AB5866" t="str">
            <v>line item not tagged</v>
          </cell>
        </row>
        <row r="5867">
          <cell r="W5867">
            <v>0</v>
          </cell>
          <cell r="AB5867" t="str">
            <v>line item not tagged</v>
          </cell>
        </row>
        <row r="5868">
          <cell r="W5868">
            <v>0</v>
          </cell>
          <cell r="AB5868" t="str">
            <v>line item not tagged</v>
          </cell>
        </row>
        <row r="5869">
          <cell r="W5869">
            <v>0</v>
          </cell>
          <cell r="AB5869" t="str">
            <v>line item not tagged</v>
          </cell>
        </row>
        <row r="5870">
          <cell r="W5870">
            <v>0</v>
          </cell>
          <cell r="AB5870" t="str">
            <v>line item not tagged</v>
          </cell>
        </row>
        <row r="5871">
          <cell r="W5871">
            <v>0</v>
          </cell>
          <cell r="AB5871" t="str">
            <v>line item not tagged</v>
          </cell>
        </row>
        <row r="5872">
          <cell r="W5872">
            <v>0</v>
          </cell>
          <cell r="AB5872" t="str">
            <v>line item not tagged</v>
          </cell>
        </row>
        <row r="5873">
          <cell r="W5873">
            <v>0</v>
          </cell>
          <cell r="AB5873" t="str">
            <v>line item not tagged</v>
          </cell>
        </row>
        <row r="5874">
          <cell r="W5874">
            <v>0</v>
          </cell>
          <cell r="AB5874" t="str">
            <v>line item not tagged</v>
          </cell>
        </row>
        <row r="5875">
          <cell r="W5875">
            <v>0</v>
          </cell>
          <cell r="AB5875" t="str">
            <v>line item not tagged</v>
          </cell>
        </row>
        <row r="5876">
          <cell r="W5876">
            <v>0</v>
          </cell>
          <cell r="AB5876" t="str">
            <v>line item not tagged</v>
          </cell>
        </row>
        <row r="5877">
          <cell r="W5877">
            <v>0</v>
          </cell>
          <cell r="AB5877" t="str">
            <v>line item not tagged</v>
          </cell>
        </row>
        <row r="5878">
          <cell r="W5878">
            <v>0</v>
          </cell>
          <cell r="AB5878" t="str">
            <v>line item not tagged</v>
          </cell>
        </row>
        <row r="5879">
          <cell r="W5879">
            <v>0</v>
          </cell>
          <cell r="AB5879" t="str">
            <v>line item not tagged</v>
          </cell>
        </row>
        <row r="5880">
          <cell r="W5880">
            <v>0</v>
          </cell>
          <cell r="AB5880" t="str">
            <v>line item not tagged</v>
          </cell>
        </row>
        <row r="5881">
          <cell r="W5881">
            <v>0</v>
          </cell>
          <cell r="AB5881" t="str">
            <v>line item not tagged</v>
          </cell>
        </row>
        <row r="5882">
          <cell r="W5882">
            <v>0</v>
          </cell>
          <cell r="AB5882" t="str">
            <v>line item not tagged</v>
          </cell>
        </row>
        <row r="5883">
          <cell r="W5883">
            <v>0</v>
          </cell>
          <cell r="AB5883" t="str">
            <v>line item not tagged</v>
          </cell>
        </row>
        <row r="5884">
          <cell r="W5884">
            <v>0</v>
          </cell>
          <cell r="AB5884" t="str">
            <v>line item not tagged</v>
          </cell>
        </row>
        <row r="5885">
          <cell r="W5885">
            <v>0</v>
          </cell>
          <cell r="AB5885" t="str">
            <v>line item not tagged</v>
          </cell>
        </row>
        <row r="5886">
          <cell r="W5886">
            <v>0</v>
          </cell>
          <cell r="AB5886" t="str">
            <v>line item not tagged</v>
          </cell>
        </row>
        <row r="5887">
          <cell r="W5887">
            <v>0</v>
          </cell>
          <cell r="AB5887" t="str">
            <v>line item not tagged</v>
          </cell>
        </row>
        <row r="5888">
          <cell r="W5888">
            <v>0</v>
          </cell>
          <cell r="AB5888" t="str">
            <v>line item not tagged</v>
          </cell>
        </row>
        <row r="5889">
          <cell r="W5889">
            <v>0</v>
          </cell>
          <cell r="AB5889" t="str">
            <v>line item not tagged</v>
          </cell>
        </row>
        <row r="5890">
          <cell r="W5890">
            <v>0</v>
          </cell>
          <cell r="AB5890" t="str">
            <v>line item not tagged</v>
          </cell>
        </row>
        <row r="5891">
          <cell r="W5891">
            <v>0</v>
          </cell>
          <cell r="AB5891" t="str">
            <v>line item not tagged</v>
          </cell>
        </row>
        <row r="5892">
          <cell r="W5892">
            <v>0</v>
          </cell>
          <cell r="AB5892" t="str">
            <v>line item not tagged</v>
          </cell>
        </row>
        <row r="5893">
          <cell r="W5893">
            <v>0</v>
          </cell>
          <cell r="AB5893" t="str">
            <v>line item not tagged</v>
          </cell>
        </row>
        <row r="5894">
          <cell r="W5894">
            <v>0</v>
          </cell>
          <cell r="AB5894" t="str">
            <v>line item not tagged</v>
          </cell>
        </row>
        <row r="5895">
          <cell r="W5895">
            <v>0</v>
          </cell>
          <cell r="AB5895" t="str">
            <v>line item not tagged</v>
          </cell>
        </row>
        <row r="5896">
          <cell r="W5896">
            <v>0</v>
          </cell>
          <cell r="AB5896" t="str">
            <v>line item not tagged</v>
          </cell>
        </row>
        <row r="5897">
          <cell r="W5897">
            <v>0</v>
          </cell>
          <cell r="AB5897" t="str">
            <v>line item not tagged</v>
          </cell>
        </row>
        <row r="5898">
          <cell r="W5898">
            <v>0</v>
          </cell>
          <cell r="AB5898" t="str">
            <v>line item not tagged</v>
          </cell>
        </row>
        <row r="5899">
          <cell r="W5899">
            <v>0</v>
          </cell>
          <cell r="AB5899" t="str">
            <v>line item not tagged</v>
          </cell>
        </row>
        <row r="5900">
          <cell r="W5900">
            <v>0</v>
          </cell>
          <cell r="AB5900" t="str">
            <v>line item not tagged</v>
          </cell>
        </row>
        <row r="5901">
          <cell r="W5901">
            <v>0</v>
          </cell>
          <cell r="AB5901" t="str">
            <v>line item not tagged</v>
          </cell>
        </row>
        <row r="5902">
          <cell r="W5902">
            <v>0</v>
          </cell>
          <cell r="AB5902" t="str">
            <v>line item not tagged</v>
          </cell>
        </row>
        <row r="5903">
          <cell r="W5903">
            <v>0</v>
          </cell>
          <cell r="AB5903" t="str">
            <v>line item not tagged</v>
          </cell>
        </row>
        <row r="5904">
          <cell r="W5904">
            <v>0</v>
          </cell>
          <cell r="AB5904" t="str">
            <v>line item not tagged</v>
          </cell>
        </row>
        <row r="5905">
          <cell r="W5905">
            <v>0</v>
          </cell>
          <cell r="AB5905" t="str">
            <v>line item not tagged</v>
          </cell>
        </row>
        <row r="5906">
          <cell r="W5906">
            <v>0</v>
          </cell>
          <cell r="AB5906" t="str">
            <v>line item not tagged</v>
          </cell>
        </row>
        <row r="5907">
          <cell r="W5907">
            <v>0</v>
          </cell>
          <cell r="AB5907" t="str">
            <v>line item not tagged</v>
          </cell>
        </row>
        <row r="5908">
          <cell r="W5908">
            <v>0</v>
          </cell>
          <cell r="AB5908" t="str">
            <v>line item not tagged</v>
          </cell>
        </row>
        <row r="5909">
          <cell r="W5909">
            <v>0</v>
          </cell>
          <cell r="AB5909" t="str">
            <v>line item not tagged</v>
          </cell>
        </row>
        <row r="5910">
          <cell r="W5910">
            <v>0</v>
          </cell>
          <cell r="AB5910" t="str">
            <v>line item not tagged</v>
          </cell>
        </row>
        <row r="5911">
          <cell r="W5911">
            <v>0</v>
          </cell>
          <cell r="AB5911" t="str">
            <v>line item not tagged</v>
          </cell>
        </row>
        <row r="5912">
          <cell r="W5912">
            <v>0</v>
          </cell>
          <cell r="AB5912" t="str">
            <v>line item not tagged</v>
          </cell>
        </row>
        <row r="5913">
          <cell r="W5913">
            <v>0</v>
          </cell>
          <cell r="AB5913" t="str">
            <v>line item not tagged</v>
          </cell>
        </row>
        <row r="5914">
          <cell r="W5914">
            <v>0</v>
          </cell>
          <cell r="AB5914" t="str">
            <v>line item not tagged</v>
          </cell>
        </row>
        <row r="5915">
          <cell r="W5915">
            <v>0</v>
          </cell>
          <cell r="AB5915" t="str">
            <v>line item not tagged</v>
          </cell>
        </row>
        <row r="5916">
          <cell r="W5916">
            <v>0</v>
          </cell>
          <cell r="AB5916" t="str">
            <v>line item not tagged</v>
          </cell>
        </row>
        <row r="5917">
          <cell r="W5917">
            <v>0</v>
          </cell>
          <cell r="AB5917" t="str">
            <v>line item not tagged</v>
          </cell>
        </row>
        <row r="5918">
          <cell r="W5918">
            <v>0</v>
          </cell>
          <cell r="AB5918" t="str">
            <v>line item not tagged</v>
          </cell>
        </row>
        <row r="5919">
          <cell r="W5919">
            <v>0</v>
          </cell>
          <cell r="AB5919" t="str">
            <v>line item not tagged</v>
          </cell>
        </row>
        <row r="5920">
          <cell r="W5920">
            <v>0</v>
          </cell>
          <cell r="AB5920" t="str">
            <v>line item not tagged</v>
          </cell>
        </row>
        <row r="5921">
          <cell r="W5921">
            <v>0</v>
          </cell>
          <cell r="AB5921" t="str">
            <v>line item not tagged</v>
          </cell>
        </row>
        <row r="5922">
          <cell r="W5922">
            <v>0</v>
          </cell>
          <cell r="AB5922" t="str">
            <v>line item not tagged</v>
          </cell>
        </row>
        <row r="5923">
          <cell r="W5923">
            <v>0</v>
          </cell>
          <cell r="AB5923" t="str">
            <v>line item not tagged</v>
          </cell>
        </row>
        <row r="5924">
          <cell r="W5924">
            <v>0</v>
          </cell>
          <cell r="AB5924" t="str">
            <v>line item not tagged</v>
          </cell>
        </row>
        <row r="5925">
          <cell r="W5925">
            <v>0</v>
          </cell>
          <cell r="AB5925" t="str">
            <v>line item not tagged</v>
          </cell>
        </row>
        <row r="5926">
          <cell r="W5926">
            <v>0</v>
          </cell>
          <cell r="AB5926" t="str">
            <v>line item not tagged</v>
          </cell>
        </row>
        <row r="5927">
          <cell r="W5927">
            <v>0</v>
          </cell>
          <cell r="AB5927" t="str">
            <v>line item not tagged</v>
          </cell>
        </row>
        <row r="5928">
          <cell r="W5928">
            <v>0</v>
          </cell>
          <cell r="AB5928" t="str">
            <v>line item not tagged</v>
          </cell>
        </row>
        <row r="5929">
          <cell r="W5929">
            <v>0</v>
          </cell>
          <cell r="AB5929" t="str">
            <v>line item not tagged</v>
          </cell>
        </row>
        <row r="5930">
          <cell r="W5930">
            <v>0</v>
          </cell>
          <cell r="AB5930" t="str">
            <v>line item not tagged</v>
          </cell>
        </row>
        <row r="5931">
          <cell r="W5931">
            <v>0</v>
          </cell>
          <cell r="AB5931" t="str">
            <v>line item not tagged</v>
          </cell>
        </row>
        <row r="5932">
          <cell r="W5932">
            <v>0</v>
          </cell>
          <cell r="AB5932" t="str">
            <v>line item not tagged</v>
          </cell>
        </row>
        <row r="5933">
          <cell r="W5933">
            <v>0</v>
          </cell>
          <cell r="AB5933" t="str">
            <v>line item not tagged</v>
          </cell>
        </row>
        <row r="5934">
          <cell r="W5934">
            <v>0</v>
          </cell>
          <cell r="AB5934" t="str">
            <v>line item not tagged</v>
          </cell>
        </row>
        <row r="5935">
          <cell r="W5935">
            <v>0</v>
          </cell>
          <cell r="AB5935" t="str">
            <v>line item not tagged</v>
          </cell>
        </row>
        <row r="5936">
          <cell r="W5936">
            <v>0</v>
          </cell>
          <cell r="AB5936" t="str">
            <v>line item not tagged</v>
          </cell>
        </row>
        <row r="5937">
          <cell r="W5937">
            <v>0</v>
          </cell>
          <cell r="AB5937" t="str">
            <v>line item not tagged</v>
          </cell>
        </row>
        <row r="5938">
          <cell r="W5938">
            <v>0</v>
          </cell>
          <cell r="AB5938" t="str">
            <v>line item not tagged</v>
          </cell>
        </row>
        <row r="5939">
          <cell r="W5939">
            <v>0</v>
          </cell>
          <cell r="AB5939" t="str">
            <v>line item not tagged</v>
          </cell>
        </row>
        <row r="5940">
          <cell r="W5940">
            <v>0</v>
          </cell>
          <cell r="AB5940" t="str">
            <v>line item not tagged</v>
          </cell>
        </row>
        <row r="5941">
          <cell r="W5941">
            <v>0</v>
          </cell>
          <cell r="AB5941" t="str">
            <v>line item not tagged</v>
          </cell>
        </row>
        <row r="5942">
          <cell r="W5942">
            <v>0</v>
          </cell>
          <cell r="AB5942" t="str">
            <v>line item not tagged</v>
          </cell>
        </row>
        <row r="5943">
          <cell r="W5943">
            <v>0</v>
          </cell>
          <cell r="AB5943" t="str">
            <v>line item not tagged</v>
          </cell>
        </row>
        <row r="5944">
          <cell r="W5944">
            <v>0</v>
          </cell>
          <cell r="AB5944" t="str">
            <v>line item not tagged</v>
          </cell>
        </row>
        <row r="5945">
          <cell r="W5945">
            <v>0</v>
          </cell>
          <cell r="AB5945" t="str">
            <v>line item not tagged</v>
          </cell>
        </row>
        <row r="5946">
          <cell r="W5946">
            <v>0</v>
          </cell>
          <cell r="AB5946" t="str">
            <v>line item not tagged</v>
          </cell>
        </row>
        <row r="5947">
          <cell r="W5947">
            <v>0</v>
          </cell>
          <cell r="AB5947" t="str">
            <v>line item not tagged</v>
          </cell>
        </row>
        <row r="5948">
          <cell r="W5948">
            <v>0</v>
          </cell>
          <cell r="AB5948" t="str">
            <v>line item not tagged</v>
          </cell>
        </row>
        <row r="5949">
          <cell r="W5949">
            <v>0</v>
          </cell>
          <cell r="AB5949" t="str">
            <v>line item not tagged</v>
          </cell>
        </row>
        <row r="5950">
          <cell r="W5950">
            <v>0</v>
          </cell>
          <cell r="AB5950" t="str">
            <v>line item not tagged</v>
          </cell>
        </row>
        <row r="5951">
          <cell r="W5951">
            <v>0</v>
          </cell>
          <cell r="AB5951" t="str">
            <v>line item not tagged</v>
          </cell>
        </row>
        <row r="5952">
          <cell r="W5952">
            <v>0</v>
          </cell>
          <cell r="AB5952" t="str">
            <v>line item not tagged</v>
          </cell>
        </row>
        <row r="5953">
          <cell r="W5953">
            <v>0</v>
          </cell>
          <cell r="AB5953" t="str">
            <v>line item not tagged</v>
          </cell>
        </row>
        <row r="5954">
          <cell r="W5954">
            <v>0</v>
          </cell>
          <cell r="AB5954" t="str">
            <v>line item not tagged</v>
          </cell>
        </row>
        <row r="5955">
          <cell r="W5955">
            <v>0</v>
          </cell>
          <cell r="AB5955" t="str">
            <v>line item not tagged</v>
          </cell>
        </row>
        <row r="5956">
          <cell r="W5956">
            <v>0</v>
          </cell>
          <cell r="AB5956" t="str">
            <v>line item not tagged</v>
          </cell>
        </row>
        <row r="5957">
          <cell r="W5957">
            <v>0</v>
          </cell>
          <cell r="AB5957" t="str">
            <v>line item not tagged</v>
          </cell>
        </row>
        <row r="5958">
          <cell r="W5958">
            <v>0</v>
          </cell>
          <cell r="AB5958" t="str">
            <v>line item not tagged</v>
          </cell>
        </row>
        <row r="5959">
          <cell r="W5959">
            <v>0</v>
          </cell>
          <cell r="AB5959" t="str">
            <v>line item not tagged</v>
          </cell>
        </row>
        <row r="5960">
          <cell r="W5960">
            <v>0</v>
          </cell>
          <cell r="AB5960" t="str">
            <v>line item not tagged</v>
          </cell>
        </row>
        <row r="5961">
          <cell r="W5961">
            <v>0</v>
          </cell>
          <cell r="AB5961" t="str">
            <v>line item not tagged</v>
          </cell>
        </row>
        <row r="5962">
          <cell r="W5962">
            <v>0</v>
          </cell>
          <cell r="AB5962" t="str">
            <v>line item not tagged</v>
          </cell>
        </row>
        <row r="5963">
          <cell r="W5963">
            <v>0</v>
          </cell>
          <cell r="AB5963" t="str">
            <v>line item not tagged</v>
          </cell>
        </row>
        <row r="5964">
          <cell r="W5964">
            <v>0</v>
          </cell>
          <cell r="AB5964" t="str">
            <v>line item not tagged</v>
          </cell>
        </row>
        <row r="5965">
          <cell r="W5965">
            <v>0</v>
          </cell>
          <cell r="AB5965" t="str">
            <v>line item not tagged</v>
          </cell>
        </row>
        <row r="5966">
          <cell r="W5966">
            <v>0</v>
          </cell>
          <cell r="AB5966" t="str">
            <v>line item not tagged</v>
          </cell>
        </row>
        <row r="5967">
          <cell r="W5967">
            <v>0</v>
          </cell>
          <cell r="AB5967" t="str">
            <v>line item not tagged</v>
          </cell>
        </row>
        <row r="5968">
          <cell r="W5968">
            <v>0</v>
          </cell>
          <cell r="AB5968" t="str">
            <v>line item not tagged</v>
          </cell>
        </row>
        <row r="5969">
          <cell r="W5969">
            <v>0</v>
          </cell>
          <cell r="AB5969" t="str">
            <v>line item not tagged</v>
          </cell>
        </row>
        <row r="5970">
          <cell r="W5970">
            <v>0</v>
          </cell>
          <cell r="AB5970" t="str">
            <v>line item not tagged</v>
          </cell>
        </row>
        <row r="5971">
          <cell r="W5971">
            <v>0</v>
          </cell>
          <cell r="AB5971" t="str">
            <v>line item not tagged</v>
          </cell>
        </row>
        <row r="5972">
          <cell r="W5972">
            <v>0</v>
          </cell>
          <cell r="AB5972" t="str">
            <v>line item not tagged</v>
          </cell>
        </row>
        <row r="5973">
          <cell r="W5973">
            <v>0</v>
          </cell>
          <cell r="AB5973" t="str">
            <v>line item not tagged</v>
          </cell>
        </row>
        <row r="5974">
          <cell r="W5974">
            <v>0</v>
          </cell>
          <cell r="AB5974" t="str">
            <v>line item not tagged</v>
          </cell>
        </row>
        <row r="5975">
          <cell r="W5975">
            <v>0</v>
          </cell>
          <cell r="AB5975" t="str">
            <v>line item not tagged</v>
          </cell>
        </row>
        <row r="5976">
          <cell r="W5976">
            <v>0</v>
          </cell>
          <cell r="AB5976" t="str">
            <v>line item not tagged</v>
          </cell>
        </row>
        <row r="5977">
          <cell r="W5977">
            <v>0</v>
          </cell>
          <cell r="AB5977" t="str">
            <v>line item not tagged</v>
          </cell>
        </row>
        <row r="5978">
          <cell r="W5978">
            <v>0</v>
          </cell>
          <cell r="AB5978" t="str">
            <v>line item not tagged</v>
          </cell>
        </row>
        <row r="5979">
          <cell r="W5979">
            <v>0</v>
          </cell>
          <cell r="AB5979" t="str">
            <v>line item not tagged</v>
          </cell>
        </row>
        <row r="5980">
          <cell r="W5980">
            <v>0</v>
          </cell>
          <cell r="AB5980" t="str">
            <v>line item not tagged</v>
          </cell>
        </row>
        <row r="5981">
          <cell r="W5981">
            <v>0</v>
          </cell>
          <cell r="AB5981" t="str">
            <v>line item not tagged</v>
          </cell>
        </row>
        <row r="5982">
          <cell r="W5982">
            <v>0</v>
          </cell>
          <cell r="AB5982" t="str">
            <v>line item not tagged</v>
          </cell>
        </row>
        <row r="5983">
          <cell r="W5983">
            <v>0</v>
          </cell>
          <cell r="AB5983" t="str">
            <v>line item not tagged</v>
          </cell>
        </row>
        <row r="5984">
          <cell r="W5984">
            <v>0</v>
          </cell>
          <cell r="AB5984" t="str">
            <v>line item not tagged</v>
          </cell>
        </row>
        <row r="5985">
          <cell r="W5985">
            <v>0</v>
          </cell>
          <cell r="AB5985" t="str">
            <v>line item not tagged</v>
          </cell>
        </row>
        <row r="5986">
          <cell r="W5986">
            <v>0</v>
          </cell>
          <cell r="AB5986" t="str">
            <v>line item not tagged</v>
          </cell>
        </row>
        <row r="5987">
          <cell r="W5987">
            <v>0</v>
          </cell>
          <cell r="AB5987" t="str">
            <v>line item not tagged</v>
          </cell>
        </row>
        <row r="5988">
          <cell r="W5988">
            <v>0</v>
          </cell>
          <cell r="AB5988" t="str">
            <v>line item not tagged</v>
          </cell>
        </row>
        <row r="5989">
          <cell r="W5989">
            <v>0</v>
          </cell>
          <cell r="AB5989" t="str">
            <v>line item not tagged</v>
          </cell>
        </row>
        <row r="5990">
          <cell r="W5990">
            <v>0</v>
          </cell>
          <cell r="AB5990" t="str">
            <v>line item not tagged</v>
          </cell>
        </row>
        <row r="5991">
          <cell r="W5991">
            <v>0</v>
          </cell>
          <cell r="AB5991" t="str">
            <v>line item not tagged</v>
          </cell>
        </row>
        <row r="5992">
          <cell r="W5992">
            <v>0</v>
          </cell>
          <cell r="AB5992" t="str">
            <v>line item not tagged</v>
          </cell>
        </row>
        <row r="5993">
          <cell r="W5993">
            <v>0</v>
          </cell>
          <cell r="AB5993" t="str">
            <v>line item not tagged</v>
          </cell>
        </row>
        <row r="5994">
          <cell r="W5994">
            <v>0</v>
          </cell>
          <cell r="AB5994" t="str">
            <v>line item not tagged</v>
          </cell>
        </row>
        <row r="5995">
          <cell r="W5995">
            <v>0</v>
          </cell>
          <cell r="AB5995" t="str">
            <v>line item not tagged</v>
          </cell>
        </row>
        <row r="5996">
          <cell r="W5996">
            <v>0</v>
          </cell>
          <cell r="AB5996" t="str">
            <v>line item not tagged</v>
          </cell>
        </row>
        <row r="5997">
          <cell r="W5997">
            <v>0</v>
          </cell>
          <cell r="AB5997" t="str">
            <v>line item not tagged</v>
          </cell>
        </row>
        <row r="5998">
          <cell r="W5998">
            <v>0</v>
          </cell>
          <cell r="AB5998" t="str">
            <v>line item not tagged</v>
          </cell>
        </row>
        <row r="5999">
          <cell r="W5999">
            <v>0</v>
          </cell>
          <cell r="AB5999" t="str">
            <v>line item not tagged</v>
          </cell>
        </row>
        <row r="6000">
          <cell r="W6000">
            <v>0</v>
          </cell>
          <cell r="AB6000" t="str">
            <v>line item not tagged</v>
          </cell>
        </row>
        <row r="6001">
          <cell r="W6001">
            <v>0</v>
          </cell>
          <cell r="AB6001" t="str">
            <v>line item not tagged</v>
          </cell>
        </row>
        <row r="6002">
          <cell r="W6002">
            <v>0</v>
          </cell>
          <cell r="AB6002" t="str">
            <v>line item not tagged</v>
          </cell>
        </row>
        <row r="6003">
          <cell r="W6003">
            <v>0</v>
          </cell>
          <cell r="AB6003" t="str">
            <v>line item not tagged</v>
          </cell>
        </row>
        <row r="6004">
          <cell r="W6004">
            <v>0</v>
          </cell>
          <cell r="AB6004" t="str">
            <v>line item not tagged</v>
          </cell>
        </row>
        <row r="6005">
          <cell r="W6005">
            <v>0</v>
          </cell>
          <cell r="AB6005" t="str">
            <v>line item not tagged</v>
          </cell>
        </row>
        <row r="6006">
          <cell r="W6006">
            <v>0</v>
          </cell>
          <cell r="AB6006" t="str">
            <v>line item not tagged</v>
          </cell>
        </row>
        <row r="6007">
          <cell r="W6007">
            <v>0</v>
          </cell>
          <cell r="AB6007" t="str">
            <v>line item not tagged</v>
          </cell>
        </row>
        <row r="6008">
          <cell r="W6008">
            <v>0</v>
          </cell>
          <cell r="AB6008" t="str">
            <v>line item not tagged</v>
          </cell>
        </row>
        <row r="6009">
          <cell r="W6009">
            <v>0</v>
          </cell>
          <cell r="AB6009" t="str">
            <v>line item not tagged</v>
          </cell>
        </row>
        <row r="6010">
          <cell r="W6010">
            <v>0</v>
          </cell>
          <cell r="AB6010" t="str">
            <v>line item not tagged</v>
          </cell>
        </row>
        <row r="6011">
          <cell r="W6011">
            <v>0</v>
          </cell>
          <cell r="AB6011" t="str">
            <v>line item not tagged</v>
          </cell>
        </row>
        <row r="6012">
          <cell r="W6012">
            <v>0</v>
          </cell>
          <cell r="AB6012" t="str">
            <v>line item not tagged</v>
          </cell>
        </row>
        <row r="6013">
          <cell r="W6013">
            <v>0</v>
          </cell>
          <cell r="AB6013" t="str">
            <v>line item not tagged</v>
          </cell>
        </row>
        <row r="6014">
          <cell r="W6014">
            <v>0</v>
          </cell>
          <cell r="AB6014" t="str">
            <v>line item not tagged</v>
          </cell>
        </row>
        <row r="6015">
          <cell r="W6015">
            <v>0</v>
          </cell>
          <cell r="AB6015" t="str">
            <v>line item not tagged</v>
          </cell>
        </row>
        <row r="6016">
          <cell r="W6016">
            <v>0</v>
          </cell>
          <cell r="AB6016" t="str">
            <v>line item not tagged</v>
          </cell>
        </row>
        <row r="6017">
          <cell r="W6017">
            <v>0</v>
          </cell>
          <cell r="AB6017" t="str">
            <v>line item not tagged</v>
          </cell>
        </row>
        <row r="6018">
          <cell r="W6018">
            <v>0</v>
          </cell>
          <cell r="AB6018" t="str">
            <v>line item not tagged</v>
          </cell>
        </row>
        <row r="6019">
          <cell r="W6019">
            <v>0</v>
          </cell>
          <cell r="AB6019" t="str">
            <v>line item not tagged</v>
          </cell>
        </row>
        <row r="6020">
          <cell r="W6020">
            <v>0</v>
          </cell>
          <cell r="AB6020" t="str">
            <v>line item not tagged</v>
          </cell>
        </row>
        <row r="6021">
          <cell r="W6021">
            <v>0</v>
          </cell>
          <cell r="AB6021" t="str">
            <v>line item not tagged</v>
          </cell>
        </row>
        <row r="6022">
          <cell r="W6022">
            <v>0</v>
          </cell>
          <cell r="AB6022" t="str">
            <v>line item not tagged</v>
          </cell>
        </row>
        <row r="6023">
          <cell r="W6023">
            <v>0</v>
          </cell>
          <cell r="AB6023" t="str">
            <v>line item not tagged</v>
          </cell>
        </row>
        <row r="6024">
          <cell r="W6024">
            <v>0</v>
          </cell>
          <cell r="AB6024" t="str">
            <v>line item not tagged</v>
          </cell>
        </row>
        <row r="6025">
          <cell r="W6025">
            <v>0</v>
          </cell>
          <cell r="AB6025" t="str">
            <v>line item not tagged</v>
          </cell>
        </row>
        <row r="6026">
          <cell r="W6026">
            <v>0</v>
          </cell>
          <cell r="AB6026" t="str">
            <v>line item not tagged</v>
          </cell>
        </row>
        <row r="6027">
          <cell r="W6027">
            <v>0</v>
          </cell>
          <cell r="AB6027" t="str">
            <v>line item not tagged</v>
          </cell>
        </row>
        <row r="6028">
          <cell r="W6028">
            <v>0</v>
          </cell>
          <cell r="AB6028" t="str">
            <v>line item not tagged</v>
          </cell>
        </row>
        <row r="6029">
          <cell r="W6029">
            <v>0</v>
          </cell>
          <cell r="AB6029" t="str">
            <v>line item not tagged</v>
          </cell>
        </row>
        <row r="6030">
          <cell r="W6030">
            <v>0</v>
          </cell>
          <cell r="AB6030" t="str">
            <v>line item not tagged</v>
          </cell>
        </row>
        <row r="6031">
          <cell r="W6031">
            <v>0</v>
          </cell>
          <cell r="AB6031" t="str">
            <v>line item not tagged</v>
          </cell>
        </row>
        <row r="6032">
          <cell r="W6032">
            <v>0</v>
          </cell>
          <cell r="AB6032" t="str">
            <v>line item not tagged</v>
          </cell>
        </row>
        <row r="6033">
          <cell r="W6033">
            <v>0</v>
          </cell>
          <cell r="AB6033" t="str">
            <v>line item not tagged</v>
          </cell>
        </row>
        <row r="6034">
          <cell r="W6034">
            <v>0</v>
          </cell>
          <cell r="AB6034" t="str">
            <v>line item not tagged</v>
          </cell>
        </row>
        <row r="6035">
          <cell r="W6035">
            <v>0</v>
          </cell>
          <cell r="AB6035" t="str">
            <v>line item not tagged</v>
          </cell>
        </row>
        <row r="6036">
          <cell r="W6036">
            <v>0</v>
          </cell>
          <cell r="AB6036" t="str">
            <v>line item not tagged</v>
          </cell>
        </row>
        <row r="6037">
          <cell r="W6037">
            <v>0</v>
          </cell>
          <cell r="AB6037" t="str">
            <v>line item not tagged</v>
          </cell>
        </row>
        <row r="6038">
          <cell r="W6038">
            <v>0</v>
          </cell>
          <cell r="AB6038" t="str">
            <v>line item not tagged</v>
          </cell>
        </row>
        <row r="6039">
          <cell r="W6039">
            <v>0</v>
          </cell>
          <cell r="AB6039" t="str">
            <v>line item not tagged</v>
          </cell>
        </row>
        <row r="6040">
          <cell r="W6040">
            <v>0</v>
          </cell>
          <cell r="AB6040" t="str">
            <v>line item not tagged</v>
          </cell>
        </row>
        <row r="6041">
          <cell r="W6041">
            <v>0</v>
          </cell>
          <cell r="AB6041" t="str">
            <v>line item not tagged</v>
          </cell>
        </row>
        <row r="6042">
          <cell r="W6042">
            <v>0</v>
          </cell>
          <cell r="AB6042" t="str">
            <v>line item not tagged</v>
          </cell>
        </row>
        <row r="6043">
          <cell r="W6043">
            <v>0</v>
          </cell>
          <cell r="AB6043" t="str">
            <v>line item not tagged</v>
          </cell>
        </row>
        <row r="6044">
          <cell r="W6044">
            <v>0</v>
          </cell>
          <cell r="AB6044" t="str">
            <v>line item not tagged</v>
          </cell>
        </row>
        <row r="6045">
          <cell r="W6045">
            <v>0</v>
          </cell>
          <cell r="AB6045" t="str">
            <v>line item not tagged</v>
          </cell>
        </row>
        <row r="6046">
          <cell r="W6046">
            <v>0</v>
          </cell>
          <cell r="AB6046" t="str">
            <v>line item not tagged</v>
          </cell>
        </row>
        <row r="6047">
          <cell r="W6047">
            <v>0</v>
          </cell>
          <cell r="AB6047" t="str">
            <v>line item not tagged</v>
          </cell>
        </row>
        <row r="6048">
          <cell r="W6048">
            <v>0</v>
          </cell>
          <cell r="AB6048" t="str">
            <v>line item not tagged</v>
          </cell>
        </row>
        <row r="6049">
          <cell r="W6049">
            <v>0</v>
          </cell>
          <cell r="AB6049" t="str">
            <v>line item not tagged</v>
          </cell>
        </row>
        <row r="6050">
          <cell r="W6050">
            <v>0</v>
          </cell>
          <cell r="AB6050" t="str">
            <v>line item not tagged</v>
          </cell>
        </row>
        <row r="6051">
          <cell r="W6051">
            <v>0</v>
          </cell>
          <cell r="AB6051" t="str">
            <v>line item not tagged</v>
          </cell>
        </row>
        <row r="6052">
          <cell r="W6052">
            <v>0</v>
          </cell>
          <cell r="AB6052" t="str">
            <v>line item not tagged</v>
          </cell>
        </row>
        <row r="6053">
          <cell r="W6053">
            <v>0</v>
          </cell>
          <cell r="AB6053" t="str">
            <v>line item not tagged</v>
          </cell>
        </row>
        <row r="6054">
          <cell r="W6054">
            <v>0</v>
          </cell>
          <cell r="AB6054" t="str">
            <v>line item not tagged</v>
          </cell>
        </row>
        <row r="6055">
          <cell r="W6055">
            <v>0</v>
          </cell>
          <cell r="AB6055" t="str">
            <v>line item not tagged</v>
          </cell>
        </row>
        <row r="6056">
          <cell r="W6056">
            <v>0</v>
          </cell>
          <cell r="AB6056" t="str">
            <v>line item not tagged</v>
          </cell>
        </row>
        <row r="6057">
          <cell r="W6057">
            <v>0</v>
          </cell>
          <cell r="AB6057" t="str">
            <v>line item not tagged</v>
          </cell>
        </row>
        <row r="6058">
          <cell r="W6058">
            <v>0</v>
          </cell>
          <cell r="AB6058" t="str">
            <v>line item not tagged</v>
          </cell>
        </row>
        <row r="6059">
          <cell r="W6059">
            <v>0</v>
          </cell>
          <cell r="AB6059" t="str">
            <v>line item not tagged</v>
          </cell>
        </row>
        <row r="6060">
          <cell r="W6060">
            <v>0</v>
          </cell>
          <cell r="AB6060" t="str">
            <v>line item not tagged</v>
          </cell>
        </row>
        <row r="6061">
          <cell r="W6061">
            <v>0</v>
          </cell>
          <cell r="AB6061" t="str">
            <v>line item not tagged</v>
          </cell>
        </row>
        <row r="6062">
          <cell r="W6062">
            <v>0</v>
          </cell>
          <cell r="AB6062" t="str">
            <v>line item not tagged</v>
          </cell>
        </row>
        <row r="6063">
          <cell r="W6063">
            <v>0</v>
          </cell>
          <cell r="AB6063" t="str">
            <v>line item not tagged</v>
          </cell>
        </row>
        <row r="6064">
          <cell r="W6064">
            <v>0</v>
          </cell>
          <cell r="AB6064" t="str">
            <v>line item not tagged</v>
          </cell>
        </row>
        <row r="6065">
          <cell r="W6065">
            <v>0</v>
          </cell>
          <cell r="AB6065" t="str">
            <v>line item not tagged</v>
          </cell>
        </row>
        <row r="6066">
          <cell r="W6066">
            <v>0</v>
          </cell>
          <cell r="AB6066" t="str">
            <v>line item not tagged</v>
          </cell>
        </row>
        <row r="6067">
          <cell r="W6067">
            <v>0</v>
          </cell>
          <cell r="AB6067" t="str">
            <v>line item not tagged</v>
          </cell>
        </row>
        <row r="6068">
          <cell r="W6068">
            <v>0</v>
          </cell>
          <cell r="AB6068" t="str">
            <v>line item not tagged</v>
          </cell>
        </row>
        <row r="6069">
          <cell r="W6069">
            <v>0</v>
          </cell>
          <cell r="AB6069" t="str">
            <v>line item not tagged</v>
          </cell>
        </row>
        <row r="6070">
          <cell r="W6070">
            <v>0</v>
          </cell>
          <cell r="AB6070" t="str">
            <v>line item not tagged</v>
          </cell>
        </row>
        <row r="6071">
          <cell r="W6071">
            <v>0</v>
          </cell>
          <cell r="AB6071" t="str">
            <v>line item not tagged</v>
          </cell>
        </row>
        <row r="6072">
          <cell r="W6072">
            <v>0</v>
          </cell>
          <cell r="AB6072" t="str">
            <v>line item not tagged</v>
          </cell>
        </row>
        <row r="6073">
          <cell r="W6073">
            <v>0</v>
          </cell>
          <cell r="AB6073" t="str">
            <v>line item not tagged</v>
          </cell>
        </row>
        <row r="6074">
          <cell r="W6074">
            <v>0</v>
          </cell>
          <cell r="AB6074" t="str">
            <v>line item not tagged</v>
          </cell>
        </row>
        <row r="6075">
          <cell r="W6075">
            <v>0</v>
          </cell>
          <cell r="AB6075" t="str">
            <v>line item not tagged</v>
          </cell>
        </row>
        <row r="6076">
          <cell r="W6076">
            <v>0</v>
          </cell>
          <cell r="AB6076" t="str">
            <v>line item not tagged</v>
          </cell>
        </row>
        <row r="6077">
          <cell r="W6077">
            <v>0</v>
          </cell>
          <cell r="AB6077" t="str">
            <v>line item not tagged</v>
          </cell>
        </row>
        <row r="6078">
          <cell r="W6078">
            <v>0</v>
          </cell>
          <cell r="AB6078" t="str">
            <v>line item not tagged</v>
          </cell>
        </row>
        <row r="6079">
          <cell r="W6079">
            <v>0</v>
          </cell>
          <cell r="AB6079" t="str">
            <v>line item not tagged</v>
          </cell>
        </row>
        <row r="6080">
          <cell r="W6080">
            <v>0</v>
          </cell>
          <cell r="AB6080" t="str">
            <v>line item not tagged</v>
          </cell>
        </row>
        <row r="6081">
          <cell r="W6081">
            <v>0</v>
          </cell>
          <cell r="AB6081" t="str">
            <v>line item not tagged</v>
          </cell>
        </row>
        <row r="6082">
          <cell r="W6082">
            <v>0</v>
          </cell>
          <cell r="AB6082" t="str">
            <v>line item not tagged</v>
          </cell>
        </row>
        <row r="6083">
          <cell r="W6083">
            <v>0</v>
          </cell>
          <cell r="AB6083" t="str">
            <v>line item not tagged</v>
          </cell>
        </row>
        <row r="6084">
          <cell r="W6084">
            <v>0</v>
          </cell>
          <cell r="AB6084" t="str">
            <v>line item not tagged</v>
          </cell>
        </row>
        <row r="6085">
          <cell r="W6085">
            <v>0</v>
          </cell>
          <cell r="AB6085" t="str">
            <v>line item not tagged</v>
          </cell>
        </row>
        <row r="6086">
          <cell r="W6086">
            <v>0</v>
          </cell>
          <cell r="AB6086" t="str">
            <v>line item not tagged</v>
          </cell>
        </row>
        <row r="6087">
          <cell r="W6087">
            <v>0</v>
          </cell>
          <cell r="AB6087" t="str">
            <v>line item not tagged</v>
          </cell>
        </row>
        <row r="6088">
          <cell r="W6088">
            <v>0</v>
          </cell>
          <cell r="AB6088" t="str">
            <v>line item not tagged</v>
          </cell>
        </row>
        <row r="6089">
          <cell r="W6089">
            <v>0</v>
          </cell>
          <cell r="AB6089" t="str">
            <v>line item not tagged</v>
          </cell>
        </row>
        <row r="6090">
          <cell r="W6090">
            <v>0</v>
          </cell>
          <cell r="AB6090" t="str">
            <v>line item not tagged</v>
          </cell>
        </row>
        <row r="6091">
          <cell r="W6091">
            <v>0</v>
          </cell>
          <cell r="AB6091" t="str">
            <v>line item not tagged</v>
          </cell>
        </row>
        <row r="6092">
          <cell r="W6092">
            <v>0</v>
          </cell>
          <cell r="AB6092" t="str">
            <v>line item not tagged</v>
          </cell>
        </row>
        <row r="6093">
          <cell r="W6093">
            <v>0</v>
          </cell>
          <cell r="AB6093" t="str">
            <v>line item not tagged</v>
          </cell>
        </row>
        <row r="6094">
          <cell r="W6094">
            <v>0</v>
          </cell>
          <cell r="AB6094" t="str">
            <v>line item not tagged</v>
          </cell>
        </row>
        <row r="6095">
          <cell r="W6095">
            <v>0</v>
          </cell>
          <cell r="AB6095" t="str">
            <v>line item not tagged</v>
          </cell>
        </row>
        <row r="6096">
          <cell r="W6096">
            <v>0</v>
          </cell>
          <cell r="AB6096" t="str">
            <v>line item not tagged</v>
          </cell>
        </row>
        <row r="6097">
          <cell r="W6097">
            <v>0</v>
          </cell>
          <cell r="AB6097" t="str">
            <v>line item not tagged</v>
          </cell>
        </row>
        <row r="6098">
          <cell r="W6098">
            <v>0</v>
          </cell>
          <cell r="AB6098" t="str">
            <v>line item not tagged</v>
          </cell>
        </row>
        <row r="6099">
          <cell r="W6099">
            <v>0</v>
          </cell>
          <cell r="AB6099" t="str">
            <v>line item not tagged</v>
          </cell>
        </row>
        <row r="6100">
          <cell r="W6100">
            <v>0</v>
          </cell>
          <cell r="AB6100" t="str">
            <v>line item not tagged</v>
          </cell>
        </row>
        <row r="6101">
          <cell r="W6101">
            <v>0</v>
          </cell>
          <cell r="AB6101" t="str">
            <v>line item not tagged</v>
          </cell>
        </row>
        <row r="6102">
          <cell r="W6102">
            <v>0</v>
          </cell>
          <cell r="AB6102" t="str">
            <v>line item not tagged</v>
          </cell>
        </row>
        <row r="6103">
          <cell r="W6103">
            <v>0</v>
          </cell>
          <cell r="AB6103" t="str">
            <v>line item not tagged</v>
          </cell>
        </row>
        <row r="6104">
          <cell r="W6104">
            <v>0</v>
          </cell>
          <cell r="AB6104" t="str">
            <v>line item not tagged</v>
          </cell>
        </row>
        <row r="6105">
          <cell r="W6105">
            <v>0</v>
          </cell>
          <cell r="AB6105" t="str">
            <v>line item not tagged</v>
          </cell>
        </row>
        <row r="6106">
          <cell r="W6106">
            <v>0</v>
          </cell>
          <cell r="AB6106" t="str">
            <v>line item not tagged</v>
          </cell>
        </row>
        <row r="6107">
          <cell r="W6107">
            <v>0</v>
          </cell>
          <cell r="AB6107" t="str">
            <v>line item not tagged</v>
          </cell>
        </row>
        <row r="6108">
          <cell r="W6108">
            <v>0</v>
          </cell>
          <cell r="AB6108" t="str">
            <v>line item not tagged</v>
          </cell>
        </row>
        <row r="6109">
          <cell r="W6109">
            <v>0</v>
          </cell>
          <cell r="AB6109" t="str">
            <v>line item not tagged</v>
          </cell>
        </row>
        <row r="6110">
          <cell r="W6110">
            <v>0</v>
          </cell>
          <cell r="AB6110" t="str">
            <v>line item not tagged</v>
          </cell>
        </row>
        <row r="6111">
          <cell r="W6111">
            <v>0</v>
          </cell>
          <cell r="AB6111" t="str">
            <v>line item not tagged</v>
          </cell>
        </row>
        <row r="6112">
          <cell r="W6112">
            <v>0</v>
          </cell>
          <cell r="AB6112" t="str">
            <v>line item not tagged</v>
          </cell>
        </row>
        <row r="6113">
          <cell r="W6113">
            <v>0</v>
          </cell>
          <cell r="AB6113" t="str">
            <v>line item not tagged</v>
          </cell>
        </row>
        <row r="6114">
          <cell r="W6114">
            <v>0</v>
          </cell>
          <cell r="AB6114" t="str">
            <v>line item not tagged</v>
          </cell>
        </row>
        <row r="6115">
          <cell r="W6115">
            <v>0</v>
          </cell>
          <cell r="AB6115" t="str">
            <v>line item not tagged</v>
          </cell>
        </row>
        <row r="6116">
          <cell r="W6116">
            <v>0</v>
          </cell>
          <cell r="AB6116" t="str">
            <v>line item not tagged</v>
          </cell>
        </row>
        <row r="6117">
          <cell r="W6117">
            <v>0</v>
          </cell>
          <cell r="AB6117" t="str">
            <v>line item not tagged</v>
          </cell>
        </row>
        <row r="6118">
          <cell r="W6118">
            <v>0</v>
          </cell>
          <cell r="AB6118" t="str">
            <v>line item not tagged</v>
          </cell>
        </row>
        <row r="6119">
          <cell r="W6119">
            <v>0</v>
          </cell>
          <cell r="AB6119" t="str">
            <v>line item not tagged</v>
          </cell>
        </row>
        <row r="6120">
          <cell r="W6120">
            <v>0</v>
          </cell>
          <cell r="AB6120" t="str">
            <v>line item not tagged</v>
          </cell>
        </row>
        <row r="6121">
          <cell r="W6121">
            <v>0</v>
          </cell>
          <cell r="AB6121" t="str">
            <v>line item not tagged</v>
          </cell>
        </row>
        <row r="6122">
          <cell r="W6122">
            <v>0</v>
          </cell>
          <cell r="AB6122" t="str">
            <v>line item not tagged</v>
          </cell>
        </row>
        <row r="6123">
          <cell r="W6123">
            <v>0</v>
          </cell>
          <cell r="AB6123" t="str">
            <v>line item not tagged</v>
          </cell>
        </row>
        <row r="6124">
          <cell r="W6124">
            <v>0</v>
          </cell>
          <cell r="AB6124" t="str">
            <v>line item not tagged</v>
          </cell>
        </row>
        <row r="6125">
          <cell r="W6125">
            <v>0</v>
          </cell>
          <cell r="AB6125" t="str">
            <v>line item not tagged</v>
          </cell>
        </row>
        <row r="6126">
          <cell r="W6126">
            <v>0</v>
          </cell>
          <cell r="AB6126" t="str">
            <v>line item not tagged</v>
          </cell>
        </row>
        <row r="6127">
          <cell r="W6127">
            <v>0</v>
          </cell>
          <cell r="AB6127" t="str">
            <v>line item not tagged</v>
          </cell>
        </row>
        <row r="6128">
          <cell r="W6128">
            <v>0</v>
          </cell>
          <cell r="AB6128" t="str">
            <v>line item not tagged</v>
          </cell>
        </row>
        <row r="6129">
          <cell r="W6129">
            <v>0</v>
          </cell>
          <cell r="AB6129" t="str">
            <v>line item not tagged</v>
          </cell>
        </row>
        <row r="6130">
          <cell r="W6130">
            <v>0</v>
          </cell>
          <cell r="AB6130" t="str">
            <v>line item not tagged</v>
          </cell>
        </row>
        <row r="6131">
          <cell r="W6131">
            <v>0</v>
          </cell>
          <cell r="AB6131" t="str">
            <v>line item not tagged</v>
          </cell>
        </row>
        <row r="6132">
          <cell r="W6132">
            <v>0</v>
          </cell>
          <cell r="AB6132" t="str">
            <v>line item not tagged</v>
          </cell>
        </row>
        <row r="6133">
          <cell r="W6133">
            <v>0</v>
          </cell>
          <cell r="AB6133" t="str">
            <v>line item not tagged</v>
          </cell>
        </row>
        <row r="6134">
          <cell r="W6134">
            <v>0</v>
          </cell>
          <cell r="AB6134" t="str">
            <v>line item not tagged</v>
          </cell>
        </row>
        <row r="6135">
          <cell r="W6135">
            <v>0</v>
          </cell>
          <cell r="AB6135" t="str">
            <v>line item not tagged</v>
          </cell>
        </row>
        <row r="6136">
          <cell r="W6136">
            <v>0</v>
          </cell>
          <cell r="AB6136" t="str">
            <v>line item not tagged</v>
          </cell>
        </row>
        <row r="6137">
          <cell r="W6137">
            <v>0</v>
          </cell>
          <cell r="AB6137" t="str">
            <v>line item not tagged</v>
          </cell>
        </row>
        <row r="6138">
          <cell r="W6138">
            <v>0</v>
          </cell>
          <cell r="AB6138" t="str">
            <v>line item not tagged</v>
          </cell>
        </row>
        <row r="6139">
          <cell r="W6139">
            <v>0</v>
          </cell>
          <cell r="AB6139" t="str">
            <v>line item not tagged</v>
          </cell>
        </row>
        <row r="6140">
          <cell r="W6140">
            <v>0</v>
          </cell>
          <cell r="AB6140" t="str">
            <v>line item not tagged</v>
          </cell>
        </row>
        <row r="6141">
          <cell r="W6141">
            <v>0</v>
          </cell>
          <cell r="AB6141" t="str">
            <v>line item not tagged</v>
          </cell>
        </row>
        <row r="6142">
          <cell r="W6142">
            <v>0</v>
          </cell>
          <cell r="AB6142" t="str">
            <v>line item not tagged</v>
          </cell>
        </row>
        <row r="6143">
          <cell r="W6143">
            <v>0</v>
          </cell>
          <cell r="AB6143" t="str">
            <v>line item not tagged</v>
          </cell>
        </row>
        <row r="6144">
          <cell r="W6144">
            <v>0</v>
          </cell>
          <cell r="AB6144" t="str">
            <v>line item not tagged</v>
          </cell>
        </row>
        <row r="6145">
          <cell r="W6145">
            <v>0</v>
          </cell>
          <cell r="AB6145" t="str">
            <v>line item not tagged</v>
          </cell>
        </row>
        <row r="6146">
          <cell r="W6146">
            <v>0</v>
          </cell>
          <cell r="AB6146" t="str">
            <v>line item not tagged</v>
          </cell>
        </row>
        <row r="6147">
          <cell r="W6147">
            <v>0</v>
          </cell>
          <cell r="AB6147" t="str">
            <v>line item not tagged</v>
          </cell>
        </row>
        <row r="6148">
          <cell r="W6148">
            <v>0</v>
          </cell>
          <cell r="AB6148" t="str">
            <v>line item not tagged</v>
          </cell>
        </row>
        <row r="6149">
          <cell r="W6149">
            <v>0</v>
          </cell>
          <cell r="AB6149" t="str">
            <v>line item not tagged</v>
          </cell>
        </row>
        <row r="6150">
          <cell r="W6150">
            <v>0</v>
          </cell>
          <cell r="AB6150" t="str">
            <v>line item not tagged</v>
          </cell>
        </row>
        <row r="6151">
          <cell r="W6151">
            <v>0</v>
          </cell>
          <cell r="AB6151" t="str">
            <v>line item not tagged</v>
          </cell>
        </row>
        <row r="6152">
          <cell r="W6152">
            <v>0</v>
          </cell>
          <cell r="AB6152" t="str">
            <v>line item not tagged</v>
          </cell>
        </row>
        <row r="6153">
          <cell r="W6153">
            <v>0</v>
          </cell>
          <cell r="AB6153" t="str">
            <v>line item not tagged</v>
          </cell>
        </row>
        <row r="6154">
          <cell r="W6154">
            <v>0</v>
          </cell>
          <cell r="AB6154" t="str">
            <v>line item not tagged</v>
          </cell>
        </row>
        <row r="6155">
          <cell r="W6155">
            <v>0</v>
          </cell>
          <cell r="AB6155" t="str">
            <v>line item not tagged</v>
          </cell>
        </row>
        <row r="6156">
          <cell r="W6156">
            <v>0</v>
          </cell>
          <cell r="AB6156" t="str">
            <v>line item not tagged</v>
          </cell>
        </row>
        <row r="6157">
          <cell r="W6157">
            <v>0</v>
          </cell>
          <cell r="AB6157" t="str">
            <v>line item not tagged</v>
          </cell>
        </row>
        <row r="6158">
          <cell r="W6158">
            <v>0</v>
          </cell>
          <cell r="AB6158" t="str">
            <v>line item not tagged</v>
          </cell>
        </row>
        <row r="6159">
          <cell r="W6159">
            <v>0</v>
          </cell>
          <cell r="AB6159" t="str">
            <v>line item not tagged</v>
          </cell>
        </row>
        <row r="6160">
          <cell r="W6160">
            <v>0</v>
          </cell>
          <cell r="AB6160" t="str">
            <v>line item not tagged</v>
          </cell>
        </row>
        <row r="6161">
          <cell r="W6161">
            <v>0</v>
          </cell>
          <cell r="AB6161" t="str">
            <v>line item not tagged</v>
          </cell>
        </row>
        <row r="6162">
          <cell r="W6162">
            <v>0</v>
          </cell>
          <cell r="AB6162" t="str">
            <v>line item not tagged</v>
          </cell>
        </row>
        <row r="6163">
          <cell r="W6163">
            <v>0</v>
          </cell>
          <cell r="AB6163" t="str">
            <v>line item not tagged</v>
          </cell>
        </row>
        <row r="6164">
          <cell r="W6164">
            <v>0</v>
          </cell>
          <cell r="AB6164" t="str">
            <v>line item not tagged</v>
          </cell>
        </row>
        <row r="6165">
          <cell r="W6165">
            <v>0</v>
          </cell>
          <cell r="AB6165" t="str">
            <v>line item not tagged</v>
          </cell>
        </row>
        <row r="6166">
          <cell r="W6166">
            <v>0</v>
          </cell>
          <cell r="AB6166" t="str">
            <v>line item not tagged</v>
          </cell>
        </row>
        <row r="6167">
          <cell r="W6167">
            <v>0</v>
          </cell>
          <cell r="AB6167" t="str">
            <v>line item not tagged</v>
          </cell>
        </row>
        <row r="6168">
          <cell r="W6168">
            <v>0</v>
          </cell>
          <cell r="AB6168" t="str">
            <v>line item not tagged</v>
          </cell>
        </row>
        <row r="6169">
          <cell r="W6169">
            <v>0</v>
          </cell>
          <cell r="AB6169" t="str">
            <v>line item not tagged</v>
          </cell>
        </row>
        <row r="6170">
          <cell r="W6170">
            <v>0</v>
          </cell>
          <cell r="AB6170" t="str">
            <v>line item not tagged</v>
          </cell>
        </row>
        <row r="6171">
          <cell r="W6171">
            <v>0</v>
          </cell>
          <cell r="AB6171" t="str">
            <v>line item not tagged</v>
          </cell>
        </row>
        <row r="6172">
          <cell r="W6172">
            <v>0</v>
          </cell>
          <cell r="AB6172" t="str">
            <v>line item not tagged</v>
          </cell>
        </row>
        <row r="6173">
          <cell r="W6173">
            <v>0</v>
          </cell>
          <cell r="AB6173" t="str">
            <v>line item not tagged</v>
          </cell>
        </row>
        <row r="6174">
          <cell r="W6174">
            <v>0</v>
          </cell>
          <cell r="AB6174" t="str">
            <v>line item not tagged</v>
          </cell>
        </row>
        <row r="6175">
          <cell r="W6175">
            <v>0</v>
          </cell>
          <cell r="AB6175" t="str">
            <v>line item not tagged</v>
          </cell>
        </row>
        <row r="6176">
          <cell r="W6176">
            <v>0</v>
          </cell>
          <cell r="AB6176" t="str">
            <v>line item not tagged</v>
          </cell>
        </row>
        <row r="6177">
          <cell r="W6177">
            <v>0</v>
          </cell>
          <cell r="AB6177" t="str">
            <v>line item not tagged</v>
          </cell>
        </row>
        <row r="6178">
          <cell r="W6178">
            <v>0</v>
          </cell>
          <cell r="AB6178" t="str">
            <v>line item not tagged</v>
          </cell>
        </row>
        <row r="6179">
          <cell r="W6179">
            <v>0</v>
          </cell>
          <cell r="AB6179" t="str">
            <v>line item not tagged</v>
          </cell>
        </row>
        <row r="6180">
          <cell r="W6180">
            <v>0</v>
          </cell>
          <cell r="AB6180" t="str">
            <v>line item not tagged</v>
          </cell>
        </row>
        <row r="6181">
          <cell r="W6181">
            <v>0</v>
          </cell>
          <cell r="AB6181" t="str">
            <v>line item not tagged</v>
          </cell>
        </row>
        <row r="6182">
          <cell r="W6182">
            <v>0</v>
          </cell>
          <cell r="AB6182" t="str">
            <v>line item not tagged</v>
          </cell>
        </row>
        <row r="6183">
          <cell r="W6183">
            <v>0</v>
          </cell>
          <cell r="AB6183" t="str">
            <v>line item not tagged</v>
          </cell>
        </row>
        <row r="6184">
          <cell r="W6184">
            <v>0</v>
          </cell>
          <cell r="AB6184" t="str">
            <v>line item not tagged</v>
          </cell>
        </row>
        <row r="6185">
          <cell r="W6185">
            <v>0</v>
          </cell>
          <cell r="AB6185" t="str">
            <v>line item not tagged</v>
          </cell>
        </row>
        <row r="6186">
          <cell r="W6186">
            <v>0</v>
          </cell>
          <cell r="AB6186" t="str">
            <v>line item not tagged</v>
          </cell>
        </row>
        <row r="6187">
          <cell r="W6187">
            <v>0</v>
          </cell>
          <cell r="AB6187" t="str">
            <v>line item not tagged</v>
          </cell>
        </row>
        <row r="6188">
          <cell r="W6188">
            <v>0</v>
          </cell>
          <cell r="AB6188" t="str">
            <v>line item not tagged</v>
          </cell>
        </row>
        <row r="6189">
          <cell r="W6189">
            <v>0</v>
          </cell>
          <cell r="AB6189" t="str">
            <v>line item not tagged</v>
          </cell>
        </row>
        <row r="6190">
          <cell r="W6190">
            <v>0</v>
          </cell>
          <cell r="AB6190" t="str">
            <v>line item not tagged</v>
          </cell>
        </row>
        <row r="6191">
          <cell r="W6191">
            <v>0</v>
          </cell>
          <cell r="AB6191" t="str">
            <v>line item not tagged</v>
          </cell>
        </row>
        <row r="6192">
          <cell r="W6192">
            <v>0</v>
          </cell>
          <cell r="AB6192" t="str">
            <v>line item not tagged</v>
          </cell>
        </row>
        <row r="6193">
          <cell r="W6193">
            <v>0</v>
          </cell>
          <cell r="AB6193" t="str">
            <v>line item not tagged</v>
          </cell>
        </row>
        <row r="6194">
          <cell r="W6194">
            <v>0</v>
          </cell>
          <cell r="AB6194" t="str">
            <v>line item not tagged</v>
          </cell>
        </row>
        <row r="6195">
          <cell r="W6195">
            <v>0</v>
          </cell>
          <cell r="AB6195" t="str">
            <v>line item not tagged</v>
          </cell>
        </row>
        <row r="6196">
          <cell r="W6196">
            <v>0</v>
          </cell>
          <cell r="AB6196" t="str">
            <v>line item not tagged</v>
          </cell>
        </row>
        <row r="6197">
          <cell r="W6197">
            <v>0</v>
          </cell>
          <cell r="AB6197" t="str">
            <v>line item not tagged</v>
          </cell>
        </row>
        <row r="6198">
          <cell r="W6198">
            <v>0</v>
          </cell>
          <cell r="AB6198" t="str">
            <v>line item not tagged</v>
          </cell>
        </row>
        <row r="6199">
          <cell r="W6199">
            <v>0</v>
          </cell>
          <cell r="AB6199" t="str">
            <v>line item not tagged</v>
          </cell>
        </row>
        <row r="6200">
          <cell r="W6200">
            <v>0</v>
          </cell>
          <cell r="AB6200" t="str">
            <v>line item not tagged</v>
          </cell>
        </row>
        <row r="6201">
          <cell r="W6201">
            <v>0</v>
          </cell>
          <cell r="AB6201" t="str">
            <v>line item not tagged</v>
          </cell>
        </row>
        <row r="6202">
          <cell r="W6202">
            <v>0</v>
          </cell>
          <cell r="AB6202" t="str">
            <v>line item not tagged</v>
          </cell>
        </row>
        <row r="6203">
          <cell r="W6203">
            <v>0</v>
          </cell>
          <cell r="AB6203" t="str">
            <v>line item not tagged</v>
          </cell>
        </row>
        <row r="6204">
          <cell r="W6204">
            <v>0</v>
          </cell>
          <cell r="AB6204" t="str">
            <v>line item not tagged</v>
          </cell>
        </row>
        <row r="6205">
          <cell r="W6205">
            <v>0</v>
          </cell>
          <cell r="AB6205" t="str">
            <v>line item not tagged</v>
          </cell>
        </row>
        <row r="6206">
          <cell r="W6206">
            <v>0</v>
          </cell>
          <cell r="AB6206" t="str">
            <v>line item not tagged</v>
          </cell>
        </row>
        <row r="6207">
          <cell r="W6207">
            <v>0</v>
          </cell>
          <cell r="AB6207" t="str">
            <v>line item not tagged</v>
          </cell>
        </row>
        <row r="6208">
          <cell r="W6208">
            <v>0</v>
          </cell>
          <cell r="AB6208" t="str">
            <v>line item not tagged</v>
          </cell>
        </row>
        <row r="6209">
          <cell r="W6209">
            <v>0</v>
          </cell>
          <cell r="AB6209" t="str">
            <v>line item not tagged</v>
          </cell>
        </row>
        <row r="6210">
          <cell r="W6210">
            <v>0</v>
          </cell>
          <cell r="AB6210" t="str">
            <v>line item not tagged</v>
          </cell>
        </row>
        <row r="6211">
          <cell r="W6211">
            <v>0</v>
          </cell>
          <cell r="AB6211" t="str">
            <v>line item not tagged</v>
          </cell>
        </row>
        <row r="6212">
          <cell r="W6212">
            <v>0</v>
          </cell>
          <cell r="AB6212" t="str">
            <v>line item not tagged</v>
          </cell>
        </row>
        <row r="6213">
          <cell r="W6213">
            <v>0</v>
          </cell>
          <cell r="AB6213" t="str">
            <v>line item not tagged</v>
          </cell>
        </row>
        <row r="6214">
          <cell r="W6214">
            <v>0</v>
          </cell>
          <cell r="AB6214" t="str">
            <v>line item not tagged</v>
          </cell>
        </row>
        <row r="6215">
          <cell r="W6215">
            <v>0</v>
          </cell>
          <cell r="AB6215" t="str">
            <v>line item not tagged</v>
          </cell>
        </row>
        <row r="6216">
          <cell r="W6216">
            <v>0</v>
          </cell>
          <cell r="AB6216" t="str">
            <v>line item not tagged</v>
          </cell>
        </row>
        <row r="6217">
          <cell r="W6217">
            <v>0</v>
          </cell>
          <cell r="AB6217" t="str">
            <v>line item not tagged</v>
          </cell>
        </row>
        <row r="6218">
          <cell r="W6218">
            <v>0</v>
          </cell>
          <cell r="AB6218" t="str">
            <v>line item not tagged</v>
          </cell>
        </row>
        <row r="6219">
          <cell r="W6219">
            <v>0</v>
          </cell>
          <cell r="AB6219" t="str">
            <v>line item not tagged</v>
          </cell>
        </row>
        <row r="6220">
          <cell r="W6220">
            <v>0</v>
          </cell>
          <cell r="AB6220" t="str">
            <v>line item not tagged</v>
          </cell>
        </row>
        <row r="6221">
          <cell r="W6221">
            <v>0</v>
          </cell>
          <cell r="AB6221" t="str">
            <v>line item not tagged</v>
          </cell>
        </row>
        <row r="6222">
          <cell r="W6222">
            <v>0</v>
          </cell>
          <cell r="AB6222" t="str">
            <v>line item not tagged</v>
          </cell>
        </row>
        <row r="6223">
          <cell r="W6223">
            <v>0</v>
          </cell>
          <cell r="AB6223" t="str">
            <v>line item not tagged</v>
          </cell>
        </row>
        <row r="6224">
          <cell r="W6224">
            <v>0</v>
          </cell>
          <cell r="AB6224" t="str">
            <v>line item not tagged</v>
          </cell>
        </row>
        <row r="6225">
          <cell r="W6225">
            <v>0</v>
          </cell>
          <cell r="AB6225" t="str">
            <v>line item not tagged</v>
          </cell>
        </row>
        <row r="6226">
          <cell r="W6226">
            <v>0</v>
          </cell>
          <cell r="AB6226" t="str">
            <v>line item not tagged</v>
          </cell>
        </row>
        <row r="6227">
          <cell r="W6227">
            <v>0</v>
          </cell>
          <cell r="AB6227" t="str">
            <v>line item not tagged</v>
          </cell>
        </row>
        <row r="6228">
          <cell r="W6228">
            <v>0</v>
          </cell>
          <cell r="AB6228" t="str">
            <v>line item not tagged</v>
          </cell>
        </row>
        <row r="6229">
          <cell r="W6229">
            <v>0</v>
          </cell>
          <cell r="AB6229" t="str">
            <v>line item not tagged</v>
          </cell>
        </row>
        <row r="6230">
          <cell r="W6230">
            <v>0</v>
          </cell>
          <cell r="AB6230" t="str">
            <v>line item not tagged</v>
          </cell>
        </row>
        <row r="6231">
          <cell r="W6231">
            <v>0</v>
          </cell>
          <cell r="AB6231" t="str">
            <v>line item not tagged</v>
          </cell>
        </row>
        <row r="6232">
          <cell r="W6232">
            <v>0</v>
          </cell>
          <cell r="AB6232" t="str">
            <v>line item not tagged</v>
          </cell>
        </row>
        <row r="6233">
          <cell r="W6233">
            <v>0</v>
          </cell>
          <cell r="AB6233" t="str">
            <v>line item not tagged</v>
          </cell>
        </row>
        <row r="6234">
          <cell r="W6234">
            <v>0</v>
          </cell>
          <cell r="AB6234" t="str">
            <v>line item not tagged</v>
          </cell>
        </row>
        <row r="6235">
          <cell r="W6235">
            <v>0</v>
          </cell>
          <cell r="AB6235" t="str">
            <v>line item not tagged</v>
          </cell>
        </row>
        <row r="6236">
          <cell r="W6236">
            <v>0</v>
          </cell>
          <cell r="AB6236" t="str">
            <v>line item not tagged</v>
          </cell>
        </row>
        <row r="6237">
          <cell r="W6237">
            <v>0</v>
          </cell>
          <cell r="AB6237" t="str">
            <v>line item not tagged</v>
          </cell>
        </row>
        <row r="6238">
          <cell r="W6238">
            <v>0</v>
          </cell>
          <cell r="AB6238" t="str">
            <v>line item not tagged</v>
          </cell>
        </row>
        <row r="6239">
          <cell r="W6239">
            <v>0</v>
          </cell>
          <cell r="AB6239" t="str">
            <v>line item not tagged</v>
          </cell>
        </row>
        <row r="6240">
          <cell r="W6240">
            <v>0</v>
          </cell>
          <cell r="AB6240" t="str">
            <v>line item not tagged</v>
          </cell>
        </row>
        <row r="6241">
          <cell r="W6241">
            <v>0</v>
          </cell>
          <cell r="AB6241" t="str">
            <v>line item not tagged</v>
          </cell>
        </row>
        <row r="6242">
          <cell r="W6242">
            <v>0</v>
          </cell>
          <cell r="AB6242" t="str">
            <v>line item not tagged</v>
          </cell>
        </row>
        <row r="6243">
          <cell r="W6243">
            <v>0</v>
          </cell>
          <cell r="AB6243" t="str">
            <v>line item not tagged</v>
          </cell>
        </row>
        <row r="6244">
          <cell r="W6244">
            <v>0</v>
          </cell>
          <cell r="AB6244" t="str">
            <v>line item not tagged</v>
          </cell>
        </row>
        <row r="6245">
          <cell r="W6245">
            <v>0</v>
          </cell>
          <cell r="AB6245" t="str">
            <v>line item not tagged</v>
          </cell>
        </row>
        <row r="6246">
          <cell r="W6246">
            <v>0</v>
          </cell>
          <cell r="AB6246" t="str">
            <v>line item not tagged</v>
          </cell>
        </row>
        <row r="6247">
          <cell r="W6247">
            <v>0</v>
          </cell>
          <cell r="AB6247" t="str">
            <v>line item not tagged</v>
          </cell>
        </row>
        <row r="6248">
          <cell r="W6248">
            <v>0</v>
          </cell>
          <cell r="AB6248" t="str">
            <v>line item not tagged</v>
          </cell>
        </row>
        <row r="6249">
          <cell r="W6249">
            <v>0</v>
          </cell>
          <cell r="AB6249" t="str">
            <v>line item not tagged</v>
          </cell>
        </row>
        <row r="6250">
          <cell r="W6250">
            <v>0</v>
          </cell>
          <cell r="AB6250" t="str">
            <v>line item not tagged</v>
          </cell>
        </row>
        <row r="6251">
          <cell r="W6251">
            <v>0</v>
          </cell>
          <cell r="AB6251" t="str">
            <v>line item not tagged</v>
          </cell>
        </row>
        <row r="6252">
          <cell r="W6252">
            <v>0</v>
          </cell>
          <cell r="AB6252" t="str">
            <v>line item not tagged</v>
          </cell>
        </row>
        <row r="6253">
          <cell r="W6253">
            <v>0</v>
          </cell>
          <cell r="AB6253" t="str">
            <v>line item not tagged</v>
          </cell>
        </row>
        <row r="6254">
          <cell r="W6254">
            <v>0</v>
          </cell>
          <cell r="AB6254" t="str">
            <v>line item not tagged</v>
          </cell>
        </row>
        <row r="6255">
          <cell r="W6255">
            <v>0</v>
          </cell>
          <cell r="AB6255" t="str">
            <v>line item not tagged</v>
          </cell>
        </row>
        <row r="6256">
          <cell r="W6256">
            <v>0</v>
          </cell>
          <cell r="AB6256" t="str">
            <v>line item not tagged</v>
          </cell>
        </row>
        <row r="6257">
          <cell r="W6257">
            <v>0</v>
          </cell>
          <cell r="AB6257" t="str">
            <v>line item not tagged</v>
          </cell>
        </row>
        <row r="6258">
          <cell r="W6258">
            <v>0</v>
          </cell>
          <cell r="AB6258" t="str">
            <v>line item not tagged</v>
          </cell>
        </row>
        <row r="6259">
          <cell r="W6259">
            <v>0</v>
          </cell>
          <cell r="AB6259" t="str">
            <v>line item not tagged</v>
          </cell>
        </row>
        <row r="6260">
          <cell r="W6260">
            <v>0</v>
          </cell>
          <cell r="AB6260" t="str">
            <v>line item not tagged</v>
          </cell>
        </row>
        <row r="6261">
          <cell r="W6261">
            <v>0</v>
          </cell>
          <cell r="AB6261" t="str">
            <v>line item not tagged</v>
          </cell>
        </row>
        <row r="6262">
          <cell r="W6262">
            <v>0</v>
          </cell>
          <cell r="AB6262" t="str">
            <v>line item not tagged</v>
          </cell>
        </row>
        <row r="6263">
          <cell r="W6263">
            <v>0</v>
          </cell>
          <cell r="AB6263" t="str">
            <v>line item not tagged</v>
          </cell>
        </row>
        <row r="6264">
          <cell r="W6264">
            <v>0</v>
          </cell>
          <cell r="AB6264" t="str">
            <v>line item not tagged</v>
          </cell>
        </row>
        <row r="6265">
          <cell r="W6265">
            <v>0</v>
          </cell>
          <cell r="AB6265" t="str">
            <v>line item not tagged</v>
          </cell>
        </row>
        <row r="6266">
          <cell r="W6266">
            <v>0</v>
          </cell>
          <cell r="AB6266" t="str">
            <v>line item not tagged</v>
          </cell>
        </row>
        <row r="6267">
          <cell r="W6267">
            <v>0</v>
          </cell>
          <cell r="AB6267" t="str">
            <v>line item not tagged</v>
          </cell>
        </row>
        <row r="6268">
          <cell r="W6268">
            <v>0</v>
          </cell>
          <cell r="AB6268" t="str">
            <v>line item not tagged</v>
          </cell>
        </row>
        <row r="6269">
          <cell r="W6269">
            <v>0</v>
          </cell>
          <cell r="AB6269" t="str">
            <v>line item not tagged</v>
          </cell>
        </row>
        <row r="6270">
          <cell r="W6270">
            <v>0</v>
          </cell>
          <cell r="AB6270" t="str">
            <v>line item not tagged</v>
          </cell>
        </row>
        <row r="6271">
          <cell r="W6271">
            <v>0</v>
          </cell>
          <cell r="AB6271" t="str">
            <v>line item not tagged</v>
          </cell>
        </row>
        <row r="6272">
          <cell r="W6272">
            <v>0</v>
          </cell>
          <cell r="AB6272" t="str">
            <v>line item not tagged</v>
          </cell>
        </row>
        <row r="6273">
          <cell r="W6273">
            <v>0</v>
          </cell>
          <cell r="AB6273" t="str">
            <v>line item not tagged</v>
          </cell>
        </row>
        <row r="6274">
          <cell r="W6274">
            <v>0</v>
          </cell>
          <cell r="AB6274" t="str">
            <v>line item not tagged</v>
          </cell>
        </row>
        <row r="6275">
          <cell r="W6275">
            <v>0</v>
          </cell>
          <cell r="AB6275" t="str">
            <v>line item not tagged</v>
          </cell>
        </row>
        <row r="6276">
          <cell r="W6276">
            <v>0</v>
          </cell>
          <cell r="AB6276" t="str">
            <v>line item not tagged</v>
          </cell>
        </row>
        <row r="6277">
          <cell r="W6277">
            <v>0</v>
          </cell>
          <cell r="AB6277" t="str">
            <v>line item not tagged</v>
          </cell>
        </row>
        <row r="6278">
          <cell r="W6278">
            <v>0</v>
          </cell>
          <cell r="AB6278" t="str">
            <v>line item not tagged</v>
          </cell>
        </row>
        <row r="6279">
          <cell r="W6279">
            <v>0</v>
          </cell>
          <cell r="AB6279" t="str">
            <v>line item not tagged</v>
          </cell>
        </row>
        <row r="6280">
          <cell r="W6280">
            <v>0</v>
          </cell>
          <cell r="AB6280" t="str">
            <v>line item not tagged</v>
          </cell>
        </row>
        <row r="6281">
          <cell r="W6281">
            <v>0</v>
          </cell>
          <cell r="AB6281" t="str">
            <v>line item not tagged</v>
          </cell>
        </row>
        <row r="6282">
          <cell r="W6282">
            <v>0</v>
          </cell>
          <cell r="AB6282" t="str">
            <v>line item not tagged</v>
          </cell>
        </row>
        <row r="6283">
          <cell r="W6283">
            <v>0</v>
          </cell>
          <cell r="AB6283" t="str">
            <v>line item not tagged</v>
          </cell>
        </row>
        <row r="6284">
          <cell r="W6284">
            <v>0</v>
          </cell>
          <cell r="AB6284" t="str">
            <v>line item not tagged</v>
          </cell>
        </row>
        <row r="6285">
          <cell r="W6285">
            <v>0</v>
          </cell>
          <cell r="AB6285" t="str">
            <v>line item not tagged</v>
          </cell>
        </row>
        <row r="6286">
          <cell r="W6286">
            <v>0</v>
          </cell>
          <cell r="AB6286" t="str">
            <v>line item not tagged</v>
          </cell>
        </row>
        <row r="6287">
          <cell r="W6287">
            <v>0</v>
          </cell>
          <cell r="AB6287" t="str">
            <v>line item not tagged</v>
          </cell>
        </row>
        <row r="6288">
          <cell r="W6288">
            <v>0</v>
          </cell>
          <cell r="AB6288" t="str">
            <v>line item not tagged</v>
          </cell>
        </row>
        <row r="6289">
          <cell r="W6289">
            <v>0</v>
          </cell>
          <cell r="AB6289" t="str">
            <v>line item not tagged</v>
          </cell>
        </row>
        <row r="6290">
          <cell r="W6290">
            <v>0</v>
          </cell>
          <cell r="AB6290" t="str">
            <v>line item not tagged</v>
          </cell>
        </row>
        <row r="6291">
          <cell r="W6291">
            <v>0</v>
          </cell>
          <cell r="AB6291" t="str">
            <v>line item not tagged</v>
          </cell>
        </row>
        <row r="6292">
          <cell r="W6292">
            <v>0</v>
          </cell>
          <cell r="AB6292" t="str">
            <v>line item not tagged</v>
          </cell>
        </row>
        <row r="6293">
          <cell r="W6293">
            <v>0</v>
          </cell>
          <cell r="AB6293" t="str">
            <v>line item not tagged</v>
          </cell>
        </row>
        <row r="6294">
          <cell r="W6294">
            <v>0</v>
          </cell>
          <cell r="AB6294" t="str">
            <v>line item not tagged</v>
          </cell>
        </row>
        <row r="6295">
          <cell r="W6295">
            <v>0</v>
          </cell>
          <cell r="AB6295" t="str">
            <v>line item not tagged</v>
          </cell>
        </row>
        <row r="6296">
          <cell r="W6296">
            <v>0</v>
          </cell>
          <cell r="AB6296" t="str">
            <v>line item not tagged</v>
          </cell>
        </row>
        <row r="6297">
          <cell r="W6297">
            <v>0</v>
          </cell>
          <cell r="AB6297" t="str">
            <v>line item not tagged</v>
          </cell>
        </row>
        <row r="6298">
          <cell r="W6298">
            <v>0</v>
          </cell>
          <cell r="AB6298" t="str">
            <v>line item not tagged</v>
          </cell>
        </row>
        <row r="6299">
          <cell r="W6299">
            <v>0</v>
          </cell>
          <cell r="AB6299" t="str">
            <v>line item not tagged</v>
          </cell>
        </row>
        <row r="6300">
          <cell r="W6300">
            <v>0</v>
          </cell>
          <cell r="AB6300" t="str">
            <v>line item not tagged</v>
          </cell>
        </row>
        <row r="6301">
          <cell r="W6301">
            <v>0</v>
          </cell>
          <cell r="AB6301" t="str">
            <v>line item not tagged</v>
          </cell>
        </row>
        <row r="6302">
          <cell r="W6302">
            <v>0</v>
          </cell>
          <cell r="AB6302" t="str">
            <v>line item not tagged</v>
          </cell>
        </row>
        <row r="6303">
          <cell r="W6303">
            <v>0</v>
          </cell>
          <cell r="AB6303" t="str">
            <v>line item not tagged</v>
          </cell>
        </row>
        <row r="6304">
          <cell r="W6304">
            <v>0</v>
          </cell>
          <cell r="AB6304" t="str">
            <v>line item not tagged</v>
          </cell>
        </row>
        <row r="6305">
          <cell r="W6305">
            <v>0</v>
          </cell>
          <cell r="AB6305" t="str">
            <v>line item not tagged</v>
          </cell>
        </row>
        <row r="6306">
          <cell r="W6306">
            <v>0</v>
          </cell>
          <cell r="AB6306" t="str">
            <v>line item not tagged</v>
          </cell>
        </row>
        <row r="6307">
          <cell r="W6307">
            <v>0</v>
          </cell>
          <cell r="AB6307" t="str">
            <v>line item not tagged</v>
          </cell>
        </row>
        <row r="6308">
          <cell r="W6308">
            <v>0</v>
          </cell>
          <cell r="AB6308" t="str">
            <v>line item not tagged</v>
          </cell>
        </row>
        <row r="6309">
          <cell r="W6309">
            <v>0</v>
          </cell>
          <cell r="AB6309" t="str">
            <v>line item not tagged</v>
          </cell>
        </row>
        <row r="6310">
          <cell r="W6310">
            <v>0</v>
          </cell>
          <cell r="AB6310" t="str">
            <v>line item not tagged</v>
          </cell>
        </row>
        <row r="6311">
          <cell r="W6311">
            <v>0</v>
          </cell>
          <cell r="AB6311" t="str">
            <v>line item not tagged</v>
          </cell>
        </row>
        <row r="6312">
          <cell r="W6312">
            <v>0</v>
          </cell>
          <cell r="AB6312" t="str">
            <v>line item not tagged</v>
          </cell>
        </row>
        <row r="6313">
          <cell r="W6313">
            <v>0</v>
          </cell>
          <cell r="AB6313" t="str">
            <v>line item not tagged</v>
          </cell>
        </row>
        <row r="6314">
          <cell r="W6314">
            <v>0</v>
          </cell>
          <cell r="AB6314" t="str">
            <v>line item not tagged</v>
          </cell>
        </row>
        <row r="6315">
          <cell r="W6315">
            <v>0</v>
          </cell>
          <cell r="AB6315" t="str">
            <v>line item not tagged</v>
          </cell>
        </row>
        <row r="6316">
          <cell r="W6316">
            <v>0</v>
          </cell>
          <cell r="AB6316" t="str">
            <v>line item not tagged</v>
          </cell>
        </row>
        <row r="6317">
          <cell r="W6317">
            <v>0</v>
          </cell>
          <cell r="AB6317" t="str">
            <v>line item not tagged</v>
          </cell>
        </row>
        <row r="6318">
          <cell r="W6318">
            <v>0</v>
          </cell>
          <cell r="AB6318" t="str">
            <v>line item not tagged</v>
          </cell>
        </row>
        <row r="6319">
          <cell r="W6319">
            <v>0</v>
          </cell>
          <cell r="AB6319" t="str">
            <v>line item not tagged</v>
          </cell>
        </row>
        <row r="6320">
          <cell r="W6320">
            <v>0</v>
          </cell>
          <cell r="AB6320" t="str">
            <v>line item not tagged</v>
          </cell>
        </row>
        <row r="6321">
          <cell r="W6321">
            <v>0</v>
          </cell>
          <cell r="AB6321" t="str">
            <v>line item not tagged</v>
          </cell>
        </row>
        <row r="6322">
          <cell r="W6322">
            <v>0</v>
          </cell>
          <cell r="AB6322" t="str">
            <v>line item not tagged</v>
          </cell>
        </row>
        <row r="6323">
          <cell r="W6323">
            <v>0</v>
          </cell>
          <cell r="AB6323" t="str">
            <v>line item not tagged</v>
          </cell>
        </row>
        <row r="6324">
          <cell r="W6324">
            <v>0</v>
          </cell>
          <cell r="AB6324" t="str">
            <v>line item not tagged</v>
          </cell>
        </row>
        <row r="6325">
          <cell r="W6325">
            <v>0</v>
          </cell>
          <cell r="AB6325" t="str">
            <v>line item not tagged</v>
          </cell>
        </row>
        <row r="6326">
          <cell r="W6326">
            <v>0</v>
          </cell>
          <cell r="AB6326" t="str">
            <v>line item not tagged</v>
          </cell>
        </row>
        <row r="6327">
          <cell r="W6327">
            <v>0</v>
          </cell>
          <cell r="AB6327" t="str">
            <v>line item not tagged</v>
          </cell>
        </row>
        <row r="6328">
          <cell r="W6328">
            <v>0</v>
          </cell>
          <cell r="AB6328" t="str">
            <v>line item not tagged</v>
          </cell>
        </row>
        <row r="6329">
          <cell r="W6329">
            <v>0</v>
          </cell>
          <cell r="AB6329" t="str">
            <v>line item not tagged</v>
          </cell>
        </row>
        <row r="6330">
          <cell r="W6330">
            <v>0</v>
          </cell>
          <cell r="AB6330" t="str">
            <v>line item not tagged</v>
          </cell>
        </row>
        <row r="6331">
          <cell r="W6331">
            <v>0</v>
          </cell>
          <cell r="AB6331" t="str">
            <v>line item not tagged</v>
          </cell>
        </row>
        <row r="6332">
          <cell r="W6332">
            <v>0</v>
          </cell>
          <cell r="AB6332" t="str">
            <v>line item not tagged</v>
          </cell>
        </row>
        <row r="6333">
          <cell r="W6333">
            <v>0</v>
          </cell>
          <cell r="AB6333" t="str">
            <v>line item not tagged</v>
          </cell>
        </row>
        <row r="6334">
          <cell r="W6334">
            <v>0</v>
          </cell>
          <cell r="AB6334" t="str">
            <v>line item not tagged</v>
          </cell>
        </row>
        <row r="6335">
          <cell r="W6335">
            <v>0</v>
          </cell>
          <cell r="AB6335" t="str">
            <v>line item not tagged</v>
          </cell>
        </row>
        <row r="6336">
          <cell r="W6336">
            <v>0</v>
          </cell>
          <cell r="AB6336" t="str">
            <v>line item not tagged</v>
          </cell>
        </row>
        <row r="6337">
          <cell r="W6337">
            <v>0</v>
          </cell>
          <cell r="AB6337" t="str">
            <v>line item not tagged</v>
          </cell>
        </row>
        <row r="6338">
          <cell r="W6338">
            <v>0</v>
          </cell>
          <cell r="AB6338" t="str">
            <v>line item not tagged</v>
          </cell>
        </row>
        <row r="6339">
          <cell r="W6339">
            <v>0</v>
          </cell>
          <cell r="AB6339" t="str">
            <v>line item not tagged</v>
          </cell>
        </row>
        <row r="6340">
          <cell r="W6340">
            <v>0</v>
          </cell>
          <cell r="AB6340" t="str">
            <v>line item not tagged</v>
          </cell>
        </row>
        <row r="6341">
          <cell r="W6341">
            <v>0</v>
          </cell>
          <cell r="AB6341" t="str">
            <v>line item not tagged</v>
          </cell>
        </row>
        <row r="6342">
          <cell r="W6342">
            <v>0</v>
          </cell>
          <cell r="AB6342" t="str">
            <v>line item not tagged</v>
          </cell>
        </row>
        <row r="6343">
          <cell r="W6343">
            <v>0</v>
          </cell>
          <cell r="AB6343" t="str">
            <v>line item not tagged</v>
          </cell>
        </row>
        <row r="6344">
          <cell r="W6344">
            <v>0</v>
          </cell>
          <cell r="AB6344" t="str">
            <v>line item not tagged</v>
          </cell>
        </row>
        <row r="6345">
          <cell r="W6345">
            <v>0</v>
          </cell>
          <cell r="AB6345" t="str">
            <v>line item not tagged</v>
          </cell>
        </row>
        <row r="6346">
          <cell r="W6346">
            <v>0</v>
          </cell>
          <cell r="AB6346" t="str">
            <v>line item not tagged</v>
          </cell>
        </row>
        <row r="6347">
          <cell r="W6347">
            <v>0</v>
          </cell>
          <cell r="AB6347" t="str">
            <v>line item not tagged</v>
          </cell>
        </row>
        <row r="6348">
          <cell r="W6348">
            <v>0</v>
          </cell>
          <cell r="AB6348" t="str">
            <v>line item not tagged</v>
          </cell>
        </row>
        <row r="6349">
          <cell r="W6349">
            <v>0</v>
          </cell>
          <cell r="AB6349" t="str">
            <v>line item not tagged</v>
          </cell>
        </row>
        <row r="6350">
          <cell r="W6350">
            <v>0</v>
          </cell>
          <cell r="AB6350" t="str">
            <v>line item not tagged</v>
          </cell>
        </row>
        <row r="6351">
          <cell r="W6351">
            <v>0</v>
          </cell>
          <cell r="AB6351" t="str">
            <v>line item not tagged</v>
          </cell>
        </row>
        <row r="6352">
          <cell r="W6352">
            <v>0</v>
          </cell>
          <cell r="AB6352" t="str">
            <v>line item not tagged</v>
          </cell>
        </row>
        <row r="6353">
          <cell r="W6353">
            <v>0</v>
          </cell>
          <cell r="AB6353" t="str">
            <v>line item not tagged</v>
          </cell>
        </row>
        <row r="6354">
          <cell r="W6354">
            <v>0</v>
          </cell>
          <cell r="AB6354" t="str">
            <v>line item not tagged</v>
          </cell>
        </row>
        <row r="6355">
          <cell r="W6355">
            <v>0</v>
          </cell>
          <cell r="AB6355" t="str">
            <v>line item not tagged</v>
          </cell>
        </row>
        <row r="6356">
          <cell r="W6356">
            <v>0</v>
          </cell>
          <cell r="AB6356" t="str">
            <v>line item not tagged</v>
          </cell>
        </row>
        <row r="6357">
          <cell r="W6357">
            <v>0</v>
          </cell>
          <cell r="AB6357" t="str">
            <v>line item not tagged</v>
          </cell>
        </row>
        <row r="6358">
          <cell r="W6358">
            <v>0</v>
          </cell>
          <cell r="AB6358" t="str">
            <v>line item not tagged</v>
          </cell>
        </row>
        <row r="6359">
          <cell r="W6359">
            <v>0</v>
          </cell>
          <cell r="AB6359" t="str">
            <v>line item not tagged</v>
          </cell>
        </row>
        <row r="6360">
          <cell r="W6360">
            <v>0</v>
          </cell>
          <cell r="AB6360" t="str">
            <v>line item not tagged</v>
          </cell>
        </row>
        <row r="6361">
          <cell r="W6361">
            <v>0</v>
          </cell>
          <cell r="AB6361" t="str">
            <v>line item not tagged</v>
          </cell>
        </row>
        <row r="6362">
          <cell r="W6362">
            <v>0</v>
          </cell>
          <cell r="AB6362" t="str">
            <v>line item not tagged</v>
          </cell>
        </row>
        <row r="6363">
          <cell r="W6363">
            <v>0</v>
          </cell>
          <cell r="AB6363" t="str">
            <v>line item not tagged</v>
          </cell>
        </row>
        <row r="6364">
          <cell r="W6364">
            <v>0</v>
          </cell>
          <cell r="AB6364" t="str">
            <v>line item not tagged</v>
          </cell>
        </row>
        <row r="6365">
          <cell r="W6365">
            <v>0</v>
          </cell>
          <cell r="AB6365" t="str">
            <v>line item not tagged</v>
          </cell>
        </row>
        <row r="6366">
          <cell r="W6366">
            <v>0</v>
          </cell>
          <cell r="AB6366" t="str">
            <v>line item not tagged</v>
          </cell>
        </row>
        <row r="6367">
          <cell r="W6367">
            <v>0</v>
          </cell>
          <cell r="AB6367" t="str">
            <v>line item not tagged</v>
          </cell>
        </row>
        <row r="6368">
          <cell r="W6368">
            <v>0</v>
          </cell>
          <cell r="AB6368" t="str">
            <v>line item not tagged</v>
          </cell>
        </row>
        <row r="6369">
          <cell r="W6369">
            <v>0</v>
          </cell>
          <cell r="AB6369" t="str">
            <v>line item not tagged</v>
          </cell>
        </row>
        <row r="6370">
          <cell r="W6370">
            <v>0</v>
          </cell>
          <cell r="AB6370" t="str">
            <v>line item not tagged</v>
          </cell>
        </row>
        <row r="6371">
          <cell r="W6371">
            <v>0</v>
          </cell>
          <cell r="AB6371" t="str">
            <v>line item not tagged</v>
          </cell>
        </row>
        <row r="6372">
          <cell r="W6372">
            <v>0</v>
          </cell>
          <cell r="AB6372" t="str">
            <v>line item not tagged</v>
          </cell>
        </row>
        <row r="6373">
          <cell r="W6373">
            <v>0</v>
          </cell>
          <cell r="AB6373" t="str">
            <v>line item not tagged</v>
          </cell>
        </row>
        <row r="6374">
          <cell r="W6374">
            <v>0</v>
          </cell>
          <cell r="AB6374" t="str">
            <v>line item not tagged</v>
          </cell>
        </row>
        <row r="6375">
          <cell r="W6375">
            <v>0</v>
          </cell>
          <cell r="AB6375" t="str">
            <v>line item not tagged</v>
          </cell>
        </row>
        <row r="6376">
          <cell r="W6376">
            <v>0</v>
          </cell>
          <cell r="AB6376" t="str">
            <v>line item not tagged</v>
          </cell>
        </row>
        <row r="6377">
          <cell r="W6377">
            <v>0</v>
          </cell>
          <cell r="AB6377" t="str">
            <v>line item not tagged</v>
          </cell>
        </row>
        <row r="6378">
          <cell r="W6378">
            <v>0</v>
          </cell>
          <cell r="AB6378" t="str">
            <v>line item not tagged</v>
          </cell>
        </row>
        <row r="6379">
          <cell r="W6379">
            <v>0</v>
          </cell>
          <cell r="AB6379" t="str">
            <v>line item not tagged</v>
          </cell>
        </row>
        <row r="6380">
          <cell r="W6380">
            <v>0</v>
          </cell>
          <cell r="AB6380" t="str">
            <v>line item not tagged</v>
          </cell>
        </row>
        <row r="6381">
          <cell r="W6381">
            <v>0</v>
          </cell>
          <cell r="AB6381" t="str">
            <v>line item not tagged</v>
          </cell>
        </row>
        <row r="6382">
          <cell r="W6382">
            <v>0</v>
          </cell>
          <cell r="AB6382" t="str">
            <v>line item not tagged</v>
          </cell>
        </row>
        <row r="6383">
          <cell r="W6383">
            <v>0</v>
          </cell>
          <cell r="AB6383" t="str">
            <v>line item not tagged</v>
          </cell>
        </row>
        <row r="6384">
          <cell r="W6384">
            <v>0</v>
          </cell>
          <cell r="AB6384" t="str">
            <v>line item not tagged</v>
          </cell>
        </row>
        <row r="6385">
          <cell r="W6385">
            <v>0</v>
          </cell>
          <cell r="AB6385" t="str">
            <v>line item not tagged</v>
          </cell>
        </row>
        <row r="6386">
          <cell r="W6386">
            <v>0</v>
          </cell>
          <cell r="AB6386" t="str">
            <v>line item not tagged</v>
          </cell>
        </row>
        <row r="6387">
          <cell r="W6387">
            <v>0</v>
          </cell>
          <cell r="AB6387" t="str">
            <v>line item not tagged</v>
          </cell>
        </row>
        <row r="6388">
          <cell r="W6388">
            <v>0</v>
          </cell>
          <cell r="AB6388" t="str">
            <v>line item not tagged</v>
          </cell>
        </row>
        <row r="6389">
          <cell r="W6389">
            <v>0</v>
          </cell>
          <cell r="AB6389" t="str">
            <v>line item not tagged</v>
          </cell>
        </row>
        <row r="6390">
          <cell r="W6390">
            <v>0</v>
          </cell>
          <cell r="AB6390" t="str">
            <v>line item not tagged</v>
          </cell>
        </row>
        <row r="6391">
          <cell r="W6391">
            <v>0</v>
          </cell>
          <cell r="AB6391" t="str">
            <v>line item not tagged</v>
          </cell>
        </row>
        <row r="6392">
          <cell r="W6392">
            <v>0</v>
          </cell>
          <cell r="AB6392" t="str">
            <v>line item not tagged</v>
          </cell>
        </row>
        <row r="6393">
          <cell r="W6393">
            <v>0</v>
          </cell>
          <cell r="AB6393" t="str">
            <v>line item not tagged</v>
          </cell>
        </row>
        <row r="6394">
          <cell r="W6394">
            <v>0</v>
          </cell>
          <cell r="AB6394" t="str">
            <v>line item not tagged</v>
          </cell>
        </row>
        <row r="6395">
          <cell r="W6395">
            <v>0</v>
          </cell>
          <cell r="AB6395" t="str">
            <v>line item not tagged</v>
          </cell>
        </row>
        <row r="6396">
          <cell r="W6396">
            <v>0</v>
          </cell>
          <cell r="AB6396" t="str">
            <v>line item not tagged</v>
          </cell>
        </row>
        <row r="6397">
          <cell r="W6397">
            <v>0</v>
          </cell>
          <cell r="AB6397" t="str">
            <v>line item not tagged</v>
          </cell>
        </row>
        <row r="6398">
          <cell r="W6398">
            <v>0</v>
          </cell>
          <cell r="AB6398" t="str">
            <v>line item not tagged</v>
          </cell>
        </row>
        <row r="6399">
          <cell r="W6399">
            <v>0</v>
          </cell>
          <cell r="AB6399" t="str">
            <v>line item not tagged</v>
          </cell>
        </row>
        <row r="6400">
          <cell r="W6400">
            <v>0</v>
          </cell>
          <cell r="AB6400" t="str">
            <v>line item not tagged</v>
          </cell>
        </row>
        <row r="6401">
          <cell r="W6401">
            <v>0</v>
          </cell>
          <cell r="AB6401" t="str">
            <v>line item not tagged</v>
          </cell>
        </row>
        <row r="6402">
          <cell r="W6402">
            <v>0</v>
          </cell>
          <cell r="AB6402" t="str">
            <v>line item not tagged</v>
          </cell>
        </row>
        <row r="6403">
          <cell r="W6403">
            <v>0</v>
          </cell>
          <cell r="AB6403" t="str">
            <v>line item not tagged</v>
          </cell>
        </row>
        <row r="6404">
          <cell r="W6404">
            <v>0</v>
          </cell>
          <cell r="AB6404" t="str">
            <v>line item not tagged</v>
          </cell>
        </row>
        <row r="6405">
          <cell r="W6405">
            <v>0</v>
          </cell>
          <cell r="AB6405" t="str">
            <v>line item not tagged</v>
          </cell>
        </row>
        <row r="6406">
          <cell r="W6406">
            <v>0</v>
          </cell>
          <cell r="AB6406" t="str">
            <v>line item not tagged</v>
          </cell>
        </row>
        <row r="6407">
          <cell r="W6407">
            <v>0</v>
          </cell>
          <cell r="AB6407" t="str">
            <v>line item not tagged</v>
          </cell>
        </row>
        <row r="6408">
          <cell r="W6408">
            <v>0</v>
          </cell>
          <cell r="AB6408" t="str">
            <v>line item not tagged</v>
          </cell>
        </row>
        <row r="6409">
          <cell r="W6409">
            <v>0</v>
          </cell>
          <cell r="AB6409" t="str">
            <v>line item not tagged</v>
          </cell>
        </row>
        <row r="6410">
          <cell r="W6410">
            <v>0</v>
          </cell>
          <cell r="AB6410" t="str">
            <v>line item not tagged</v>
          </cell>
        </row>
        <row r="6411">
          <cell r="W6411">
            <v>0</v>
          </cell>
          <cell r="AB6411" t="str">
            <v>line item not tagged</v>
          </cell>
        </row>
        <row r="6412">
          <cell r="W6412">
            <v>0</v>
          </cell>
          <cell r="AB6412" t="str">
            <v>line item not tagged</v>
          </cell>
        </row>
        <row r="6413">
          <cell r="W6413">
            <v>0</v>
          </cell>
          <cell r="AB6413" t="str">
            <v>line item not tagged</v>
          </cell>
        </row>
        <row r="6414">
          <cell r="W6414">
            <v>0</v>
          </cell>
          <cell r="AB6414" t="str">
            <v>line item not tagged</v>
          </cell>
        </row>
        <row r="6415">
          <cell r="W6415">
            <v>0</v>
          </cell>
          <cell r="AB6415" t="str">
            <v>line item not tagged</v>
          </cell>
        </row>
        <row r="6416">
          <cell r="W6416">
            <v>0</v>
          </cell>
          <cell r="AB6416" t="str">
            <v>line item not tagged</v>
          </cell>
        </row>
        <row r="6417">
          <cell r="W6417">
            <v>0</v>
          </cell>
          <cell r="AB6417" t="str">
            <v>line item not tagged</v>
          </cell>
        </row>
        <row r="6418">
          <cell r="W6418">
            <v>0</v>
          </cell>
          <cell r="AB6418" t="str">
            <v>line item not tagged</v>
          </cell>
        </row>
        <row r="6419">
          <cell r="W6419">
            <v>0</v>
          </cell>
          <cell r="AB6419" t="str">
            <v>line item not tagged</v>
          </cell>
        </row>
        <row r="6420">
          <cell r="W6420">
            <v>0</v>
          </cell>
          <cell r="AB6420" t="str">
            <v>line item not tagged</v>
          </cell>
        </row>
        <row r="6421">
          <cell r="W6421">
            <v>0</v>
          </cell>
          <cell r="AB6421" t="str">
            <v>line item not tagged</v>
          </cell>
        </row>
        <row r="6422">
          <cell r="W6422">
            <v>0</v>
          </cell>
          <cell r="AB6422" t="str">
            <v>line item not tagged</v>
          </cell>
        </row>
        <row r="6423">
          <cell r="W6423">
            <v>0</v>
          </cell>
          <cell r="AB6423" t="str">
            <v>line item not tagged</v>
          </cell>
        </row>
        <row r="6424">
          <cell r="W6424">
            <v>0</v>
          </cell>
          <cell r="AB6424" t="str">
            <v>line item not tagged</v>
          </cell>
        </row>
        <row r="6425">
          <cell r="W6425">
            <v>0</v>
          </cell>
          <cell r="AB6425" t="str">
            <v>line item not tagged</v>
          </cell>
        </row>
        <row r="6426">
          <cell r="W6426">
            <v>0</v>
          </cell>
          <cell r="AB6426" t="str">
            <v>line item not tagged</v>
          </cell>
        </row>
        <row r="6427">
          <cell r="W6427">
            <v>0</v>
          </cell>
          <cell r="AB6427" t="str">
            <v>line item not tagged</v>
          </cell>
        </row>
        <row r="6428">
          <cell r="W6428">
            <v>0</v>
          </cell>
          <cell r="AB6428" t="str">
            <v>line item not tagged</v>
          </cell>
        </row>
        <row r="6429">
          <cell r="W6429">
            <v>0</v>
          </cell>
          <cell r="AB6429" t="str">
            <v>line item not tagged</v>
          </cell>
        </row>
        <row r="6430">
          <cell r="W6430">
            <v>0</v>
          </cell>
          <cell r="AB6430" t="str">
            <v>line item not tagged</v>
          </cell>
        </row>
        <row r="6431">
          <cell r="W6431">
            <v>0</v>
          </cell>
          <cell r="AB6431" t="str">
            <v>line item not tagged</v>
          </cell>
        </row>
        <row r="6432">
          <cell r="W6432">
            <v>0</v>
          </cell>
          <cell r="AB6432" t="str">
            <v>line item not tagged</v>
          </cell>
        </row>
        <row r="6433">
          <cell r="W6433">
            <v>0</v>
          </cell>
          <cell r="AB6433" t="str">
            <v>line item not tagged</v>
          </cell>
        </row>
        <row r="6434">
          <cell r="W6434">
            <v>0</v>
          </cell>
          <cell r="AB6434" t="str">
            <v>line item not tagged</v>
          </cell>
        </row>
        <row r="6435">
          <cell r="W6435">
            <v>0</v>
          </cell>
          <cell r="AB6435" t="str">
            <v>line item not tagged</v>
          </cell>
        </row>
        <row r="6436">
          <cell r="W6436">
            <v>0</v>
          </cell>
          <cell r="AB6436" t="str">
            <v>line item not tagged</v>
          </cell>
        </row>
        <row r="6437">
          <cell r="W6437">
            <v>0</v>
          </cell>
          <cell r="AB6437" t="str">
            <v>line item not tagged</v>
          </cell>
        </row>
        <row r="6438">
          <cell r="W6438">
            <v>0</v>
          </cell>
          <cell r="AB6438" t="str">
            <v>line item not tagged</v>
          </cell>
        </row>
        <row r="6439">
          <cell r="W6439">
            <v>0</v>
          </cell>
          <cell r="AB6439" t="str">
            <v>line item not tagged</v>
          </cell>
        </row>
        <row r="6440">
          <cell r="W6440">
            <v>0</v>
          </cell>
          <cell r="AB6440" t="str">
            <v>line item not tagged</v>
          </cell>
        </row>
        <row r="6441">
          <cell r="W6441">
            <v>0</v>
          </cell>
          <cell r="AB6441" t="str">
            <v>line item not tagged</v>
          </cell>
        </row>
        <row r="6442">
          <cell r="W6442">
            <v>0</v>
          </cell>
          <cell r="AB6442" t="str">
            <v>line item not tagged</v>
          </cell>
        </row>
        <row r="6443">
          <cell r="W6443">
            <v>0</v>
          </cell>
          <cell r="AB6443" t="str">
            <v>line item not tagged</v>
          </cell>
        </row>
        <row r="6444">
          <cell r="W6444">
            <v>0</v>
          </cell>
          <cell r="AB6444" t="str">
            <v>line item not tagged</v>
          </cell>
        </row>
        <row r="6445">
          <cell r="W6445">
            <v>0</v>
          </cell>
          <cell r="AB6445" t="str">
            <v>line item not tagged</v>
          </cell>
        </row>
        <row r="6446">
          <cell r="W6446">
            <v>0</v>
          </cell>
          <cell r="AB6446" t="str">
            <v>line item not tagged</v>
          </cell>
        </row>
        <row r="6447">
          <cell r="W6447">
            <v>0</v>
          </cell>
          <cell r="AB6447" t="str">
            <v>line item not tagged</v>
          </cell>
        </row>
        <row r="6448">
          <cell r="W6448">
            <v>0</v>
          </cell>
          <cell r="AB6448" t="str">
            <v>line item not tagged</v>
          </cell>
        </row>
        <row r="6449">
          <cell r="W6449">
            <v>0</v>
          </cell>
          <cell r="AB6449" t="str">
            <v>line item not tagged</v>
          </cell>
        </row>
        <row r="6450">
          <cell r="W6450">
            <v>0</v>
          </cell>
          <cell r="AB6450" t="str">
            <v>line item not tagged</v>
          </cell>
        </row>
        <row r="6451">
          <cell r="W6451">
            <v>0</v>
          </cell>
          <cell r="AB6451" t="str">
            <v>line item not tagged</v>
          </cell>
        </row>
        <row r="6452">
          <cell r="W6452">
            <v>0</v>
          </cell>
          <cell r="AB6452" t="str">
            <v>line item not tagged</v>
          </cell>
        </row>
        <row r="6453">
          <cell r="W6453">
            <v>0</v>
          </cell>
          <cell r="AB6453" t="str">
            <v>line item not tagged</v>
          </cell>
        </row>
        <row r="6454">
          <cell r="W6454">
            <v>0</v>
          </cell>
          <cell r="AB6454" t="str">
            <v>line item not tagged</v>
          </cell>
        </row>
        <row r="6455">
          <cell r="W6455">
            <v>0</v>
          </cell>
          <cell r="AB6455" t="str">
            <v>line item not tagged</v>
          </cell>
        </row>
        <row r="6456">
          <cell r="W6456">
            <v>0</v>
          </cell>
          <cell r="AB6456" t="str">
            <v>line item not tagged</v>
          </cell>
        </row>
        <row r="6457">
          <cell r="W6457">
            <v>0</v>
          </cell>
          <cell r="AB6457" t="str">
            <v>line item not tagged</v>
          </cell>
        </row>
        <row r="6458">
          <cell r="W6458">
            <v>0</v>
          </cell>
          <cell r="AB6458" t="str">
            <v>line item not tagged</v>
          </cell>
        </row>
        <row r="6459">
          <cell r="W6459">
            <v>0</v>
          </cell>
          <cell r="AB6459" t="str">
            <v>line item not tagged</v>
          </cell>
        </row>
        <row r="6460">
          <cell r="W6460">
            <v>0</v>
          </cell>
          <cell r="AB6460" t="str">
            <v>line item not tagged</v>
          </cell>
        </row>
        <row r="6461">
          <cell r="W6461">
            <v>0</v>
          </cell>
          <cell r="AB6461" t="str">
            <v>line item not tagged</v>
          </cell>
        </row>
        <row r="6462">
          <cell r="W6462">
            <v>0</v>
          </cell>
          <cell r="AB6462" t="str">
            <v>line item not tagged</v>
          </cell>
        </row>
        <row r="6463">
          <cell r="W6463">
            <v>0</v>
          </cell>
          <cell r="AB6463" t="str">
            <v>line item not tagged</v>
          </cell>
        </row>
        <row r="6464">
          <cell r="W6464">
            <v>0</v>
          </cell>
          <cell r="AB6464" t="str">
            <v>line item not tagged</v>
          </cell>
        </row>
        <row r="6465">
          <cell r="W6465">
            <v>0</v>
          </cell>
          <cell r="AB6465" t="str">
            <v>line item not tagged</v>
          </cell>
        </row>
        <row r="6466">
          <cell r="W6466">
            <v>0</v>
          </cell>
          <cell r="AB6466" t="str">
            <v>line item not tagged</v>
          </cell>
        </row>
        <row r="6467">
          <cell r="W6467">
            <v>0</v>
          </cell>
          <cell r="AB6467" t="str">
            <v>line item not tagged</v>
          </cell>
        </row>
        <row r="6468">
          <cell r="W6468">
            <v>0</v>
          </cell>
          <cell r="AB6468" t="str">
            <v>line item not tagged</v>
          </cell>
        </row>
        <row r="6469">
          <cell r="W6469">
            <v>0</v>
          </cell>
          <cell r="AB6469" t="str">
            <v>line item not tagged</v>
          </cell>
        </row>
        <row r="6470">
          <cell r="W6470">
            <v>0</v>
          </cell>
          <cell r="AB6470" t="str">
            <v>line item not tagged</v>
          </cell>
        </row>
        <row r="6471">
          <cell r="W6471">
            <v>0</v>
          </cell>
          <cell r="AB6471" t="str">
            <v>line item not tagged</v>
          </cell>
        </row>
        <row r="6472">
          <cell r="W6472">
            <v>0</v>
          </cell>
          <cell r="AB6472" t="str">
            <v>line item not tagged</v>
          </cell>
        </row>
        <row r="6473">
          <cell r="W6473">
            <v>0</v>
          </cell>
          <cell r="AB6473" t="str">
            <v>line item not tagged</v>
          </cell>
        </row>
        <row r="6474">
          <cell r="W6474">
            <v>0</v>
          </cell>
          <cell r="AB6474" t="str">
            <v>line item not tagged</v>
          </cell>
        </row>
        <row r="6475">
          <cell r="W6475">
            <v>0</v>
          </cell>
          <cell r="AB6475" t="str">
            <v>line item not tagged</v>
          </cell>
        </row>
        <row r="6476">
          <cell r="W6476">
            <v>0</v>
          </cell>
          <cell r="AB6476" t="str">
            <v>line item not tagged</v>
          </cell>
        </row>
        <row r="6477">
          <cell r="W6477">
            <v>0</v>
          </cell>
          <cell r="AB6477" t="str">
            <v>line item not tagged</v>
          </cell>
        </row>
        <row r="6478">
          <cell r="W6478">
            <v>0</v>
          </cell>
          <cell r="AB6478" t="str">
            <v>line item not tagged</v>
          </cell>
        </row>
        <row r="6479">
          <cell r="W6479">
            <v>0</v>
          </cell>
          <cell r="AB6479" t="str">
            <v>line item not tagged</v>
          </cell>
        </row>
        <row r="6480">
          <cell r="W6480">
            <v>0</v>
          </cell>
          <cell r="AB6480" t="str">
            <v>line item not tagged</v>
          </cell>
        </row>
        <row r="6481">
          <cell r="W6481">
            <v>0</v>
          </cell>
          <cell r="AB6481" t="str">
            <v>line item not tagged</v>
          </cell>
        </row>
        <row r="6482">
          <cell r="W6482">
            <v>0</v>
          </cell>
          <cell r="AB6482" t="str">
            <v>line item not tagged</v>
          </cell>
        </row>
        <row r="6483">
          <cell r="W6483">
            <v>0</v>
          </cell>
          <cell r="AB6483" t="str">
            <v>line item not tagged</v>
          </cell>
        </row>
        <row r="6484">
          <cell r="W6484">
            <v>0</v>
          </cell>
          <cell r="AB6484" t="str">
            <v>line item not tagged</v>
          </cell>
        </row>
        <row r="6485">
          <cell r="W6485">
            <v>0</v>
          </cell>
          <cell r="AB6485" t="str">
            <v>line item not tagged</v>
          </cell>
        </row>
        <row r="6486">
          <cell r="W6486">
            <v>0</v>
          </cell>
          <cell r="AB6486" t="str">
            <v>line item not tagged</v>
          </cell>
        </row>
        <row r="6487">
          <cell r="W6487">
            <v>0</v>
          </cell>
          <cell r="AB6487" t="str">
            <v>line item not tagged</v>
          </cell>
        </row>
        <row r="6488">
          <cell r="W6488">
            <v>0</v>
          </cell>
          <cell r="AB6488" t="str">
            <v>line item not tagged</v>
          </cell>
        </row>
        <row r="6489">
          <cell r="W6489">
            <v>0</v>
          </cell>
          <cell r="AB6489" t="str">
            <v>line item not tagged</v>
          </cell>
        </row>
        <row r="6490">
          <cell r="W6490">
            <v>0</v>
          </cell>
          <cell r="AB6490" t="str">
            <v>line item not tagged</v>
          </cell>
        </row>
        <row r="6491">
          <cell r="W6491">
            <v>0</v>
          </cell>
          <cell r="AB6491" t="str">
            <v>line item not tagged</v>
          </cell>
        </row>
        <row r="6492">
          <cell r="W6492">
            <v>0</v>
          </cell>
          <cell r="AB6492" t="str">
            <v>line item not tagged</v>
          </cell>
        </row>
        <row r="6493">
          <cell r="W6493">
            <v>0</v>
          </cell>
          <cell r="AB6493" t="str">
            <v>line item not tagged</v>
          </cell>
        </row>
        <row r="6494">
          <cell r="W6494">
            <v>0</v>
          </cell>
          <cell r="AB6494" t="str">
            <v>line item not tagged</v>
          </cell>
        </row>
        <row r="6495">
          <cell r="W6495">
            <v>0</v>
          </cell>
          <cell r="AB6495" t="str">
            <v>line item not tagged</v>
          </cell>
        </row>
        <row r="6496">
          <cell r="W6496">
            <v>0</v>
          </cell>
          <cell r="AB6496" t="str">
            <v>line item not tagged</v>
          </cell>
        </row>
        <row r="6497">
          <cell r="W6497">
            <v>0</v>
          </cell>
          <cell r="AB6497" t="str">
            <v>line item not tagged</v>
          </cell>
        </row>
        <row r="6498">
          <cell r="W6498">
            <v>0</v>
          </cell>
          <cell r="AB6498" t="str">
            <v>line item not tagged</v>
          </cell>
        </row>
        <row r="6499">
          <cell r="W6499">
            <v>0</v>
          </cell>
          <cell r="AB6499" t="str">
            <v>line item not tagged</v>
          </cell>
        </row>
        <row r="6500">
          <cell r="W6500">
            <v>0</v>
          </cell>
          <cell r="AB6500" t="str">
            <v>line item not tagged</v>
          </cell>
        </row>
        <row r="6501">
          <cell r="W6501">
            <v>0</v>
          </cell>
          <cell r="AB6501" t="str">
            <v>line item not tagged</v>
          </cell>
        </row>
        <row r="6502">
          <cell r="W6502">
            <v>0</v>
          </cell>
          <cell r="AB6502" t="str">
            <v>line item not tagged</v>
          </cell>
        </row>
        <row r="6503">
          <cell r="W6503">
            <v>0</v>
          </cell>
          <cell r="AB6503" t="str">
            <v>line item not tagged</v>
          </cell>
        </row>
        <row r="6504">
          <cell r="W6504">
            <v>0</v>
          </cell>
          <cell r="AB6504" t="str">
            <v>line item not tagged</v>
          </cell>
        </row>
        <row r="6505">
          <cell r="W6505">
            <v>0</v>
          </cell>
          <cell r="AB6505" t="str">
            <v>line item not tagged</v>
          </cell>
        </row>
        <row r="6506">
          <cell r="W6506">
            <v>0</v>
          </cell>
          <cell r="AB6506" t="str">
            <v>line item not tagged</v>
          </cell>
        </row>
        <row r="6507">
          <cell r="W6507">
            <v>0</v>
          </cell>
          <cell r="AB6507" t="str">
            <v>line item not tagged</v>
          </cell>
        </row>
        <row r="6508">
          <cell r="W6508">
            <v>0</v>
          </cell>
          <cell r="AB6508" t="str">
            <v>line item not tagged</v>
          </cell>
        </row>
        <row r="6509">
          <cell r="W6509">
            <v>0</v>
          </cell>
          <cell r="AB6509" t="str">
            <v>line item not tagged</v>
          </cell>
        </row>
        <row r="6510">
          <cell r="W6510">
            <v>0</v>
          </cell>
          <cell r="AB6510" t="str">
            <v>line item not tagged</v>
          </cell>
        </row>
        <row r="6511">
          <cell r="W6511">
            <v>0</v>
          </cell>
          <cell r="AB6511" t="str">
            <v>line item not tagged</v>
          </cell>
        </row>
        <row r="6512">
          <cell r="W6512">
            <v>0</v>
          </cell>
          <cell r="AB6512" t="str">
            <v>line item not tagged</v>
          </cell>
        </row>
        <row r="6513">
          <cell r="W6513">
            <v>0</v>
          </cell>
          <cell r="AB6513" t="str">
            <v>line item not tagged</v>
          </cell>
        </row>
        <row r="6514">
          <cell r="W6514">
            <v>0</v>
          </cell>
          <cell r="AB6514" t="str">
            <v>line item not tagged</v>
          </cell>
        </row>
        <row r="6515">
          <cell r="W6515">
            <v>0</v>
          </cell>
          <cell r="AB6515" t="str">
            <v>line item not tagged</v>
          </cell>
        </row>
        <row r="6516">
          <cell r="W6516">
            <v>0</v>
          </cell>
          <cell r="AB6516" t="str">
            <v>line item not tagged</v>
          </cell>
        </row>
        <row r="6517">
          <cell r="W6517">
            <v>0</v>
          </cell>
          <cell r="AB6517" t="str">
            <v>line item not tagged</v>
          </cell>
        </row>
        <row r="6518">
          <cell r="W6518">
            <v>0</v>
          </cell>
          <cell r="AB6518" t="str">
            <v>line item not tagged</v>
          </cell>
        </row>
        <row r="6519">
          <cell r="W6519">
            <v>0</v>
          </cell>
          <cell r="AB6519" t="str">
            <v>line item not tagged</v>
          </cell>
        </row>
        <row r="6520">
          <cell r="W6520">
            <v>0</v>
          </cell>
          <cell r="AB6520" t="str">
            <v>line item not tagged</v>
          </cell>
        </row>
        <row r="6521">
          <cell r="W6521">
            <v>0</v>
          </cell>
          <cell r="AB6521" t="str">
            <v>line item not tagged</v>
          </cell>
        </row>
        <row r="6522">
          <cell r="W6522">
            <v>0</v>
          </cell>
          <cell r="AB6522" t="str">
            <v>line item not tagged</v>
          </cell>
        </row>
        <row r="6523">
          <cell r="W6523">
            <v>0</v>
          </cell>
          <cell r="AB6523" t="str">
            <v>line item not tagged</v>
          </cell>
        </row>
        <row r="6524">
          <cell r="W6524">
            <v>0</v>
          </cell>
          <cell r="AB6524" t="str">
            <v>line item not tagged</v>
          </cell>
        </row>
        <row r="6525">
          <cell r="W6525">
            <v>0</v>
          </cell>
          <cell r="AB6525" t="str">
            <v>line item not tagged</v>
          </cell>
        </row>
        <row r="6526">
          <cell r="W6526">
            <v>0</v>
          </cell>
          <cell r="AB6526" t="str">
            <v>line item not tagged</v>
          </cell>
        </row>
        <row r="6527">
          <cell r="W6527">
            <v>0</v>
          </cell>
          <cell r="AB6527" t="str">
            <v>line item not tagged</v>
          </cell>
        </row>
        <row r="6528">
          <cell r="W6528">
            <v>0</v>
          </cell>
          <cell r="AB6528" t="str">
            <v>line item not tagged</v>
          </cell>
        </row>
        <row r="6529">
          <cell r="W6529">
            <v>0</v>
          </cell>
          <cell r="AB6529" t="str">
            <v>line item not tagged</v>
          </cell>
        </row>
        <row r="6530">
          <cell r="W6530">
            <v>0</v>
          </cell>
          <cell r="AB6530" t="str">
            <v>line item not tagged</v>
          </cell>
        </row>
        <row r="6531">
          <cell r="W6531">
            <v>0</v>
          </cell>
          <cell r="AB6531" t="str">
            <v>line item not tagged</v>
          </cell>
        </row>
        <row r="6532">
          <cell r="W6532">
            <v>0</v>
          </cell>
          <cell r="AB6532" t="str">
            <v>line item not tagged</v>
          </cell>
        </row>
        <row r="6533">
          <cell r="W6533">
            <v>0</v>
          </cell>
          <cell r="AB6533" t="str">
            <v>line item not tagged</v>
          </cell>
        </row>
        <row r="6534">
          <cell r="W6534">
            <v>0</v>
          </cell>
          <cell r="AB6534" t="str">
            <v>line item not tagged</v>
          </cell>
        </row>
        <row r="6535">
          <cell r="W6535">
            <v>0</v>
          </cell>
          <cell r="AB6535" t="str">
            <v>line item not tagged</v>
          </cell>
        </row>
        <row r="6536">
          <cell r="W6536">
            <v>0</v>
          </cell>
          <cell r="AB6536" t="str">
            <v>line item not tagged</v>
          </cell>
        </row>
        <row r="6537">
          <cell r="W6537">
            <v>0</v>
          </cell>
          <cell r="AB6537" t="str">
            <v>line item not tagged</v>
          </cell>
        </row>
        <row r="6538">
          <cell r="W6538">
            <v>0</v>
          </cell>
          <cell r="AB6538" t="str">
            <v>line item not tagged</v>
          </cell>
        </row>
        <row r="6539">
          <cell r="W6539">
            <v>0</v>
          </cell>
          <cell r="AB6539" t="str">
            <v>line item not tagged</v>
          </cell>
        </row>
        <row r="6540">
          <cell r="W6540">
            <v>0</v>
          </cell>
          <cell r="AB6540" t="str">
            <v>line item not tagged</v>
          </cell>
        </row>
        <row r="6541">
          <cell r="W6541">
            <v>0</v>
          </cell>
          <cell r="AB6541" t="str">
            <v>line item not tagged</v>
          </cell>
        </row>
        <row r="6542">
          <cell r="W6542">
            <v>0</v>
          </cell>
          <cell r="AB6542" t="str">
            <v>line item not tagged</v>
          </cell>
        </row>
        <row r="6543">
          <cell r="W6543">
            <v>0</v>
          </cell>
          <cell r="AB6543" t="str">
            <v>line item not tagged</v>
          </cell>
        </row>
        <row r="6544">
          <cell r="W6544">
            <v>0</v>
          </cell>
          <cell r="AB6544" t="str">
            <v>line item not tagged</v>
          </cell>
        </row>
        <row r="6545">
          <cell r="W6545">
            <v>0</v>
          </cell>
          <cell r="AB6545" t="str">
            <v>line item not tagged</v>
          </cell>
        </row>
        <row r="6546">
          <cell r="W6546">
            <v>0</v>
          </cell>
          <cell r="AB6546" t="str">
            <v>line item not tagged</v>
          </cell>
        </row>
        <row r="6547">
          <cell r="W6547">
            <v>0</v>
          </cell>
          <cell r="AB6547" t="str">
            <v>line item not tagged</v>
          </cell>
        </row>
        <row r="6548">
          <cell r="W6548">
            <v>0</v>
          </cell>
          <cell r="AB6548" t="str">
            <v>line item not tagged</v>
          </cell>
        </row>
        <row r="6549">
          <cell r="W6549">
            <v>0</v>
          </cell>
          <cell r="AB6549" t="str">
            <v>line item not tagged</v>
          </cell>
        </row>
        <row r="6550">
          <cell r="W6550">
            <v>0</v>
          </cell>
          <cell r="AB6550" t="str">
            <v>line item not tagged</v>
          </cell>
        </row>
        <row r="6551">
          <cell r="W6551">
            <v>0</v>
          </cell>
          <cell r="AB6551" t="str">
            <v>line item not tagged</v>
          </cell>
        </row>
        <row r="6552">
          <cell r="W6552">
            <v>0</v>
          </cell>
          <cell r="AB6552" t="str">
            <v>line item not tagged</v>
          </cell>
        </row>
        <row r="6553">
          <cell r="W6553">
            <v>0</v>
          </cell>
          <cell r="AB6553" t="str">
            <v>line item not tagged</v>
          </cell>
        </row>
        <row r="6554">
          <cell r="W6554">
            <v>0</v>
          </cell>
          <cell r="AB6554" t="str">
            <v>line item not tagged</v>
          </cell>
        </row>
        <row r="6555">
          <cell r="W6555">
            <v>0</v>
          </cell>
          <cell r="AB6555" t="str">
            <v>line item not tagged</v>
          </cell>
        </row>
        <row r="6556">
          <cell r="W6556">
            <v>0</v>
          </cell>
          <cell r="AB6556" t="str">
            <v>line item not tagged</v>
          </cell>
        </row>
        <row r="6557">
          <cell r="W6557">
            <v>0</v>
          </cell>
          <cell r="AB6557" t="str">
            <v>line item not tagged</v>
          </cell>
        </row>
        <row r="6558">
          <cell r="W6558">
            <v>0</v>
          </cell>
          <cell r="AB6558" t="str">
            <v>line item not tagged</v>
          </cell>
        </row>
        <row r="6559">
          <cell r="W6559">
            <v>0</v>
          </cell>
          <cell r="AB6559" t="str">
            <v>line item not tagged</v>
          </cell>
        </row>
        <row r="6560">
          <cell r="W6560">
            <v>0</v>
          </cell>
          <cell r="AB6560" t="str">
            <v>line item not tagged</v>
          </cell>
        </row>
        <row r="6561">
          <cell r="W6561">
            <v>0</v>
          </cell>
          <cell r="AB6561" t="str">
            <v>line item not tagged</v>
          </cell>
        </row>
        <row r="6562">
          <cell r="W6562">
            <v>0</v>
          </cell>
          <cell r="AB6562" t="str">
            <v>line item not tagged</v>
          </cell>
        </row>
        <row r="6563">
          <cell r="W6563">
            <v>0</v>
          </cell>
          <cell r="AB6563" t="str">
            <v>line item not tagged</v>
          </cell>
        </row>
        <row r="6564">
          <cell r="W6564">
            <v>0</v>
          </cell>
          <cell r="AB6564" t="str">
            <v>line item not tagged</v>
          </cell>
        </row>
        <row r="6565">
          <cell r="W6565">
            <v>0</v>
          </cell>
          <cell r="AB6565" t="str">
            <v>line item not tagged</v>
          </cell>
        </row>
        <row r="6566">
          <cell r="W6566">
            <v>0</v>
          </cell>
          <cell r="AB6566" t="str">
            <v>line item not tagged</v>
          </cell>
        </row>
        <row r="6567">
          <cell r="W6567">
            <v>0</v>
          </cell>
          <cell r="AB6567" t="str">
            <v>line item not tagged</v>
          </cell>
        </row>
        <row r="6568">
          <cell r="W6568">
            <v>0</v>
          </cell>
          <cell r="AB6568" t="str">
            <v>line item not tagged</v>
          </cell>
        </row>
        <row r="6569">
          <cell r="W6569">
            <v>0</v>
          </cell>
          <cell r="AB6569" t="str">
            <v>line item not tagged</v>
          </cell>
        </row>
        <row r="6570">
          <cell r="W6570">
            <v>0</v>
          </cell>
          <cell r="AB6570" t="str">
            <v>line item not tagged</v>
          </cell>
        </row>
        <row r="6571">
          <cell r="W6571">
            <v>0</v>
          </cell>
          <cell r="AB6571" t="str">
            <v>line item not tagged</v>
          </cell>
        </row>
        <row r="6572">
          <cell r="W6572">
            <v>0</v>
          </cell>
          <cell r="AB6572" t="str">
            <v>line item not tagged</v>
          </cell>
        </row>
        <row r="6573">
          <cell r="W6573">
            <v>0</v>
          </cell>
          <cell r="AB6573" t="str">
            <v>line item not tagged</v>
          </cell>
        </row>
        <row r="6574">
          <cell r="W6574">
            <v>0</v>
          </cell>
          <cell r="AB6574" t="str">
            <v>line item not tagged</v>
          </cell>
        </row>
        <row r="6575">
          <cell r="W6575">
            <v>0</v>
          </cell>
          <cell r="AB6575" t="str">
            <v>line item not tagged</v>
          </cell>
        </row>
        <row r="6576">
          <cell r="W6576">
            <v>0</v>
          </cell>
          <cell r="AB6576" t="str">
            <v>line item not tagged</v>
          </cell>
        </row>
        <row r="6577">
          <cell r="W6577">
            <v>0</v>
          </cell>
          <cell r="AB6577" t="str">
            <v>line item not tagged</v>
          </cell>
        </row>
        <row r="6578">
          <cell r="W6578">
            <v>0</v>
          </cell>
          <cell r="AB6578" t="str">
            <v>line item not tagged</v>
          </cell>
        </row>
        <row r="6579">
          <cell r="W6579">
            <v>0</v>
          </cell>
          <cell r="AB6579" t="str">
            <v>line item not tagged</v>
          </cell>
        </row>
        <row r="6580">
          <cell r="W6580">
            <v>0</v>
          </cell>
          <cell r="AB6580" t="str">
            <v>line item not tagged</v>
          </cell>
        </row>
        <row r="6581">
          <cell r="W6581">
            <v>0</v>
          </cell>
          <cell r="AB6581" t="str">
            <v>line item not tagged</v>
          </cell>
        </row>
        <row r="6582">
          <cell r="W6582">
            <v>0</v>
          </cell>
          <cell r="AB6582" t="str">
            <v>line item not tagged</v>
          </cell>
        </row>
        <row r="6583">
          <cell r="W6583">
            <v>0</v>
          </cell>
          <cell r="AB6583" t="str">
            <v>line item not tagged</v>
          </cell>
        </row>
        <row r="6584">
          <cell r="W6584">
            <v>0</v>
          </cell>
          <cell r="AB6584" t="str">
            <v>line item not tagged</v>
          </cell>
        </row>
        <row r="6585">
          <cell r="W6585">
            <v>0</v>
          </cell>
          <cell r="AB6585" t="str">
            <v>line item not tagged</v>
          </cell>
        </row>
        <row r="6586">
          <cell r="W6586">
            <v>0</v>
          </cell>
          <cell r="AB6586" t="str">
            <v>line item not tagged</v>
          </cell>
        </row>
        <row r="6587">
          <cell r="W6587">
            <v>0</v>
          </cell>
          <cell r="AB6587" t="str">
            <v>line item not tagged</v>
          </cell>
        </row>
        <row r="6588">
          <cell r="W6588">
            <v>0</v>
          </cell>
          <cell r="AB6588" t="str">
            <v>line item not tagged</v>
          </cell>
        </row>
        <row r="6589">
          <cell r="W6589">
            <v>0</v>
          </cell>
          <cell r="AB6589" t="str">
            <v>line item not tagged</v>
          </cell>
        </row>
        <row r="6590">
          <cell r="W6590">
            <v>0</v>
          </cell>
          <cell r="AB6590" t="str">
            <v>line item not tagged</v>
          </cell>
        </row>
        <row r="6591">
          <cell r="W6591">
            <v>0</v>
          </cell>
          <cell r="AB6591" t="str">
            <v>line item not tagged</v>
          </cell>
        </row>
        <row r="6592">
          <cell r="W6592">
            <v>0</v>
          </cell>
          <cell r="AB6592" t="str">
            <v>line item not tagged</v>
          </cell>
        </row>
        <row r="6593">
          <cell r="W6593">
            <v>0</v>
          </cell>
          <cell r="AB6593" t="str">
            <v>line item not tagged</v>
          </cell>
        </row>
        <row r="6594">
          <cell r="W6594">
            <v>0</v>
          </cell>
          <cell r="AB6594" t="str">
            <v>line item not tagged</v>
          </cell>
        </row>
        <row r="6595">
          <cell r="W6595">
            <v>0</v>
          </cell>
          <cell r="AB6595" t="str">
            <v>line item not tagged</v>
          </cell>
        </row>
        <row r="6596">
          <cell r="W6596">
            <v>0</v>
          </cell>
          <cell r="AB6596" t="str">
            <v>line item not tagged</v>
          </cell>
        </row>
        <row r="6597">
          <cell r="W6597">
            <v>0</v>
          </cell>
          <cell r="AB6597" t="str">
            <v>line item not tagged</v>
          </cell>
        </row>
        <row r="6598">
          <cell r="W6598">
            <v>0</v>
          </cell>
          <cell r="AB6598" t="str">
            <v>line item not tagged</v>
          </cell>
        </row>
        <row r="6599">
          <cell r="W6599">
            <v>0</v>
          </cell>
          <cell r="AB6599" t="str">
            <v>line item not tagged</v>
          </cell>
        </row>
        <row r="6600">
          <cell r="W6600">
            <v>0</v>
          </cell>
          <cell r="AB6600" t="str">
            <v>line item not tagged</v>
          </cell>
        </row>
        <row r="6601">
          <cell r="W6601">
            <v>0</v>
          </cell>
          <cell r="AB6601" t="str">
            <v>line item not tagged</v>
          </cell>
        </row>
        <row r="6602">
          <cell r="W6602">
            <v>0</v>
          </cell>
          <cell r="AB6602" t="str">
            <v>line item not tagged</v>
          </cell>
        </row>
        <row r="6603">
          <cell r="W6603">
            <v>0</v>
          </cell>
          <cell r="AB6603" t="str">
            <v>line item not tagged</v>
          </cell>
        </row>
        <row r="6604">
          <cell r="W6604">
            <v>0</v>
          </cell>
          <cell r="AB6604" t="str">
            <v>line item not tagged</v>
          </cell>
        </row>
        <row r="6605">
          <cell r="W6605">
            <v>0</v>
          </cell>
          <cell r="AB6605" t="str">
            <v>line item not tagged</v>
          </cell>
        </row>
        <row r="6606">
          <cell r="W6606">
            <v>0</v>
          </cell>
          <cell r="AB6606" t="str">
            <v>line item not tagged</v>
          </cell>
        </row>
        <row r="6607">
          <cell r="W6607">
            <v>0</v>
          </cell>
          <cell r="AB6607" t="str">
            <v>line item not tagged</v>
          </cell>
        </row>
        <row r="6608">
          <cell r="W6608">
            <v>0</v>
          </cell>
          <cell r="AB6608" t="str">
            <v>line item not tagged</v>
          </cell>
        </row>
        <row r="6609">
          <cell r="W6609">
            <v>0</v>
          </cell>
          <cell r="AB6609" t="str">
            <v>line item not tagged</v>
          </cell>
        </row>
        <row r="6610">
          <cell r="W6610">
            <v>0</v>
          </cell>
          <cell r="AB6610" t="str">
            <v>line item not tagged</v>
          </cell>
        </row>
        <row r="6611">
          <cell r="W6611">
            <v>0</v>
          </cell>
          <cell r="AB6611" t="str">
            <v>line item not tagged</v>
          </cell>
        </row>
        <row r="6612">
          <cell r="W6612">
            <v>0</v>
          </cell>
          <cell r="AB6612" t="str">
            <v>line item not tagged</v>
          </cell>
        </row>
        <row r="6613">
          <cell r="W6613">
            <v>0</v>
          </cell>
          <cell r="AB6613" t="str">
            <v>line item not tagged</v>
          </cell>
        </row>
        <row r="6614">
          <cell r="W6614">
            <v>0</v>
          </cell>
          <cell r="AB6614" t="str">
            <v>line item not tagged</v>
          </cell>
        </row>
        <row r="6615">
          <cell r="W6615">
            <v>0</v>
          </cell>
          <cell r="AB6615" t="str">
            <v>line item not tagged</v>
          </cell>
        </row>
        <row r="6616">
          <cell r="W6616">
            <v>0</v>
          </cell>
          <cell r="AB6616" t="str">
            <v>line item not tagged</v>
          </cell>
        </row>
        <row r="6617">
          <cell r="W6617">
            <v>0</v>
          </cell>
          <cell r="AB6617" t="str">
            <v>line item not tagged</v>
          </cell>
        </row>
        <row r="6618">
          <cell r="W6618">
            <v>0</v>
          </cell>
          <cell r="AB6618" t="str">
            <v>line item not tagged</v>
          </cell>
        </row>
        <row r="6619">
          <cell r="W6619">
            <v>0</v>
          </cell>
          <cell r="AB6619" t="str">
            <v>line item not tagged</v>
          </cell>
        </row>
        <row r="6620">
          <cell r="W6620">
            <v>0</v>
          </cell>
          <cell r="AB6620" t="str">
            <v>line item not tagged</v>
          </cell>
        </row>
        <row r="6621">
          <cell r="W6621">
            <v>0</v>
          </cell>
          <cell r="AB6621" t="str">
            <v>line item not tagged</v>
          </cell>
        </row>
        <row r="6622">
          <cell r="W6622">
            <v>0</v>
          </cell>
          <cell r="AB6622" t="str">
            <v>line item not tagged</v>
          </cell>
        </row>
        <row r="6623">
          <cell r="W6623">
            <v>0</v>
          </cell>
          <cell r="AB6623" t="str">
            <v>line item not tagged</v>
          </cell>
        </row>
        <row r="6624">
          <cell r="W6624">
            <v>0</v>
          </cell>
          <cell r="AB6624" t="str">
            <v>line item not tagged</v>
          </cell>
        </row>
        <row r="6625">
          <cell r="W6625">
            <v>0</v>
          </cell>
          <cell r="AB6625" t="str">
            <v>line item not tagged</v>
          </cell>
        </row>
        <row r="6626">
          <cell r="W6626">
            <v>0</v>
          </cell>
          <cell r="AB6626" t="str">
            <v>line item not tagged</v>
          </cell>
        </row>
        <row r="6627">
          <cell r="W6627">
            <v>0</v>
          </cell>
          <cell r="AB6627" t="str">
            <v>line item not tagged</v>
          </cell>
        </row>
        <row r="6628">
          <cell r="W6628">
            <v>0</v>
          </cell>
          <cell r="AB6628" t="str">
            <v>line item not tagged</v>
          </cell>
        </row>
        <row r="6629">
          <cell r="W6629">
            <v>0</v>
          </cell>
          <cell r="AB6629" t="str">
            <v>line item not tagged</v>
          </cell>
        </row>
        <row r="6630">
          <cell r="W6630">
            <v>0</v>
          </cell>
          <cell r="AB6630" t="str">
            <v>line item not tagged</v>
          </cell>
        </row>
        <row r="6631">
          <cell r="W6631">
            <v>0</v>
          </cell>
          <cell r="AB6631" t="str">
            <v>line item not tagged</v>
          </cell>
        </row>
        <row r="6632">
          <cell r="W6632">
            <v>0</v>
          </cell>
          <cell r="AB6632" t="str">
            <v>line item not tagged</v>
          </cell>
        </row>
        <row r="6633">
          <cell r="W6633">
            <v>0</v>
          </cell>
          <cell r="AB6633" t="str">
            <v>line item not tagged</v>
          </cell>
        </row>
        <row r="6634">
          <cell r="W6634">
            <v>0</v>
          </cell>
          <cell r="AB6634" t="str">
            <v>line item not tagged</v>
          </cell>
        </row>
        <row r="6635">
          <cell r="W6635">
            <v>0</v>
          </cell>
          <cell r="AB6635" t="str">
            <v>line item not tagged</v>
          </cell>
        </row>
        <row r="6636">
          <cell r="W6636">
            <v>0</v>
          </cell>
          <cell r="AB6636" t="str">
            <v>line item not tagged</v>
          </cell>
        </row>
        <row r="6637">
          <cell r="W6637">
            <v>0</v>
          </cell>
          <cell r="AB6637" t="str">
            <v>line item not tagged</v>
          </cell>
        </row>
        <row r="6638">
          <cell r="W6638">
            <v>0</v>
          </cell>
          <cell r="AB6638" t="str">
            <v>line item not tagged</v>
          </cell>
        </row>
        <row r="6639">
          <cell r="W6639">
            <v>0</v>
          </cell>
          <cell r="AB6639" t="str">
            <v>line item not tagged</v>
          </cell>
        </row>
        <row r="6640">
          <cell r="W6640">
            <v>0</v>
          </cell>
          <cell r="AB6640" t="str">
            <v>line item not tagged</v>
          </cell>
        </row>
        <row r="6641">
          <cell r="W6641">
            <v>0</v>
          </cell>
          <cell r="AB6641" t="str">
            <v>line item not tagged</v>
          </cell>
        </row>
        <row r="6642">
          <cell r="W6642">
            <v>0</v>
          </cell>
          <cell r="AB6642" t="str">
            <v>line item not tagged</v>
          </cell>
        </row>
        <row r="6643">
          <cell r="W6643">
            <v>0</v>
          </cell>
          <cell r="AB6643" t="str">
            <v>line item not tagged</v>
          </cell>
        </row>
        <row r="6644">
          <cell r="W6644">
            <v>0</v>
          </cell>
          <cell r="AB6644" t="str">
            <v>line item not tagged</v>
          </cell>
        </row>
        <row r="6645">
          <cell r="W6645">
            <v>0</v>
          </cell>
          <cell r="AB6645" t="str">
            <v>line item not tagged</v>
          </cell>
        </row>
        <row r="6646">
          <cell r="W6646">
            <v>0</v>
          </cell>
          <cell r="AB6646" t="str">
            <v>line item not tagged</v>
          </cell>
        </row>
        <row r="6647">
          <cell r="W6647">
            <v>0</v>
          </cell>
          <cell r="AB6647" t="str">
            <v>line item not tagged</v>
          </cell>
        </row>
        <row r="6648">
          <cell r="W6648">
            <v>0</v>
          </cell>
          <cell r="AB6648" t="str">
            <v>line item not tagged</v>
          </cell>
        </row>
        <row r="6649">
          <cell r="W6649">
            <v>0</v>
          </cell>
          <cell r="AB6649" t="str">
            <v>line item not tagged</v>
          </cell>
        </row>
        <row r="6650">
          <cell r="W6650">
            <v>0</v>
          </cell>
          <cell r="AB6650" t="str">
            <v>line item not tagged</v>
          </cell>
        </row>
        <row r="6651">
          <cell r="W6651">
            <v>0</v>
          </cell>
          <cell r="AB6651" t="str">
            <v>line item not tagged</v>
          </cell>
        </row>
        <row r="6652">
          <cell r="W6652">
            <v>0</v>
          </cell>
          <cell r="AB6652" t="str">
            <v>line item not tagged</v>
          </cell>
        </row>
        <row r="6653">
          <cell r="W6653">
            <v>0</v>
          </cell>
          <cell r="AB6653" t="str">
            <v>line item not tagged</v>
          </cell>
        </row>
        <row r="6654">
          <cell r="W6654">
            <v>0</v>
          </cell>
          <cell r="AB6654" t="str">
            <v>line item not tagged</v>
          </cell>
        </row>
        <row r="6655">
          <cell r="W6655">
            <v>0</v>
          </cell>
          <cell r="AB6655" t="str">
            <v>line item not tagged</v>
          </cell>
        </row>
        <row r="6656">
          <cell r="W6656">
            <v>0</v>
          </cell>
          <cell r="AB6656" t="str">
            <v>line item not tagged</v>
          </cell>
        </row>
        <row r="6657">
          <cell r="W6657">
            <v>0</v>
          </cell>
          <cell r="AB6657" t="str">
            <v>line item not tagged</v>
          </cell>
        </row>
        <row r="6658">
          <cell r="W6658">
            <v>0</v>
          </cell>
          <cell r="AB6658" t="str">
            <v>line item not tagged</v>
          </cell>
        </row>
        <row r="6659">
          <cell r="W6659">
            <v>0</v>
          </cell>
          <cell r="AB6659" t="str">
            <v>line item not tagged</v>
          </cell>
        </row>
        <row r="6660">
          <cell r="W6660">
            <v>0</v>
          </cell>
          <cell r="AB6660" t="str">
            <v>line item not tagged</v>
          </cell>
        </row>
        <row r="6661">
          <cell r="W6661">
            <v>0</v>
          </cell>
          <cell r="AB6661" t="str">
            <v>line item not tagged</v>
          </cell>
        </row>
        <row r="6662">
          <cell r="W6662">
            <v>0</v>
          </cell>
          <cell r="AB6662" t="str">
            <v>line item not tagged</v>
          </cell>
        </row>
        <row r="6663">
          <cell r="W6663">
            <v>0</v>
          </cell>
          <cell r="AB6663" t="str">
            <v>line item not tagged</v>
          </cell>
        </row>
        <row r="6664">
          <cell r="W6664">
            <v>0</v>
          </cell>
          <cell r="AB6664" t="str">
            <v>line item not tagged</v>
          </cell>
        </row>
        <row r="6665">
          <cell r="W6665">
            <v>0</v>
          </cell>
          <cell r="AB6665" t="str">
            <v>line item not tagged</v>
          </cell>
        </row>
        <row r="6666">
          <cell r="W6666">
            <v>0</v>
          </cell>
          <cell r="AB6666" t="str">
            <v>line item not tagged</v>
          </cell>
        </row>
        <row r="6667">
          <cell r="W6667">
            <v>0</v>
          </cell>
          <cell r="AB6667" t="str">
            <v>line item not tagged</v>
          </cell>
        </row>
        <row r="6668">
          <cell r="W6668">
            <v>0</v>
          </cell>
          <cell r="AB6668" t="str">
            <v>line item not tagged</v>
          </cell>
        </row>
        <row r="6669">
          <cell r="W6669">
            <v>0</v>
          </cell>
          <cell r="AB6669" t="str">
            <v>line item not tagged</v>
          </cell>
        </row>
        <row r="6670">
          <cell r="W6670">
            <v>0</v>
          </cell>
          <cell r="AB6670" t="str">
            <v>line item not tagged</v>
          </cell>
        </row>
        <row r="6671">
          <cell r="W6671">
            <v>0</v>
          </cell>
          <cell r="AB6671" t="str">
            <v>line item not tagged</v>
          </cell>
        </row>
        <row r="6672">
          <cell r="W6672">
            <v>0</v>
          </cell>
          <cell r="AB6672" t="str">
            <v>line item not tagged</v>
          </cell>
        </row>
        <row r="6673">
          <cell r="W6673">
            <v>0</v>
          </cell>
          <cell r="AB6673" t="str">
            <v>line item not tagged</v>
          </cell>
        </row>
        <row r="6674">
          <cell r="W6674">
            <v>0</v>
          </cell>
          <cell r="AB6674" t="str">
            <v>line item not tagged</v>
          </cell>
        </row>
        <row r="6675">
          <cell r="W6675">
            <v>0</v>
          </cell>
          <cell r="AB6675" t="str">
            <v>line item not tagged</v>
          </cell>
        </row>
        <row r="6676">
          <cell r="W6676">
            <v>0</v>
          </cell>
          <cell r="AB6676" t="str">
            <v>line item not tagged</v>
          </cell>
        </row>
        <row r="6677">
          <cell r="W6677">
            <v>0</v>
          </cell>
          <cell r="AB6677" t="str">
            <v>line item not tagged</v>
          </cell>
        </row>
        <row r="6678">
          <cell r="W6678">
            <v>0</v>
          </cell>
          <cell r="AB6678" t="str">
            <v>line item not tagged</v>
          </cell>
        </row>
        <row r="6679">
          <cell r="W6679">
            <v>0</v>
          </cell>
          <cell r="AB6679" t="str">
            <v>line item not tagged</v>
          </cell>
        </row>
        <row r="6680">
          <cell r="W6680">
            <v>0</v>
          </cell>
          <cell r="AB6680" t="str">
            <v>line item not tagged</v>
          </cell>
        </row>
        <row r="6681">
          <cell r="W6681">
            <v>0</v>
          </cell>
          <cell r="AB6681" t="str">
            <v>line item not tagged</v>
          </cell>
        </row>
        <row r="6682">
          <cell r="W6682">
            <v>0</v>
          </cell>
          <cell r="AB6682" t="str">
            <v>line item not tagged</v>
          </cell>
        </row>
        <row r="6683">
          <cell r="W6683">
            <v>0</v>
          </cell>
          <cell r="AB6683" t="str">
            <v>line item not tagged</v>
          </cell>
        </row>
        <row r="6684">
          <cell r="W6684">
            <v>0</v>
          </cell>
          <cell r="AB6684" t="str">
            <v>line item not tagged</v>
          </cell>
        </row>
        <row r="6685">
          <cell r="W6685">
            <v>0</v>
          </cell>
          <cell r="AB6685" t="str">
            <v>line item not tagged</v>
          </cell>
        </row>
        <row r="6686">
          <cell r="W6686">
            <v>0</v>
          </cell>
          <cell r="AB6686" t="str">
            <v>line item not tagged</v>
          </cell>
        </row>
        <row r="6687">
          <cell r="W6687">
            <v>0</v>
          </cell>
          <cell r="AB6687" t="str">
            <v>line item not tagged</v>
          </cell>
        </row>
        <row r="6688">
          <cell r="W6688">
            <v>0</v>
          </cell>
          <cell r="AB6688" t="str">
            <v>line item not tagged</v>
          </cell>
        </row>
        <row r="6689">
          <cell r="W6689">
            <v>0</v>
          </cell>
          <cell r="AB6689" t="str">
            <v>line item not tagged</v>
          </cell>
        </row>
        <row r="6690">
          <cell r="W6690">
            <v>0</v>
          </cell>
          <cell r="AB6690" t="str">
            <v>line item not tagged</v>
          </cell>
        </row>
        <row r="6691">
          <cell r="W6691">
            <v>0</v>
          </cell>
          <cell r="AB6691" t="str">
            <v>line item not tagged</v>
          </cell>
        </row>
        <row r="6692">
          <cell r="W6692">
            <v>0</v>
          </cell>
          <cell r="AB6692" t="str">
            <v>line item not tagged</v>
          </cell>
        </row>
        <row r="6693">
          <cell r="W6693">
            <v>0</v>
          </cell>
          <cell r="AB6693" t="str">
            <v>line item not tagged</v>
          </cell>
        </row>
        <row r="6694">
          <cell r="W6694">
            <v>0</v>
          </cell>
          <cell r="AB6694" t="str">
            <v>line item not tagged</v>
          </cell>
        </row>
        <row r="6695">
          <cell r="W6695">
            <v>0</v>
          </cell>
          <cell r="AB6695" t="str">
            <v>line item not tagged</v>
          </cell>
        </row>
        <row r="6696">
          <cell r="W6696">
            <v>0</v>
          </cell>
          <cell r="AB6696" t="str">
            <v>line item not tagged</v>
          </cell>
        </row>
        <row r="6697">
          <cell r="W6697">
            <v>0</v>
          </cell>
          <cell r="AB6697" t="str">
            <v>line item not tagged</v>
          </cell>
        </row>
        <row r="6698">
          <cell r="W6698">
            <v>0</v>
          </cell>
          <cell r="AB6698" t="str">
            <v>line item not tagged</v>
          </cell>
        </row>
        <row r="6699">
          <cell r="W6699">
            <v>0</v>
          </cell>
          <cell r="AB6699" t="str">
            <v>line item not tagged</v>
          </cell>
        </row>
        <row r="6700">
          <cell r="W6700">
            <v>0</v>
          </cell>
          <cell r="AB6700" t="str">
            <v>line item not tagged</v>
          </cell>
        </row>
        <row r="6701">
          <cell r="W6701">
            <v>0</v>
          </cell>
          <cell r="AB6701" t="str">
            <v>line item not tagged</v>
          </cell>
        </row>
        <row r="6702">
          <cell r="W6702">
            <v>0</v>
          </cell>
          <cell r="AB6702" t="str">
            <v>line item not tagged</v>
          </cell>
        </row>
        <row r="6703">
          <cell r="W6703">
            <v>0</v>
          </cell>
          <cell r="AB6703" t="str">
            <v>line item not tagged</v>
          </cell>
        </row>
        <row r="6704">
          <cell r="W6704">
            <v>0</v>
          </cell>
          <cell r="AB6704" t="str">
            <v>line item not tagged</v>
          </cell>
        </row>
        <row r="6705">
          <cell r="W6705">
            <v>0</v>
          </cell>
          <cell r="AB6705" t="str">
            <v>line item not tagged</v>
          </cell>
        </row>
        <row r="6706">
          <cell r="W6706">
            <v>0</v>
          </cell>
          <cell r="AB6706" t="str">
            <v>line item not tagged</v>
          </cell>
        </row>
        <row r="6707">
          <cell r="W6707">
            <v>0</v>
          </cell>
          <cell r="AB6707" t="str">
            <v>line item not tagged</v>
          </cell>
        </row>
        <row r="6708">
          <cell r="W6708">
            <v>0</v>
          </cell>
          <cell r="AB6708" t="str">
            <v>line item not tagged</v>
          </cell>
        </row>
        <row r="6709">
          <cell r="W6709">
            <v>0</v>
          </cell>
          <cell r="AB6709" t="str">
            <v>line item not tagged</v>
          </cell>
        </row>
        <row r="6710">
          <cell r="W6710">
            <v>0</v>
          </cell>
          <cell r="AB6710" t="str">
            <v>line item not tagged</v>
          </cell>
        </row>
        <row r="6711">
          <cell r="W6711">
            <v>0</v>
          </cell>
          <cell r="AB6711" t="str">
            <v>line item not tagged</v>
          </cell>
        </row>
        <row r="6712">
          <cell r="W6712">
            <v>0</v>
          </cell>
          <cell r="AB6712" t="str">
            <v>line item not tagged</v>
          </cell>
        </row>
        <row r="6713">
          <cell r="W6713">
            <v>0</v>
          </cell>
          <cell r="AB6713" t="str">
            <v>line item not tagged</v>
          </cell>
        </row>
        <row r="6714">
          <cell r="W6714">
            <v>0</v>
          </cell>
          <cell r="AB6714" t="str">
            <v>line item not tagged</v>
          </cell>
        </row>
        <row r="6715">
          <cell r="W6715">
            <v>0</v>
          </cell>
          <cell r="AB6715" t="str">
            <v>line item not tagged</v>
          </cell>
        </row>
        <row r="6716">
          <cell r="W6716">
            <v>0</v>
          </cell>
          <cell r="AB6716" t="str">
            <v>line item not tagged</v>
          </cell>
        </row>
        <row r="6717">
          <cell r="W6717">
            <v>0</v>
          </cell>
          <cell r="AB6717" t="str">
            <v>line item not tagged</v>
          </cell>
        </row>
        <row r="6718">
          <cell r="W6718">
            <v>0</v>
          </cell>
          <cell r="AB6718" t="str">
            <v>line item not tagged</v>
          </cell>
        </row>
        <row r="6719">
          <cell r="W6719">
            <v>0</v>
          </cell>
          <cell r="AB6719" t="str">
            <v>line item not tagged</v>
          </cell>
        </row>
        <row r="6720">
          <cell r="W6720">
            <v>0</v>
          </cell>
          <cell r="AB6720" t="str">
            <v>line item not tagged</v>
          </cell>
        </row>
        <row r="6721">
          <cell r="W6721">
            <v>0</v>
          </cell>
          <cell r="AB6721" t="str">
            <v>line item not tagged</v>
          </cell>
        </row>
        <row r="6722">
          <cell r="W6722">
            <v>0</v>
          </cell>
          <cell r="AB6722" t="str">
            <v>line item not tagged</v>
          </cell>
        </row>
        <row r="6723">
          <cell r="W6723">
            <v>0</v>
          </cell>
          <cell r="AB6723" t="str">
            <v>line item not tagged</v>
          </cell>
        </row>
        <row r="6724">
          <cell r="W6724">
            <v>0</v>
          </cell>
          <cell r="AB6724" t="str">
            <v>line item not tagged</v>
          </cell>
        </row>
        <row r="6725">
          <cell r="W6725">
            <v>0</v>
          </cell>
          <cell r="AB6725" t="str">
            <v>line item not tagged</v>
          </cell>
        </row>
        <row r="6726">
          <cell r="W6726">
            <v>0</v>
          </cell>
          <cell r="AB6726" t="str">
            <v>line item not tagged</v>
          </cell>
        </row>
        <row r="6727">
          <cell r="W6727">
            <v>0</v>
          </cell>
          <cell r="AB6727" t="str">
            <v>line item not tagged</v>
          </cell>
        </row>
        <row r="6728">
          <cell r="W6728">
            <v>0</v>
          </cell>
          <cell r="AB6728" t="str">
            <v>line item not tagged</v>
          </cell>
        </row>
        <row r="6729">
          <cell r="W6729">
            <v>0</v>
          </cell>
          <cell r="AB6729" t="str">
            <v>line item not tagged</v>
          </cell>
        </row>
        <row r="6730">
          <cell r="W6730">
            <v>0</v>
          </cell>
          <cell r="AB6730" t="str">
            <v>line item not tagged</v>
          </cell>
        </row>
        <row r="6731">
          <cell r="W6731">
            <v>0</v>
          </cell>
          <cell r="AB6731" t="str">
            <v>line item not tagged</v>
          </cell>
        </row>
        <row r="6732">
          <cell r="W6732">
            <v>0</v>
          </cell>
          <cell r="AB6732" t="str">
            <v>line item not tagged</v>
          </cell>
        </row>
        <row r="6733">
          <cell r="W6733">
            <v>0</v>
          </cell>
          <cell r="AB6733" t="str">
            <v>line item not tagged</v>
          </cell>
        </row>
        <row r="6734">
          <cell r="W6734">
            <v>0</v>
          </cell>
          <cell r="AB6734" t="str">
            <v>line item not tagged</v>
          </cell>
        </row>
        <row r="6735">
          <cell r="W6735">
            <v>0</v>
          </cell>
          <cell r="AB6735" t="str">
            <v>line item not tagged</v>
          </cell>
        </row>
        <row r="6736">
          <cell r="W6736">
            <v>0</v>
          </cell>
          <cell r="AB6736" t="str">
            <v>line item not tagged</v>
          </cell>
        </row>
        <row r="6737">
          <cell r="W6737">
            <v>0</v>
          </cell>
          <cell r="AB6737" t="str">
            <v>line item not tagged</v>
          </cell>
        </row>
        <row r="6738">
          <cell r="W6738">
            <v>0</v>
          </cell>
          <cell r="AB6738" t="str">
            <v>line item not tagged</v>
          </cell>
        </row>
        <row r="6739">
          <cell r="W6739">
            <v>0</v>
          </cell>
          <cell r="AB6739" t="str">
            <v>line item not tagged</v>
          </cell>
        </row>
        <row r="6740">
          <cell r="W6740">
            <v>0</v>
          </cell>
          <cell r="AB6740" t="str">
            <v>line item not tagged</v>
          </cell>
        </row>
        <row r="6741">
          <cell r="W6741">
            <v>0</v>
          </cell>
          <cell r="AB6741" t="str">
            <v>line item not tagged</v>
          </cell>
        </row>
        <row r="6742">
          <cell r="W6742">
            <v>0</v>
          </cell>
          <cell r="AB6742" t="str">
            <v>line item not tagged</v>
          </cell>
        </row>
        <row r="6743">
          <cell r="W6743">
            <v>0</v>
          </cell>
          <cell r="AB6743" t="str">
            <v>line item not tagged</v>
          </cell>
        </row>
        <row r="6744">
          <cell r="W6744">
            <v>0</v>
          </cell>
          <cell r="AB6744" t="str">
            <v>line item not tagged</v>
          </cell>
        </row>
        <row r="6745">
          <cell r="W6745">
            <v>0</v>
          </cell>
          <cell r="AB6745" t="str">
            <v>line item not tagged</v>
          </cell>
        </row>
        <row r="6746">
          <cell r="W6746">
            <v>0</v>
          </cell>
          <cell r="AB6746" t="str">
            <v>line item not tagged</v>
          </cell>
        </row>
        <row r="6747">
          <cell r="W6747">
            <v>0</v>
          </cell>
          <cell r="AB6747" t="str">
            <v>line item not tagged</v>
          </cell>
        </row>
        <row r="6748">
          <cell r="W6748">
            <v>0</v>
          </cell>
          <cell r="AB6748" t="str">
            <v>line item not tagged</v>
          </cell>
        </row>
        <row r="6749">
          <cell r="W6749">
            <v>0</v>
          </cell>
          <cell r="AB6749" t="str">
            <v>line item not tagged</v>
          </cell>
        </row>
        <row r="6750">
          <cell r="W6750">
            <v>0</v>
          </cell>
          <cell r="AB6750" t="str">
            <v>line item not tagged</v>
          </cell>
        </row>
        <row r="6751">
          <cell r="W6751">
            <v>0</v>
          </cell>
          <cell r="AB6751" t="str">
            <v>line item not tagged</v>
          </cell>
        </row>
        <row r="6752">
          <cell r="W6752">
            <v>0</v>
          </cell>
          <cell r="AB6752" t="str">
            <v>line item not tagged</v>
          </cell>
        </row>
        <row r="6753">
          <cell r="W6753">
            <v>0</v>
          </cell>
          <cell r="AB6753" t="str">
            <v>line item not tagged</v>
          </cell>
        </row>
        <row r="6754">
          <cell r="W6754">
            <v>0</v>
          </cell>
          <cell r="AB6754" t="str">
            <v>line item not tagged</v>
          </cell>
        </row>
        <row r="6755">
          <cell r="W6755">
            <v>0</v>
          </cell>
          <cell r="AB6755" t="str">
            <v>line item not tagged</v>
          </cell>
        </row>
        <row r="6756">
          <cell r="W6756">
            <v>0</v>
          </cell>
          <cell r="AB6756" t="str">
            <v>line item not tagged</v>
          </cell>
        </row>
        <row r="6757">
          <cell r="W6757">
            <v>0</v>
          </cell>
          <cell r="AB6757" t="str">
            <v>line item not tagged</v>
          </cell>
        </row>
        <row r="6758">
          <cell r="W6758">
            <v>0</v>
          </cell>
          <cell r="AB6758" t="str">
            <v>line item not tagged</v>
          </cell>
        </row>
        <row r="6759">
          <cell r="W6759">
            <v>0</v>
          </cell>
          <cell r="AB6759" t="str">
            <v>line item not tagged</v>
          </cell>
        </row>
        <row r="6760">
          <cell r="W6760">
            <v>0</v>
          </cell>
          <cell r="AB6760" t="str">
            <v>line item not tagged</v>
          </cell>
        </row>
        <row r="6761">
          <cell r="W6761">
            <v>0</v>
          </cell>
          <cell r="AB6761" t="str">
            <v>line item not tagged</v>
          </cell>
        </row>
        <row r="6762">
          <cell r="W6762">
            <v>0</v>
          </cell>
          <cell r="AB6762" t="str">
            <v>line item not tagged</v>
          </cell>
        </row>
        <row r="6763">
          <cell r="W6763">
            <v>0</v>
          </cell>
          <cell r="AB6763" t="str">
            <v>line item not tagged</v>
          </cell>
        </row>
        <row r="6764">
          <cell r="W6764">
            <v>0</v>
          </cell>
          <cell r="AB6764" t="str">
            <v>line item not tagged</v>
          </cell>
        </row>
        <row r="6765">
          <cell r="W6765">
            <v>0</v>
          </cell>
          <cell r="AB6765" t="str">
            <v>line item not tagged</v>
          </cell>
        </row>
        <row r="6766">
          <cell r="W6766">
            <v>0</v>
          </cell>
          <cell r="AB6766" t="str">
            <v>line item not tagged</v>
          </cell>
        </row>
        <row r="6767">
          <cell r="W6767">
            <v>0</v>
          </cell>
          <cell r="AB6767" t="str">
            <v>line item not tagged</v>
          </cell>
        </row>
        <row r="6768">
          <cell r="W6768">
            <v>0</v>
          </cell>
          <cell r="AB6768" t="str">
            <v>line item not tagged</v>
          </cell>
        </row>
        <row r="6769">
          <cell r="W6769">
            <v>0</v>
          </cell>
          <cell r="AB6769" t="str">
            <v>line item not tagged</v>
          </cell>
        </row>
        <row r="6770">
          <cell r="W6770">
            <v>0</v>
          </cell>
          <cell r="AB6770" t="str">
            <v>line item not tagged</v>
          </cell>
        </row>
        <row r="6771">
          <cell r="W6771">
            <v>0</v>
          </cell>
          <cell r="AB6771" t="str">
            <v>line item not tagged</v>
          </cell>
        </row>
        <row r="6772">
          <cell r="W6772">
            <v>0</v>
          </cell>
          <cell r="AB6772" t="str">
            <v>line item not tagged</v>
          </cell>
        </row>
        <row r="6773">
          <cell r="W6773">
            <v>0</v>
          </cell>
          <cell r="AB6773" t="str">
            <v>line item not tagged</v>
          </cell>
        </row>
        <row r="6774">
          <cell r="W6774">
            <v>0</v>
          </cell>
          <cell r="AB6774" t="str">
            <v>line item not tagged</v>
          </cell>
        </row>
        <row r="6775">
          <cell r="W6775">
            <v>0</v>
          </cell>
          <cell r="AB6775" t="str">
            <v>line item not tagged</v>
          </cell>
        </row>
        <row r="6776">
          <cell r="W6776">
            <v>0</v>
          </cell>
          <cell r="AB6776" t="str">
            <v>line item not tagged</v>
          </cell>
        </row>
        <row r="6777">
          <cell r="W6777">
            <v>0</v>
          </cell>
          <cell r="AB6777" t="str">
            <v>line item not tagged</v>
          </cell>
        </row>
        <row r="6778">
          <cell r="W6778">
            <v>0</v>
          </cell>
          <cell r="AB6778" t="str">
            <v>line item not tagged</v>
          </cell>
        </row>
        <row r="6779">
          <cell r="W6779">
            <v>0</v>
          </cell>
          <cell r="AB6779" t="str">
            <v>line item not tagged</v>
          </cell>
        </row>
        <row r="6780">
          <cell r="W6780">
            <v>0</v>
          </cell>
          <cell r="AB6780" t="str">
            <v>line item not tagged</v>
          </cell>
        </row>
        <row r="6781">
          <cell r="W6781">
            <v>0</v>
          </cell>
          <cell r="AB6781" t="str">
            <v>line item not tagged</v>
          </cell>
        </row>
        <row r="6782">
          <cell r="W6782">
            <v>0</v>
          </cell>
          <cell r="AB6782" t="str">
            <v>line item not tagged</v>
          </cell>
        </row>
        <row r="6783">
          <cell r="W6783">
            <v>0</v>
          </cell>
          <cell r="AB6783" t="str">
            <v>line item not tagged</v>
          </cell>
        </row>
        <row r="6784">
          <cell r="W6784">
            <v>0</v>
          </cell>
          <cell r="AB6784" t="str">
            <v>line item not tagged</v>
          </cell>
        </row>
        <row r="6785">
          <cell r="W6785">
            <v>0</v>
          </cell>
          <cell r="AB6785" t="str">
            <v>line item not tagged</v>
          </cell>
        </row>
        <row r="6786">
          <cell r="W6786">
            <v>0</v>
          </cell>
          <cell r="AB6786" t="str">
            <v>line item not tagged</v>
          </cell>
        </row>
        <row r="6787">
          <cell r="W6787">
            <v>0</v>
          </cell>
          <cell r="AB6787" t="str">
            <v>line item not tagged</v>
          </cell>
        </row>
        <row r="6788">
          <cell r="W6788">
            <v>0</v>
          </cell>
          <cell r="AB6788" t="str">
            <v>line item not tagged</v>
          </cell>
        </row>
        <row r="6789">
          <cell r="W6789">
            <v>0</v>
          </cell>
          <cell r="AB6789" t="str">
            <v>line item not tagged</v>
          </cell>
        </row>
        <row r="6790">
          <cell r="W6790">
            <v>0</v>
          </cell>
          <cell r="AB6790" t="str">
            <v>line item not tagged</v>
          </cell>
        </row>
        <row r="6791">
          <cell r="W6791">
            <v>0</v>
          </cell>
          <cell r="AB6791" t="str">
            <v>line item not tagged</v>
          </cell>
        </row>
        <row r="6792">
          <cell r="W6792">
            <v>0</v>
          </cell>
          <cell r="AB6792" t="str">
            <v>line item not tagged</v>
          </cell>
        </row>
        <row r="6793">
          <cell r="W6793">
            <v>0</v>
          </cell>
          <cell r="AB6793" t="str">
            <v>line item not tagged</v>
          </cell>
        </row>
        <row r="6794">
          <cell r="W6794">
            <v>0</v>
          </cell>
          <cell r="AB6794" t="str">
            <v>line item not tagged</v>
          </cell>
        </row>
        <row r="6795">
          <cell r="W6795">
            <v>0</v>
          </cell>
          <cell r="AB6795" t="str">
            <v>line item not tagged</v>
          </cell>
        </row>
        <row r="6796">
          <cell r="W6796">
            <v>0</v>
          </cell>
          <cell r="AB6796" t="str">
            <v>line item not tagged</v>
          </cell>
        </row>
        <row r="6797">
          <cell r="W6797">
            <v>0</v>
          </cell>
          <cell r="AB6797" t="str">
            <v>line item not tagged</v>
          </cell>
        </row>
        <row r="6798">
          <cell r="W6798">
            <v>0</v>
          </cell>
          <cell r="AB6798" t="str">
            <v>line item not tagged</v>
          </cell>
        </row>
        <row r="6799">
          <cell r="W6799">
            <v>0</v>
          </cell>
          <cell r="AB6799" t="str">
            <v>line item not tagged</v>
          </cell>
        </row>
        <row r="6800">
          <cell r="W6800">
            <v>0</v>
          </cell>
          <cell r="AB6800" t="str">
            <v>line item not tagged</v>
          </cell>
        </row>
        <row r="6801">
          <cell r="W6801">
            <v>0</v>
          </cell>
          <cell r="AB6801" t="str">
            <v>line item not tagged</v>
          </cell>
        </row>
        <row r="6802">
          <cell r="W6802">
            <v>0</v>
          </cell>
          <cell r="AB6802" t="str">
            <v>line item not tagged</v>
          </cell>
        </row>
        <row r="6803">
          <cell r="W6803">
            <v>0</v>
          </cell>
          <cell r="AB6803" t="str">
            <v>line item not tagged</v>
          </cell>
        </row>
        <row r="6804">
          <cell r="W6804">
            <v>0</v>
          </cell>
          <cell r="AB6804" t="str">
            <v>line item not tagged</v>
          </cell>
        </row>
        <row r="6805">
          <cell r="W6805">
            <v>0</v>
          </cell>
          <cell r="AB6805" t="str">
            <v>line item not tagged</v>
          </cell>
        </row>
        <row r="6806">
          <cell r="W6806">
            <v>0</v>
          </cell>
          <cell r="AB6806" t="str">
            <v>line item not tagged</v>
          </cell>
        </row>
        <row r="6807">
          <cell r="W6807">
            <v>0</v>
          </cell>
          <cell r="AB6807" t="str">
            <v>line item not tagged</v>
          </cell>
        </row>
        <row r="6808">
          <cell r="W6808">
            <v>0</v>
          </cell>
          <cell r="AB6808" t="str">
            <v>line item not tagged</v>
          </cell>
        </row>
        <row r="6809">
          <cell r="W6809">
            <v>0</v>
          </cell>
          <cell r="AB6809" t="str">
            <v>line item not tagged</v>
          </cell>
        </row>
        <row r="6810">
          <cell r="W6810">
            <v>0</v>
          </cell>
          <cell r="AB6810" t="str">
            <v>line item not tagged</v>
          </cell>
        </row>
        <row r="6811">
          <cell r="W6811">
            <v>0</v>
          </cell>
          <cell r="AB6811" t="str">
            <v>line item not tagged</v>
          </cell>
        </row>
        <row r="6812">
          <cell r="W6812">
            <v>0</v>
          </cell>
          <cell r="AB6812" t="str">
            <v>line item not tagged</v>
          </cell>
        </row>
        <row r="6813">
          <cell r="W6813">
            <v>0</v>
          </cell>
          <cell r="AB6813" t="str">
            <v>line item not tagged</v>
          </cell>
        </row>
        <row r="6814">
          <cell r="W6814">
            <v>0</v>
          </cell>
          <cell r="AB6814" t="str">
            <v>line item not tagged</v>
          </cell>
        </row>
        <row r="6815">
          <cell r="W6815">
            <v>0</v>
          </cell>
          <cell r="AB6815" t="str">
            <v>line item not tagged</v>
          </cell>
        </row>
        <row r="6816">
          <cell r="W6816">
            <v>0</v>
          </cell>
          <cell r="AB6816" t="str">
            <v>line item not tagged</v>
          </cell>
        </row>
        <row r="6817">
          <cell r="W6817">
            <v>0</v>
          </cell>
          <cell r="AB6817" t="str">
            <v>line item not tagged</v>
          </cell>
        </row>
        <row r="6818">
          <cell r="W6818">
            <v>0</v>
          </cell>
          <cell r="AB6818" t="str">
            <v>line item not tagged</v>
          </cell>
        </row>
        <row r="6819">
          <cell r="W6819">
            <v>0</v>
          </cell>
          <cell r="AB6819" t="str">
            <v>line item not tagged</v>
          </cell>
        </row>
        <row r="6820">
          <cell r="W6820">
            <v>0</v>
          </cell>
          <cell r="AB6820" t="str">
            <v>line item not tagged</v>
          </cell>
        </row>
        <row r="6821">
          <cell r="W6821">
            <v>0</v>
          </cell>
          <cell r="AB6821" t="str">
            <v>line item not tagged</v>
          </cell>
        </row>
        <row r="6822">
          <cell r="W6822">
            <v>0</v>
          </cell>
          <cell r="AB6822" t="str">
            <v>line item not tagged</v>
          </cell>
        </row>
        <row r="6823">
          <cell r="W6823">
            <v>0</v>
          </cell>
          <cell r="AB6823" t="str">
            <v>line item not tagged</v>
          </cell>
        </row>
        <row r="6824">
          <cell r="W6824">
            <v>0</v>
          </cell>
          <cell r="AB6824" t="str">
            <v>line item not tagged</v>
          </cell>
        </row>
        <row r="6825">
          <cell r="W6825">
            <v>0</v>
          </cell>
          <cell r="AB6825" t="str">
            <v>line item not tagged</v>
          </cell>
        </row>
        <row r="6826">
          <cell r="W6826">
            <v>0</v>
          </cell>
          <cell r="AB6826" t="str">
            <v>line item not tagged</v>
          </cell>
        </row>
        <row r="6827">
          <cell r="W6827">
            <v>0</v>
          </cell>
          <cell r="AB6827" t="str">
            <v>line item not tagged</v>
          </cell>
        </row>
        <row r="6828">
          <cell r="W6828">
            <v>0</v>
          </cell>
          <cell r="AB6828" t="str">
            <v>line item not tagged</v>
          </cell>
        </row>
        <row r="6829">
          <cell r="W6829">
            <v>0</v>
          </cell>
          <cell r="AB6829" t="str">
            <v>line item not tagged</v>
          </cell>
        </row>
        <row r="6830">
          <cell r="W6830">
            <v>0</v>
          </cell>
          <cell r="AB6830" t="str">
            <v>line item not tagged</v>
          </cell>
        </row>
        <row r="6831">
          <cell r="W6831">
            <v>0</v>
          </cell>
          <cell r="AB6831" t="str">
            <v>line item not tagged</v>
          </cell>
        </row>
        <row r="6832">
          <cell r="W6832">
            <v>0</v>
          </cell>
          <cell r="AB6832" t="str">
            <v>line item not tagged</v>
          </cell>
        </row>
        <row r="6833">
          <cell r="W6833">
            <v>0</v>
          </cell>
          <cell r="AB6833" t="str">
            <v>line item not tagged</v>
          </cell>
        </row>
        <row r="6834">
          <cell r="W6834">
            <v>0</v>
          </cell>
          <cell r="AB6834" t="str">
            <v>line item not tagged</v>
          </cell>
        </row>
        <row r="6835">
          <cell r="W6835">
            <v>0</v>
          </cell>
          <cell r="AB6835" t="str">
            <v>line item not tagged</v>
          </cell>
        </row>
        <row r="6836">
          <cell r="W6836">
            <v>0</v>
          </cell>
          <cell r="AB6836" t="str">
            <v>line item not tagged</v>
          </cell>
        </row>
        <row r="6837">
          <cell r="W6837">
            <v>0</v>
          </cell>
          <cell r="AB6837" t="str">
            <v>line item not tagged</v>
          </cell>
        </row>
        <row r="6838">
          <cell r="W6838">
            <v>0</v>
          </cell>
          <cell r="AB6838" t="str">
            <v>line item not tagged</v>
          </cell>
        </row>
        <row r="6839">
          <cell r="W6839">
            <v>0</v>
          </cell>
          <cell r="AB6839" t="str">
            <v>line item not tagged</v>
          </cell>
        </row>
        <row r="6840">
          <cell r="W6840">
            <v>0</v>
          </cell>
          <cell r="AB6840" t="str">
            <v>line item not tagged</v>
          </cell>
        </row>
        <row r="6841">
          <cell r="W6841">
            <v>0</v>
          </cell>
          <cell r="AB6841" t="str">
            <v>line item not tagged</v>
          </cell>
        </row>
        <row r="6842">
          <cell r="W6842">
            <v>0</v>
          </cell>
          <cell r="AB6842" t="str">
            <v>line item not tagged</v>
          </cell>
        </row>
        <row r="6843">
          <cell r="W6843">
            <v>0</v>
          </cell>
          <cell r="AB6843" t="str">
            <v>line item not tagged</v>
          </cell>
        </row>
        <row r="6844">
          <cell r="W6844">
            <v>0</v>
          </cell>
          <cell r="AB6844" t="str">
            <v>line item not tagged</v>
          </cell>
        </row>
        <row r="6845">
          <cell r="W6845">
            <v>0</v>
          </cell>
          <cell r="AB6845" t="str">
            <v>line item not tagged</v>
          </cell>
        </row>
        <row r="6846">
          <cell r="W6846">
            <v>0</v>
          </cell>
          <cell r="AB6846" t="str">
            <v>line item not tagged</v>
          </cell>
        </row>
        <row r="6847">
          <cell r="W6847">
            <v>0</v>
          </cell>
          <cell r="AB6847" t="str">
            <v>line item not tagged</v>
          </cell>
        </row>
        <row r="6848">
          <cell r="W6848">
            <v>0</v>
          </cell>
          <cell r="AB6848" t="str">
            <v>line item not tagged</v>
          </cell>
        </row>
        <row r="6849">
          <cell r="W6849">
            <v>0</v>
          </cell>
          <cell r="AB6849" t="str">
            <v>line item not tagged</v>
          </cell>
        </row>
        <row r="6850">
          <cell r="W6850">
            <v>0</v>
          </cell>
          <cell r="AB6850" t="str">
            <v>line item not tagged</v>
          </cell>
        </row>
        <row r="6851">
          <cell r="W6851">
            <v>0</v>
          </cell>
          <cell r="AB6851" t="str">
            <v>line item not tagged</v>
          </cell>
        </row>
        <row r="6852">
          <cell r="W6852">
            <v>0</v>
          </cell>
          <cell r="AB6852" t="str">
            <v>line item not tagged</v>
          </cell>
        </row>
        <row r="6853">
          <cell r="W6853">
            <v>0</v>
          </cell>
          <cell r="AB6853" t="str">
            <v>line item not tagged</v>
          </cell>
        </row>
        <row r="6854">
          <cell r="W6854">
            <v>0</v>
          </cell>
          <cell r="AB6854" t="str">
            <v>line item not tagged</v>
          </cell>
        </row>
        <row r="6855">
          <cell r="W6855">
            <v>0</v>
          </cell>
          <cell r="AB6855" t="str">
            <v>line item not tagged</v>
          </cell>
        </row>
        <row r="6856">
          <cell r="W6856">
            <v>0</v>
          </cell>
          <cell r="AB6856" t="str">
            <v>line item not tagged</v>
          </cell>
        </row>
        <row r="6857">
          <cell r="W6857">
            <v>0</v>
          </cell>
          <cell r="AB6857" t="str">
            <v>line item not tagged</v>
          </cell>
        </row>
        <row r="6858">
          <cell r="W6858">
            <v>0</v>
          </cell>
          <cell r="AB6858" t="str">
            <v>line item not tagged</v>
          </cell>
        </row>
        <row r="6859">
          <cell r="W6859">
            <v>0</v>
          </cell>
          <cell r="AB6859" t="str">
            <v>line item not tagged</v>
          </cell>
        </row>
        <row r="6860">
          <cell r="W6860">
            <v>0</v>
          </cell>
          <cell r="AB6860" t="str">
            <v>line item not tagged</v>
          </cell>
        </row>
        <row r="6861">
          <cell r="W6861">
            <v>0</v>
          </cell>
          <cell r="AB6861" t="str">
            <v>line item not tagged</v>
          </cell>
        </row>
        <row r="6862">
          <cell r="W6862">
            <v>0</v>
          </cell>
          <cell r="AB6862" t="str">
            <v>line item not tagged</v>
          </cell>
        </row>
        <row r="6863">
          <cell r="W6863">
            <v>0</v>
          </cell>
          <cell r="AB6863" t="str">
            <v>line item not tagged</v>
          </cell>
        </row>
        <row r="6864">
          <cell r="W6864">
            <v>0</v>
          </cell>
          <cell r="AB6864" t="str">
            <v>line item not tagged</v>
          </cell>
        </row>
        <row r="6865">
          <cell r="W6865">
            <v>0</v>
          </cell>
          <cell r="AB6865" t="str">
            <v>line item not tagged</v>
          </cell>
        </row>
        <row r="6866">
          <cell r="W6866">
            <v>0</v>
          </cell>
          <cell r="AB6866" t="str">
            <v>line item not tagged</v>
          </cell>
        </row>
        <row r="6867">
          <cell r="W6867">
            <v>0</v>
          </cell>
          <cell r="AB6867" t="str">
            <v>line item not tagged</v>
          </cell>
        </row>
        <row r="6868">
          <cell r="W6868">
            <v>0</v>
          </cell>
          <cell r="AB6868" t="str">
            <v>line item not tagged</v>
          </cell>
        </row>
        <row r="6869">
          <cell r="W6869">
            <v>0</v>
          </cell>
          <cell r="AB6869" t="str">
            <v>line item not tagged</v>
          </cell>
        </row>
        <row r="6870">
          <cell r="W6870">
            <v>0</v>
          </cell>
          <cell r="AB6870" t="str">
            <v>line item not tagged</v>
          </cell>
        </row>
        <row r="6871">
          <cell r="W6871">
            <v>0</v>
          </cell>
          <cell r="AB6871" t="str">
            <v>line item not tagged</v>
          </cell>
        </row>
        <row r="6872">
          <cell r="W6872">
            <v>0</v>
          </cell>
          <cell r="AB6872" t="str">
            <v>line item not tagged</v>
          </cell>
        </row>
        <row r="6873">
          <cell r="W6873">
            <v>0</v>
          </cell>
          <cell r="AB6873" t="str">
            <v>line item not tagged</v>
          </cell>
        </row>
        <row r="6874">
          <cell r="W6874">
            <v>0</v>
          </cell>
          <cell r="AB6874" t="str">
            <v>line item not tagged</v>
          </cell>
        </row>
        <row r="6875">
          <cell r="W6875">
            <v>0</v>
          </cell>
          <cell r="AB6875" t="str">
            <v>line item not tagged</v>
          </cell>
        </row>
        <row r="6876">
          <cell r="W6876">
            <v>0</v>
          </cell>
          <cell r="AB6876" t="str">
            <v>line item not tagged</v>
          </cell>
        </row>
        <row r="6877">
          <cell r="W6877">
            <v>0</v>
          </cell>
          <cell r="AB6877" t="str">
            <v>line item not tagged</v>
          </cell>
        </row>
        <row r="6878">
          <cell r="W6878">
            <v>0</v>
          </cell>
          <cell r="AB6878" t="str">
            <v>line item not tagged</v>
          </cell>
        </row>
        <row r="6879">
          <cell r="W6879">
            <v>0</v>
          </cell>
          <cell r="AB6879" t="str">
            <v>line item not tagged</v>
          </cell>
        </row>
        <row r="6880">
          <cell r="W6880">
            <v>0</v>
          </cell>
          <cell r="AB6880" t="str">
            <v>line item not tagged</v>
          </cell>
        </row>
        <row r="6881">
          <cell r="W6881">
            <v>0</v>
          </cell>
          <cell r="AB6881" t="str">
            <v>line item not tagged</v>
          </cell>
        </row>
        <row r="6882">
          <cell r="W6882">
            <v>0</v>
          </cell>
          <cell r="AB6882" t="str">
            <v>line item not tagged</v>
          </cell>
        </row>
        <row r="6883">
          <cell r="W6883">
            <v>0</v>
          </cell>
          <cell r="AB6883" t="str">
            <v>line item not tagged</v>
          </cell>
        </row>
        <row r="6884">
          <cell r="W6884">
            <v>0</v>
          </cell>
          <cell r="AB6884" t="str">
            <v>line item not tagged</v>
          </cell>
        </row>
        <row r="6885">
          <cell r="W6885">
            <v>0</v>
          </cell>
          <cell r="AB6885" t="str">
            <v>line item not tagged</v>
          </cell>
        </row>
        <row r="6886">
          <cell r="W6886">
            <v>0</v>
          </cell>
          <cell r="AB6886" t="str">
            <v>line item not tagged</v>
          </cell>
        </row>
        <row r="6887">
          <cell r="W6887">
            <v>0</v>
          </cell>
          <cell r="AB6887" t="str">
            <v>line item not tagged</v>
          </cell>
        </row>
        <row r="6888">
          <cell r="W6888">
            <v>0</v>
          </cell>
          <cell r="AB6888" t="str">
            <v>line item not tagged</v>
          </cell>
        </row>
        <row r="6889">
          <cell r="W6889">
            <v>0</v>
          </cell>
          <cell r="AB6889" t="str">
            <v>line item not tagged</v>
          </cell>
        </row>
        <row r="6890">
          <cell r="W6890">
            <v>0</v>
          </cell>
          <cell r="AB6890" t="str">
            <v>line item not tagged</v>
          </cell>
        </row>
        <row r="6891">
          <cell r="W6891">
            <v>0</v>
          </cell>
          <cell r="AB6891" t="str">
            <v>line item not tagged</v>
          </cell>
        </row>
        <row r="6892">
          <cell r="W6892">
            <v>0</v>
          </cell>
          <cell r="AB6892" t="str">
            <v>line item not tagged</v>
          </cell>
        </row>
        <row r="6893">
          <cell r="W6893">
            <v>0</v>
          </cell>
          <cell r="AB6893" t="str">
            <v>line item not tagged</v>
          </cell>
        </row>
        <row r="6894">
          <cell r="W6894">
            <v>0</v>
          </cell>
          <cell r="AB6894" t="str">
            <v>line item not tagged</v>
          </cell>
        </row>
        <row r="6895">
          <cell r="W6895">
            <v>0</v>
          </cell>
          <cell r="AB6895" t="str">
            <v>line item not tagged</v>
          </cell>
        </row>
        <row r="6896">
          <cell r="W6896">
            <v>0</v>
          </cell>
          <cell r="AB6896" t="str">
            <v>line item not tagged</v>
          </cell>
        </row>
        <row r="6897">
          <cell r="W6897">
            <v>0</v>
          </cell>
          <cell r="AB6897" t="str">
            <v>line item not tagged</v>
          </cell>
        </row>
        <row r="6898">
          <cell r="W6898">
            <v>0</v>
          </cell>
          <cell r="AB6898" t="str">
            <v>line item not tagged</v>
          </cell>
        </row>
        <row r="6899">
          <cell r="W6899">
            <v>0</v>
          </cell>
          <cell r="AB6899" t="str">
            <v>line item not tagged</v>
          </cell>
        </row>
        <row r="6900">
          <cell r="W6900">
            <v>0</v>
          </cell>
          <cell r="AB6900" t="str">
            <v>line item not tagged</v>
          </cell>
        </row>
        <row r="6901">
          <cell r="W6901">
            <v>0</v>
          </cell>
          <cell r="AB6901" t="str">
            <v>line item not tagged</v>
          </cell>
        </row>
        <row r="6902">
          <cell r="W6902">
            <v>0</v>
          </cell>
          <cell r="AB6902" t="str">
            <v>line item not tagged</v>
          </cell>
        </row>
        <row r="6903">
          <cell r="W6903">
            <v>0</v>
          </cell>
          <cell r="AB6903" t="str">
            <v>line item not tagged</v>
          </cell>
        </row>
        <row r="6904">
          <cell r="W6904">
            <v>0</v>
          </cell>
          <cell r="AB6904" t="str">
            <v>line item not tagged</v>
          </cell>
        </row>
        <row r="6905">
          <cell r="W6905">
            <v>0</v>
          </cell>
          <cell r="AB6905" t="str">
            <v>line item not tagged</v>
          </cell>
        </row>
        <row r="6906">
          <cell r="W6906">
            <v>0</v>
          </cell>
          <cell r="AB6906" t="str">
            <v>line item not tagged</v>
          </cell>
        </row>
        <row r="6907">
          <cell r="W6907">
            <v>0</v>
          </cell>
          <cell r="AB6907" t="str">
            <v>line item not tagged</v>
          </cell>
        </row>
        <row r="6908">
          <cell r="W6908">
            <v>0</v>
          </cell>
          <cell r="AB6908" t="str">
            <v>line item not tagged</v>
          </cell>
        </row>
        <row r="6909">
          <cell r="W6909">
            <v>0</v>
          </cell>
          <cell r="AB6909" t="str">
            <v>line item not tagged</v>
          </cell>
        </row>
        <row r="6910">
          <cell r="W6910">
            <v>0</v>
          </cell>
          <cell r="AB6910" t="str">
            <v>line item not tagged</v>
          </cell>
        </row>
        <row r="6911">
          <cell r="W6911">
            <v>0</v>
          </cell>
          <cell r="AB6911" t="str">
            <v>line item not tagged</v>
          </cell>
        </row>
        <row r="6912">
          <cell r="W6912">
            <v>0</v>
          </cell>
          <cell r="AB6912" t="str">
            <v>line item not tagged</v>
          </cell>
        </row>
        <row r="6913">
          <cell r="W6913">
            <v>0</v>
          </cell>
          <cell r="AB6913" t="str">
            <v>line item not tagged</v>
          </cell>
        </row>
        <row r="6914">
          <cell r="W6914">
            <v>0</v>
          </cell>
          <cell r="AB6914" t="str">
            <v>line item not tagged</v>
          </cell>
        </row>
        <row r="6915">
          <cell r="W6915">
            <v>0</v>
          </cell>
          <cell r="AB6915" t="str">
            <v>line item not tagged</v>
          </cell>
        </row>
        <row r="6916">
          <cell r="W6916">
            <v>0</v>
          </cell>
          <cell r="AB6916" t="str">
            <v>line item not tagged</v>
          </cell>
        </row>
        <row r="6917">
          <cell r="W6917">
            <v>0</v>
          </cell>
          <cell r="AB6917" t="str">
            <v>line item not tagged</v>
          </cell>
        </row>
        <row r="6918">
          <cell r="W6918">
            <v>0</v>
          </cell>
          <cell r="AB6918" t="str">
            <v>line item not tagged</v>
          </cell>
        </row>
        <row r="6919">
          <cell r="W6919">
            <v>0</v>
          </cell>
          <cell r="AB6919" t="str">
            <v>line item not tagged</v>
          </cell>
        </row>
        <row r="6920">
          <cell r="W6920">
            <v>0</v>
          </cell>
          <cell r="AB6920" t="str">
            <v>line item not tagged</v>
          </cell>
        </row>
        <row r="6921">
          <cell r="W6921">
            <v>0</v>
          </cell>
          <cell r="AB6921" t="str">
            <v>line item not tagged</v>
          </cell>
        </row>
        <row r="6922">
          <cell r="W6922">
            <v>0</v>
          </cell>
          <cell r="AB6922" t="str">
            <v>line item not tagged</v>
          </cell>
        </row>
        <row r="6923">
          <cell r="W6923">
            <v>0</v>
          </cell>
          <cell r="AB6923" t="str">
            <v>line item not tagged</v>
          </cell>
        </row>
        <row r="6924">
          <cell r="W6924">
            <v>0</v>
          </cell>
          <cell r="AB6924" t="str">
            <v>line item not tagged</v>
          </cell>
        </row>
        <row r="6925">
          <cell r="W6925">
            <v>0</v>
          </cell>
          <cell r="AB6925" t="str">
            <v>line item not tagged</v>
          </cell>
        </row>
        <row r="6926">
          <cell r="W6926">
            <v>0</v>
          </cell>
          <cell r="AB6926" t="str">
            <v>line item not tagged</v>
          </cell>
        </row>
        <row r="6927">
          <cell r="W6927">
            <v>0</v>
          </cell>
          <cell r="AB6927" t="str">
            <v>line item not tagged</v>
          </cell>
        </row>
        <row r="6928">
          <cell r="W6928">
            <v>0</v>
          </cell>
          <cell r="AB6928" t="str">
            <v>line item not tagged</v>
          </cell>
        </row>
        <row r="6929">
          <cell r="W6929">
            <v>0</v>
          </cell>
          <cell r="AB6929" t="str">
            <v>line item not tagged</v>
          </cell>
        </row>
        <row r="6930">
          <cell r="W6930">
            <v>0</v>
          </cell>
          <cell r="AB6930" t="str">
            <v>line item not tagged</v>
          </cell>
        </row>
        <row r="6931">
          <cell r="W6931">
            <v>0</v>
          </cell>
          <cell r="AB6931" t="str">
            <v>line item not tagged</v>
          </cell>
        </row>
        <row r="6932">
          <cell r="W6932">
            <v>0</v>
          </cell>
          <cell r="AB6932" t="str">
            <v>line item not tagged</v>
          </cell>
        </row>
        <row r="6933">
          <cell r="W6933">
            <v>0</v>
          </cell>
          <cell r="AB6933" t="str">
            <v>line item not tagged</v>
          </cell>
        </row>
        <row r="6934">
          <cell r="W6934">
            <v>0</v>
          </cell>
          <cell r="AB6934" t="str">
            <v>line item not tagged</v>
          </cell>
        </row>
        <row r="6935">
          <cell r="W6935">
            <v>0</v>
          </cell>
          <cell r="AB6935" t="str">
            <v>line item not tagged</v>
          </cell>
        </row>
        <row r="6936">
          <cell r="W6936">
            <v>0</v>
          </cell>
          <cell r="AB6936" t="str">
            <v>line item not tagged</v>
          </cell>
        </row>
        <row r="6937">
          <cell r="W6937">
            <v>0</v>
          </cell>
          <cell r="AB6937" t="str">
            <v>line item not tagged</v>
          </cell>
        </row>
        <row r="6938">
          <cell r="W6938">
            <v>0</v>
          </cell>
          <cell r="AB6938" t="str">
            <v>line item not tagged</v>
          </cell>
        </row>
        <row r="6939">
          <cell r="W6939">
            <v>0</v>
          </cell>
          <cell r="AB6939" t="str">
            <v>line item not tagged</v>
          </cell>
        </row>
        <row r="6940">
          <cell r="W6940">
            <v>0</v>
          </cell>
          <cell r="AB6940" t="str">
            <v>line item not tagged</v>
          </cell>
        </row>
        <row r="6941">
          <cell r="W6941">
            <v>0</v>
          </cell>
          <cell r="AB6941" t="str">
            <v>line item not tagged</v>
          </cell>
        </row>
        <row r="6942">
          <cell r="W6942">
            <v>0</v>
          </cell>
          <cell r="AB6942" t="str">
            <v>line item not tagged</v>
          </cell>
        </row>
        <row r="6943">
          <cell r="W6943">
            <v>0</v>
          </cell>
          <cell r="AB6943" t="str">
            <v>line item not tagged</v>
          </cell>
        </row>
        <row r="6944">
          <cell r="W6944">
            <v>0</v>
          </cell>
          <cell r="AB6944" t="str">
            <v>line item not tagged</v>
          </cell>
        </row>
        <row r="6945">
          <cell r="W6945">
            <v>0</v>
          </cell>
          <cell r="AB6945" t="str">
            <v>line item not tagged</v>
          </cell>
        </row>
        <row r="6946">
          <cell r="W6946">
            <v>0</v>
          </cell>
          <cell r="AB6946" t="str">
            <v>line item not tagged</v>
          </cell>
        </row>
        <row r="6947">
          <cell r="W6947">
            <v>0</v>
          </cell>
          <cell r="AB6947" t="str">
            <v>line item not tagged</v>
          </cell>
        </row>
        <row r="6948">
          <cell r="W6948">
            <v>0</v>
          </cell>
          <cell r="AB6948" t="str">
            <v>line item not tagged</v>
          </cell>
        </row>
        <row r="6949">
          <cell r="W6949">
            <v>0</v>
          </cell>
          <cell r="AB6949" t="str">
            <v>line item not tagged</v>
          </cell>
        </row>
        <row r="6950">
          <cell r="W6950">
            <v>0</v>
          </cell>
          <cell r="AB6950" t="str">
            <v>line item not tagged</v>
          </cell>
        </row>
        <row r="6951">
          <cell r="W6951">
            <v>0</v>
          </cell>
          <cell r="AB6951" t="str">
            <v>line item not tagged</v>
          </cell>
        </row>
        <row r="6952">
          <cell r="W6952">
            <v>0</v>
          </cell>
          <cell r="AB6952" t="str">
            <v>line item not tagged</v>
          </cell>
        </row>
        <row r="6953">
          <cell r="W6953">
            <v>0</v>
          </cell>
          <cell r="AB6953" t="str">
            <v>line item not tagged</v>
          </cell>
        </row>
        <row r="6954">
          <cell r="W6954">
            <v>0</v>
          </cell>
          <cell r="AB6954" t="str">
            <v>line item not tagged</v>
          </cell>
        </row>
        <row r="6955">
          <cell r="W6955">
            <v>0</v>
          </cell>
          <cell r="AB6955" t="str">
            <v>line item not tagged</v>
          </cell>
        </row>
        <row r="6956">
          <cell r="W6956">
            <v>0</v>
          </cell>
          <cell r="AB6956" t="str">
            <v>line item not tagged</v>
          </cell>
        </row>
        <row r="6957">
          <cell r="W6957">
            <v>0</v>
          </cell>
          <cell r="AB6957" t="str">
            <v>line item not tagged</v>
          </cell>
        </row>
        <row r="6958">
          <cell r="W6958">
            <v>0</v>
          </cell>
          <cell r="AB6958" t="str">
            <v>line item not tagged</v>
          </cell>
        </row>
        <row r="6959">
          <cell r="W6959">
            <v>0</v>
          </cell>
          <cell r="AB6959" t="str">
            <v>line item not tagged</v>
          </cell>
        </row>
        <row r="6960">
          <cell r="W6960">
            <v>0</v>
          </cell>
          <cell r="AB6960" t="str">
            <v>line item not tagged</v>
          </cell>
        </row>
        <row r="6961">
          <cell r="W6961">
            <v>0</v>
          </cell>
          <cell r="AB6961" t="str">
            <v>line item not tagged</v>
          </cell>
        </row>
        <row r="6962">
          <cell r="W6962">
            <v>0</v>
          </cell>
          <cell r="AB6962" t="str">
            <v>line item not tagged</v>
          </cell>
        </row>
        <row r="6963">
          <cell r="W6963">
            <v>0</v>
          </cell>
          <cell r="AB6963" t="str">
            <v>line item not tagged</v>
          </cell>
        </row>
        <row r="6964">
          <cell r="W6964">
            <v>0</v>
          </cell>
          <cell r="AB6964" t="str">
            <v>line item not tagged</v>
          </cell>
        </row>
        <row r="6965">
          <cell r="W6965">
            <v>0</v>
          </cell>
          <cell r="AB6965" t="str">
            <v>line item not tagged</v>
          </cell>
        </row>
        <row r="6966">
          <cell r="W6966">
            <v>0</v>
          </cell>
          <cell r="AB6966" t="str">
            <v>line item not tagged</v>
          </cell>
        </row>
        <row r="6967">
          <cell r="W6967">
            <v>0</v>
          </cell>
          <cell r="AB6967" t="str">
            <v>line item not tagged</v>
          </cell>
        </row>
        <row r="6968">
          <cell r="W6968">
            <v>0</v>
          </cell>
          <cell r="AB6968" t="str">
            <v>line item not tagged</v>
          </cell>
        </row>
        <row r="6969">
          <cell r="W6969">
            <v>0</v>
          </cell>
          <cell r="AB6969" t="str">
            <v>line item not tagged</v>
          </cell>
        </row>
        <row r="6970">
          <cell r="W6970">
            <v>0</v>
          </cell>
          <cell r="AB6970" t="str">
            <v>line item not tagged</v>
          </cell>
        </row>
        <row r="6971">
          <cell r="W6971">
            <v>0</v>
          </cell>
          <cell r="AB6971" t="str">
            <v>line item not tagged</v>
          </cell>
        </row>
        <row r="6972">
          <cell r="W6972">
            <v>0</v>
          </cell>
          <cell r="AB6972" t="str">
            <v>line item not tagged</v>
          </cell>
        </row>
        <row r="6973">
          <cell r="W6973">
            <v>0</v>
          </cell>
          <cell r="AB6973" t="str">
            <v>line item not tagged</v>
          </cell>
        </row>
        <row r="6974">
          <cell r="W6974">
            <v>0</v>
          </cell>
          <cell r="AB6974" t="str">
            <v>line item not tagged</v>
          </cell>
        </row>
        <row r="6975">
          <cell r="W6975">
            <v>0</v>
          </cell>
          <cell r="AB6975" t="str">
            <v>line item not tagged</v>
          </cell>
        </row>
        <row r="6976">
          <cell r="W6976">
            <v>0</v>
          </cell>
          <cell r="AB6976" t="str">
            <v>line item not tagged</v>
          </cell>
        </row>
        <row r="6977">
          <cell r="W6977">
            <v>0</v>
          </cell>
          <cell r="AB6977" t="str">
            <v>line item not tagged</v>
          </cell>
        </row>
        <row r="6978">
          <cell r="W6978">
            <v>0</v>
          </cell>
          <cell r="AB6978" t="str">
            <v>line item not tagged</v>
          </cell>
        </row>
        <row r="6979">
          <cell r="W6979">
            <v>0</v>
          </cell>
          <cell r="AB6979" t="str">
            <v>line item not tagged</v>
          </cell>
        </row>
        <row r="6980">
          <cell r="W6980">
            <v>0</v>
          </cell>
          <cell r="AB6980" t="str">
            <v>line item not tagged</v>
          </cell>
        </row>
        <row r="6981">
          <cell r="W6981">
            <v>0</v>
          </cell>
          <cell r="AB6981" t="str">
            <v>line item not tagged</v>
          </cell>
        </row>
        <row r="6982">
          <cell r="W6982">
            <v>0</v>
          </cell>
          <cell r="AB6982" t="str">
            <v>line item not tagged</v>
          </cell>
        </row>
        <row r="6983">
          <cell r="W6983">
            <v>0</v>
          </cell>
          <cell r="AB6983" t="str">
            <v>line item not tagged</v>
          </cell>
        </row>
        <row r="6984">
          <cell r="W6984">
            <v>0</v>
          </cell>
          <cell r="AB6984" t="str">
            <v>line item not tagged</v>
          </cell>
        </row>
        <row r="6985">
          <cell r="W6985">
            <v>0</v>
          </cell>
          <cell r="AB6985" t="str">
            <v>line item not tagged</v>
          </cell>
        </row>
        <row r="6986">
          <cell r="W6986">
            <v>0</v>
          </cell>
          <cell r="AB6986" t="str">
            <v>line item not tagged</v>
          </cell>
        </row>
        <row r="6987">
          <cell r="W6987">
            <v>0</v>
          </cell>
          <cell r="AB6987" t="str">
            <v>line item not tagged</v>
          </cell>
        </row>
        <row r="6988">
          <cell r="W6988">
            <v>0</v>
          </cell>
          <cell r="AB6988" t="str">
            <v>line item not tagged</v>
          </cell>
        </row>
        <row r="6989">
          <cell r="W6989">
            <v>0</v>
          </cell>
          <cell r="AB6989" t="str">
            <v>line item not tagged</v>
          </cell>
        </row>
        <row r="6990">
          <cell r="W6990">
            <v>0</v>
          </cell>
          <cell r="AB6990" t="str">
            <v>line item not tagged</v>
          </cell>
        </row>
        <row r="6991">
          <cell r="W6991">
            <v>0</v>
          </cell>
          <cell r="AB6991" t="str">
            <v>line item not tagged</v>
          </cell>
        </row>
        <row r="6992">
          <cell r="W6992">
            <v>0</v>
          </cell>
          <cell r="AB6992" t="str">
            <v>line item not tagged</v>
          </cell>
        </row>
        <row r="6993">
          <cell r="W6993">
            <v>0</v>
          </cell>
          <cell r="AB6993" t="str">
            <v>line item not tagged</v>
          </cell>
        </row>
        <row r="6994">
          <cell r="W6994">
            <v>0</v>
          </cell>
          <cell r="AB6994" t="str">
            <v>line item not tagged</v>
          </cell>
        </row>
        <row r="6995">
          <cell r="W6995">
            <v>0</v>
          </cell>
          <cell r="AB6995" t="str">
            <v>line item not tagged</v>
          </cell>
        </row>
        <row r="6996">
          <cell r="W6996">
            <v>0</v>
          </cell>
          <cell r="AB6996" t="str">
            <v>line item not tagged</v>
          </cell>
        </row>
        <row r="6997">
          <cell r="W6997">
            <v>0</v>
          </cell>
          <cell r="AB6997" t="str">
            <v>line item not tagged</v>
          </cell>
        </row>
        <row r="6998">
          <cell r="W6998">
            <v>0</v>
          </cell>
          <cell r="AB6998" t="str">
            <v>line item not tagged</v>
          </cell>
        </row>
        <row r="6999">
          <cell r="W6999">
            <v>0</v>
          </cell>
          <cell r="AB6999" t="str">
            <v>line item not tagged</v>
          </cell>
        </row>
        <row r="7000">
          <cell r="W7000">
            <v>0</v>
          </cell>
          <cell r="AB7000" t="str">
            <v>line item not tagged</v>
          </cell>
        </row>
        <row r="7001">
          <cell r="W7001">
            <v>0</v>
          </cell>
          <cell r="AB7001" t="str">
            <v>line item not tagged</v>
          </cell>
        </row>
        <row r="7002">
          <cell r="W7002">
            <v>0</v>
          </cell>
          <cell r="AB7002" t="str">
            <v>line item not tagged</v>
          </cell>
        </row>
        <row r="7003">
          <cell r="W7003">
            <v>0</v>
          </cell>
          <cell r="AB7003" t="str">
            <v>line item not tagged</v>
          </cell>
        </row>
        <row r="7004">
          <cell r="W7004">
            <v>0</v>
          </cell>
          <cell r="AB7004" t="str">
            <v>line item not tagged</v>
          </cell>
        </row>
        <row r="7005">
          <cell r="W7005">
            <v>0</v>
          </cell>
          <cell r="AB7005" t="str">
            <v>line item not tagged</v>
          </cell>
        </row>
        <row r="7006">
          <cell r="W7006">
            <v>0</v>
          </cell>
          <cell r="AB7006" t="str">
            <v>line item not tagged</v>
          </cell>
        </row>
        <row r="7007">
          <cell r="W7007">
            <v>0</v>
          </cell>
          <cell r="AB7007" t="str">
            <v>line item not tagged</v>
          </cell>
        </row>
        <row r="7008">
          <cell r="W7008">
            <v>0</v>
          </cell>
          <cell r="AB7008" t="str">
            <v>line item not tagged</v>
          </cell>
        </row>
        <row r="7009">
          <cell r="W7009">
            <v>0</v>
          </cell>
          <cell r="AB7009" t="str">
            <v>line item not tagged</v>
          </cell>
        </row>
        <row r="7010">
          <cell r="W7010">
            <v>0</v>
          </cell>
          <cell r="AB7010" t="str">
            <v>line item not tagged</v>
          </cell>
        </row>
        <row r="7011">
          <cell r="W7011">
            <v>0</v>
          </cell>
          <cell r="AB7011" t="str">
            <v>line item not tagged</v>
          </cell>
        </row>
        <row r="7012">
          <cell r="W7012">
            <v>0</v>
          </cell>
          <cell r="AB7012" t="str">
            <v>line item not tagged</v>
          </cell>
        </row>
        <row r="7013">
          <cell r="W7013">
            <v>0</v>
          </cell>
          <cell r="AB7013" t="str">
            <v>line item not tagged</v>
          </cell>
        </row>
        <row r="7014">
          <cell r="W7014">
            <v>0</v>
          </cell>
          <cell r="AB7014" t="str">
            <v>line item not tagged</v>
          </cell>
        </row>
        <row r="7015">
          <cell r="W7015">
            <v>0</v>
          </cell>
          <cell r="AB7015" t="str">
            <v>line item not tagged</v>
          </cell>
        </row>
        <row r="7016">
          <cell r="W7016">
            <v>0</v>
          </cell>
          <cell r="AB7016" t="str">
            <v>line item not tagged</v>
          </cell>
        </row>
        <row r="7017">
          <cell r="W7017">
            <v>0</v>
          </cell>
          <cell r="AB7017" t="str">
            <v>line item not tagged</v>
          </cell>
        </row>
        <row r="7018">
          <cell r="W7018">
            <v>0</v>
          </cell>
          <cell r="AB7018" t="str">
            <v>line item not tagged</v>
          </cell>
        </row>
        <row r="7019">
          <cell r="W7019">
            <v>0</v>
          </cell>
          <cell r="AB7019" t="str">
            <v>line item not tagged</v>
          </cell>
        </row>
        <row r="7020">
          <cell r="W7020">
            <v>0</v>
          </cell>
          <cell r="AB7020" t="str">
            <v>line item not tagged</v>
          </cell>
        </row>
        <row r="7021">
          <cell r="W7021">
            <v>0</v>
          </cell>
          <cell r="AB7021" t="str">
            <v>line item not tagged</v>
          </cell>
        </row>
        <row r="7022">
          <cell r="W7022">
            <v>0</v>
          </cell>
          <cell r="AB7022" t="str">
            <v>line item not tagged</v>
          </cell>
        </row>
        <row r="7023">
          <cell r="W7023">
            <v>0</v>
          </cell>
          <cell r="AB7023" t="str">
            <v>line item not tagged</v>
          </cell>
        </row>
        <row r="7024">
          <cell r="W7024">
            <v>0</v>
          </cell>
          <cell r="AB7024" t="str">
            <v>line item not tagged</v>
          </cell>
        </row>
        <row r="7025">
          <cell r="W7025">
            <v>0</v>
          </cell>
          <cell r="AB7025" t="str">
            <v>line item not tagged</v>
          </cell>
        </row>
        <row r="7026">
          <cell r="W7026">
            <v>0</v>
          </cell>
          <cell r="AB7026" t="str">
            <v>line item not tagged</v>
          </cell>
        </row>
        <row r="7027">
          <cell r="W7027">
            <v>0</v>
          </cell>
          <cell r="AB7027" t="str">
            <v>line item not tagged</v>
          </cell>
        </row>
        <row r="7028">
          <cell r="W7028">
            <v>0</v>
          </cell>
          <cell r="AB7028" t="str">
            <v>line item not tagged</v>
          </cell>
        </row>
        <row r="7029">
          <cell r="W7029">
            <v>0</v>
          </cell>
          <cell r="AB7029" t="str">
            <v>line item not tagged</v>
          </cell>
        </row>
        <row r="7030">
          <cell r="W7030">
            <v>0</v>
          </cell>
          <cell r="AB7030" t="str">
            <v>line item not tagged</v>
          </cell>
        </row>
        <row r="7031">
          <cell r="W7031">
            <v>0</v>
          </cell>
          <cell r="AB7031" t="str">
            <v>line item not tagged</v>
          </cell>
        </row>
        <row r="7032">
          <cell r="W7032">
            <v>0</v>
          </cell>
          <cell r="AB7032" t="str">
            <v>line item not tagged</v>
          </cell>
        </row>
        <row r="7033">
          <cell r="W7033">
            <v>0</v>
          </cell>
          <cell r="AB7033" t="str">
            <v>line item not tagged</v>
          </cell>
        </row>
        <row r="7034">
          <cell r="W7034">
            <v>0</v>
          </cell>
          <cell r="AB7034" t="str">
            <v>line item not tagged</v>
          </cell>
        </row>
        <row r="7035">
          <cell r="W7035">
            <v>0</v>
          </cell>
          <cell r="AB7035" t="str">
            <v>line item not tagged</v>
          </cell>
        </row>
        <row r="7036">
          <cell r="W7036">
            <v>0</v>
          </cell>
          <cell r="AB7036" t="str">
            <v>line item not tagged</v>
          </cell>
        </row>
        <row r="7037">
          <cell r="W7037">
            <v>0</v>
          </cell>
          <cell r="AB7037" t="str">
            <v>line item not tagged</v>
          </cell>
        </row>
        <row r="7038">
          <cell r="W7038">
            <v>0</v>
          </cell>
          <cell r="AB7038" t="str">
            <v>line item not tagged</v>
          </cell>
        </row>
        <row r="7039">
          <cell r="W7039">
            <v>0</v>
          </cell>
          <cell r="AB7039" t="str">
            <v>line item not tagged</v>
          </cell>
        </row>
        <row r="7040">
          <cell r="W7040">
            <v>0</v>
          </cell>
          <cell r="AB7040" t="str">
            <v>line item not tagged</v>
          </cell>
        </row>
        <row r="7041">
          <cell r="W7041">
            <v>0</v>
          </cell>
          <cell r="AB7041" t="str">
            <v>line item not tagged</v>
          </cell>
        </row>
        <row r="7042">
          <cell r="W7042">
            <v>0</v>
          </cell>
          <cell r="AB7042" t="str">
            <v>line item not tagged</v>
          </cell>
        </row>
        <row r="7043">
          <cell r="W7043">
            <v>0</v>
          </cell>
          <cell r="AB7043" t="str">
            <v>line item not tagged</v>
          </cell>
        </row>
        <row r="7044">
          <cell r="W7044">
            <v>0</v>
          </cell>
          <cell r="AB7044" t="str">
            <v>line item not tagged</v>
          </cell>
        </row>
        <row r="7045">
          <cell r="W7045">
            <v>0</v>
          </cell>
          <cell r="AB7045" t="str">
            <v>line item not tagged</v>
          </cell>
        </row>
        <row r="7046">
          <cell r="W7046">
            <v>0</v>
          </cell>
          <cell r="AB7046" t="str">
            <v>line item not tagged</v>
          </cell>
        </row>
        <row r="7047">
          <cell r="W7047">
            <v>0</v>
          </cell>
          <cell r="AB7047" t="str">
            <v>line item not tagged</v>
          </cell>
        </row>
        <row r="7048">
          <cell r="W7048">
            <v>0</v>
          </cell>
          <cell r="AB7048" t="str">
            <v>line item not tagged</v>
          </cell>
        </row>
        <row r="7049">
          <cell r="W7049">
            <v>0</v>
          </cell>
          <cell r="AB7049" t="str">
            <v>line item not tagged</v>
          </cell>
        </row>
        <row r="7050">
          <cell r="W7050">
            <v>0</v>
          </cell>
          <cell r="AB7050" t="str">
            <v>line item not tagged</v>
          </cell>
        </row>
        <row r="7051">
          <cell r="W7051">
            <v>0</v>
          </cell>
          <cell r="AB7051" t="str">
            <v>line item not tagged</v>
          </cell>
        </row>
        <row r="7052">
          <cell r="W7052">
            <v>0</v>
          </cell>
          <cell r="AB7052" t="str">
            <v>line item not tagged</v>
          </cell>
        </row>
        <row r="7053">
          <cell r="W7053">
            <v>0</v>
          </cell>
          <cell r="AB7053" t="str">
            <v>line item not tagged</v>
          </cell>
        </row>
        <row r="7054">
          <cell r="W7054">
            <v>0</v>
          </cell>
          <cell r="AB7054" t="str">
            <v>line item not tagged</v>
          </cell>
        </row>
        <row r="7055">
          <cell r="W7055">
            <v>0</v>
          </cell>
          <cell r="AB7055" t="str">
            <v>line item not tagged</v>
          </cell>
        </row>
        <row r="7056">
          <cell r="W7056">
            <v>0</v>
          </cell>
          <cell r="AB7056" t="str">
            <v>line item not tagged</v>
          </cell>
        </row>
        <row r="7057">
          <cell r="W7057">
            <v>0</v>
          </cell>
          <cell r="AB7057" t="str">
            <v>line item not tagged</v>
          </cell>
        </row>
        <row r="7058">
          <cell r="W7058">
            <v>0</v>
          </cell>
          <cell r="AB7058" t="str">
            <v>line item not tagged</v>
          </cell>
        </row>
        <row r="7059">
          <cell r="W7059">
            <v>0</v>
          </cell>
          <cell r="AB7059" t="str">
            <v>line item not tagged</v>
          </cell>
        </row>
        <row r="7060">
          <cell r="W7060">
            <v>0</v>
          </cell>
          <cell r="AB7060" t="str">
            <v>line item not tagged</v>
          </cell>
        </row>
        <row r="7061">
          <cell r="W7061">
            <v>0</v>
          </cell>
          <cell r="AB7061" t="str">
            <v>line item not tagged</v>
          </cell>
        </row>
        <row r="7062">
          <cell r="W7062">
            <v>0</v>
          </cell>
          <cell r="AB7062" t="str">
            <v>line item not tagged</v>
          </cell>
        </row>
        <row r="7063">
          <cell r="W7063">
            <v>0</v>
          </cell>
          <cell r="AB7063" t="str">
            <v>line item not tagged</v>
          </cell>
        </row>
        <row r="7064">
          <cell r="W7064">
            <v>0</v>
          </cell>
          <cell r="AB7064" t="str">
            <v>line item not tagged</v>
          </cell>
        </row>
        <row r="7065">
          <cell r="W7065">
            <v>0</v>
          </cell>
          <cell r="AB7065" t="str">
            <v>line item not tagged</v>
          </cell>
        </row>
        <row r="7066">
          <cell r="W7066">
            <v>0</v>
          </cell>
          <cell r="AB7066" t="str">
            <v>line item not tagged</v>
          </cell>
        </row>
        <row r="7067">
          <cell r="W7067">
            <v>0</v>
          </cell>
          <cell r="AB7067" t="str">
            <v>line item not tagged</v>
          </cell>
        </row>
        <row r="7068">
          <cell r="W7068">
            <v>0</v>
          </cell>
          <cell r="AB7068" t="str">
            <v>line item not tagged</v>
          </cell>
        </row>
        <row r="7069">
          <cell r="W7069">
            <v>0</v>
          </cell>
          <cell r="AB7069" t="str">
            <v>line item not tagged</v>
          </cell>
        </row>
        <row r="7070">
          <cell r="W7070">
            <v>0</v>
          </cell>
          <cell r="AB7070" t="str">
            <v>line item not tagged</v>
          </cell>
        </row>
        <row r="7071">
          <cell r="W7071">
            <v>0</v>
          </cell>
          <cell r="AB7071" t="str">
            <v>line item not tagged</v>
          </cell>
        </row>
        <row r="7072">
          <cell r="W7072">
            <v>0</v>
          </cell>
          <cell r="AB7072" t="str">
            <v>line item not tagged</v>
          </cell>
        </row>
        <row r="7073">
          <cell r="W7073">
            <v>0</v>
          </cell>
          <cell r="AB7073" t="str">
            <v>line item not tagged</v>
          </cell>
        </row>
        <row r="7074">
          <cell r="W7074">
            <v>0</v>
          </cell>
          <cell r="AB7074" t="str">
            <v>line item not tagged</v>
          </cell>
        </row>
        <row r="7075">
          <cell r="W7075">
            <v>0</v>
          </cell>
          <cell r="AB7075" t="str">
            <v>line item not tagged</v>
          </cell>
        </row>
        <row r="7076">
          <cell r="W7076">
            <v>0</v>
          </cell>
          <cell r="AB7076" t="str">
            <v>line item not tagged</v>
          </cell>
        </row>
        <row r="7077">
          <cell r="W7077">
            <v>0</v>
          </cell>
          <cell r="AB7077" t="str">
            <v>line item not tagged</v>
          </cell>
        </row>
        <row r="7078">
          <cell r="W7078">
            <v>0</v>
          </cell>
          <cell r="AB7078" t="str">
            <v>line item not tagged</v>
          </cell>
        </row>
        <row r="7079">
          <cell r="W7079">
            <v>0</v>
          </cell>
          <cell r="AB7079" t="str">
            <v>line item not tagged</v>
          </cell>
        </row>
        <row r="7080">
          <cell r="W7080">
            <v>0</v>
          </cell>
          <cell r="AB7080" t="str">
            <v>line item not tagged</v>
          </cell>
        </row>
        <row r="7081">
          <cell r="W7081">
            <v>0</v>
          </cell>
          <cell r="AB7081" t="str">
            <v>line item not tagged</v>
          </cell>
        </row>
        <row r="7082">
          <cell r="W7082">
            <v>0</v>
          </cell>
          <cell r="AB7082" t="str">
            <v>line item not tagged</v>
          </cell>
        </row>
        <row r="7083">
          <cell r="W7083">
            <v>0</v>
          </cell>
          <cell r="AB7083" t="str">
            <v>line item not tagged</v>
          </cell>
        </row>
        <row r="7084">
          <cell r="W7084">
            <v>0</v>
          </cell>
          <cell r="AB7084" t="str">
            <v>line item not tagged</v>
          </cell>
        </row>
        <row r="7085">
          <cell r="W7085">
            <v>0</v>
          </cell>
          <cell r="AB7085" t="str">
            <v>line item not tagged</v>
          </cell>
        </row>
        <row r="7086">
          <cell r="W7086">
            <v>0</v>
          </cell>
          <cell r="AB7086" t="str">
            <v>line item not tagged</v>
          </cell>
        </row>
        <row r="7087">
          <cell r="W7087">
            <v>0</v>
          </cell>
          <cell r="AB7087" t="str">
            <v>line item not tagged</v>
          </cell>
        </row>
        <row r="7088">
          <cell r="W7088">
            <v>0</v>
          </cell>
          <cell r="AB7088" t="str">
            <v>line item not tagged</v>
          </cell>
        </row>
        <row r="7089">
          <cell r="W7089">
            <v>0</v>
          </cell>
          <cell r="AB7089" t="str">
            <v>line item not tagged</v>
          </cell>
        </row>
        <row r="7090">
          <cell r="W7090">
            <v>0</v>
          </cell>
          <cell r="AB7090" t="str">
            <v>line item not tagged</v>
          </cell>
        </row>
        <row r="7091">
          <cell r="W7091">
            <v>0</v>
          </cell>
          <cell r="AB7091" t="str">
            <v>line item not tagged</v>
          </cell>
        </row>
        <row r="7092">
          <cell r="W7092">
            <v>0</v>
          </cell>
          <cell r="AB7092" t="str">
            <v>line item not tagged</v>
          </cell>
        </row>
        <row r="7093">
          <cell r="W7093">
            <v>0</v>
          </cell>
          <cell r="AB7093" t="str">
            <v>line item not tagged</v>
          </cell>
        </row>
        <row r="7094">
          <cell r="W7094">
            <v>0</v>
          </cell>
          <cell r="AB7094" t="str">
            <v>line item not tagged</v>
          </cell>
        </row>
        <row r="7095">
          <cell r="W7095">
            <v>0</v>
          </cell>
          <cell r="AB7095" t="str">
            <v>line item not tagged</v>
          </cell>
        </row>
        <row r="7096">
          <cell r="W7096">
            <v>0</v>
          </cell>
          <cell r="AB7096" t="str">
            <v>line item not tagged</v>
          </cell>
        </row>
        <row r="7097">
          <cell r="W7097">
            <v>0</v>
          </cell>
          <cell r="AB7097" t="str">
            <v>line item not tagged</v>
          </cell>
        </row>
        <row r="7098">
          <cell r="W7098">
            <v>0</v>
          </cell>
          <cell r="AB7098" t="str">
            <v>line item not tagged</v>
          </cell>
        </row>
        <row r="7099">
          <cell r="W7099">
            <v>0</v>
          </cell>
          <cell r="AB7099" t="str">
            <v>line item not tagged</v>
          </cell>
        </row>
        <row r="7100">
          <cell r="W7100">
            <v>0</v>
          </cell>
          <cell r="AB7100" t="str">
            <v>line item not tagged</v>
          </cell>
        </row>
        <row r="7101">
          <cell r="W7101">
            <v>0</v>
          </cell>
          <cell r="AB7101" t="str">
            <v>line item not tagged</v>
          </cell>
        </row>
        <row r="7102">
          <cell r="W7102">
            <v>0</v>
          </cell>
          <cell r="AB7102" t="str">
            <v>line item not tagged</v>
          </cell>
        </row>
        <row r="7103">
          <cell r="W7103">
            <v>0</v>
          </cell>
          <cell r="AB7103" t="str">
            <v>line item not tagged</v>
          </cell>
        </row>
        <row r="7104">
          <cell r="W7104">
            <v>0</v>
          </cell>
          <cell r="AB7104" t="str">
            <v>line item not tagged</v>
          </cell>
        </row>
        <row r="7105">
          <cell r="W7105">
            <v>0</v>
          </cell>
          <cell r="AB7105" t="str">
            <v>line item not tagged</v>
          </cell>
        </row>
        <row r="7106">
          <cell r="W7106">
            <v>0</v>
          </cell>
          <cell r="AB7106" t="str">
            <v>line item not tagged</v>
          </cell>
        </row>
        <row r="7107">
          <cell r="W7107">
            <v>0</v>
          </cell>
          <cell r="AB7107" t="str">
            <v>line item not tagged</v>
          </cell>
        </row>
        <row r="7108">
          <cell r="W7108">
            <v>0</v>
          </cell>
          <cell r="AB7108" t="str">
            <v>line item not tagged</v>
          </cell>
        </row>
        <row r="7109">
          <cell r="W7109">
            <v>0</v>
          </cell>
          <cell r="AB7109" t="str">
            <v>line item not tagged</v>
          </cell>
        </row>
        <row r="7110">
          <cell r="W7110">
            <v>0</v>
          </cell>
          <cell r="AB7110" t="str">
            <v>line item not tagged</v>
          </cell>
        </row>
        <row r="7111">
          <cell r="W7111">
            <v>0</v>
          </cell>
          <cell r="AB7111" t="str">
            <v>line item not tagged</v>
          </cell>
        </row>
        <row r="7112">
          <cell r="W7112">
            <v>0</v>
          </cell>
          <cell r="AB7112" t="str">
            <v>line item not tagged</v>
          </cell>
        </row>
        <row r="7113">
          <cell r="W7113">
            <v>0</v>
          </cell>
          <cell r="AB7113" t="str">
            <v>line item not tagged</v>
          </cell>
        </row>
        <row r="7114">
          <cell r="W7114">
            <v>0</v>
          </cell>
          <cell r="AB7114" t="str">
            <v>line item not tagged</v>
          </cell>
        </row>
        <row r="7115">
          <cell r="W7115">
            <v>0</v>
          </cell>
          <cell r="AB7115" t="str">
            <v>line item not tagged</v>
          </cell>
        </row>
        <row r="7116">
          <cell r="W7116">
            <v>0</v>
          </cell>
          <cell r="AB7116" t="str">
            <v>line item not tagged</v>
          </cell>
        </row>
        <row r="7117">
          <cell r="W7117">
            <v>0</v>
          </cell>
          <cell r="AB7117" t="str">
            <v>line item not tagged</v>
          </cell>
        </row>
        <row r="7118">
          <cell r="W7118">
            <v>0</v>
          </cell>
          <cell r="AB7118" t="str">
            <v>line item not tagged</v>
          </cell>
        </row>
        <row r="7119">
          <cell r="W7119">
            <v>0</v>
          </cell>
          <cell r="AB7119" t="str">
            <v>line item not tagged</v>
          </cell>
        </row>
        <row r="7120">
          <cell r="W7120">
            <v>0</v>
          </cell>
          <cell r="AB7120" t="str">
            <v>line item not tagged</v>
          </cell>
        </row>
        <row r="7121">
          <cell r="W7121">
            <v>0</v>
          </cell>
          <cell r="AB7121" t="str">
            <v>line item not tagged</v>
          </cell>
        </row>
        <row r="7122">
          <cell r="W7122">
            <v>0</v>
          </cell>
          <cell r="AB7122" t="str">
            <v>line item not tagged</v>
          </cell>
        </row>
        <row r="7123">
          <cell r="W7123">
            <v>0</v>
          </cell>
          <cell r="AB7123" t="str">
            <v>line item not tagged</v>
          </cell>
        </row>
        <row r="7124">
          <cell r="W7124">
            <v>0</v>
          </cell>
          <cell r="AB7124" t="str">
            <v>line item not tagged</v>
          </cell>
        </row>
        <row r="7125">
          <cell r="W7125">
            <v>0</v>
          </cell>
          <cell r="AB7125" t="str">
            <v>line item not tagged</v>
          </cell>
        </row>
        <row r="7126">
          <cell r="W7126">
            <v>0</v>
          </cell>
          <cell r="AB7126" t="str">
            <v>line item not tagged</v>
          </cell>
        </row>
        <row r="7127">
          <cell r="W7127">
            <v>0</v>
          </cell>
          <cell r="AB7127" t="str">
            <v>line item not tagged</v>
          </cell>
        </row>
        <row r="7128">
          <cell r="W7128">
            <v>0</v>
          </cell>
          <cell r="AB7128" t="str">
            <v>line item not tagged</v>
          </cell>
        </row>
        <row r="7129">
          <cell r="W7129">
            <v>0</v>
          </cell>
          <cell r="AB7129" t="str">
            <v>line item not tagged</v>
          </cell>
        </row>
        <row r="7130">
          <cell r="W7130">
            <v>0</v>
          </cell>
          <cell r="AB7130" t="str">
            <v>line item not tagged</v>
          </cell>
        </row>
        <row r="7131">
          <cell r="W7131">
            <v>0</v>
          </cell>
          <cell r="AB7131" t="str">
            <v>line item not tagged</v>
          </cell>
        </row>
        <row r="7132">
          <cell r="W7132">
            <v>0</v>
          </cell>
          <cell r="AB7132" t="str">
            <v>line item not tagged</v>
          </cell>
        </row>
        <row r="7133">
          <cell r="W7133">
            <v>0</v>
          </cell>
          <cell r="AB7133" t="str">
            <v>line item not tagged</v>
          </cell>
        </row>
        <row r="7134">
          <cell r="W7134">
            <v>0</v>
          </cell>
          <cell r="AB7134" t="str">
            <v>line item not tagged</v>
          </cell>
        </row>
        <row r="7135">
          <cell r="W7135">
            <v>0</v>
          </cell>
          <cell r="AB7135" t="str">
            <v>line item not tagged</v>
          </cell>
        </row>
        <row r="7136">
          <cell r="W7136">
            <v>0</v>
          </cell>
          <cell r="AB7136" t="str">
            <v>line item not tagged</v>
          </cell>
        </row>
        <row r="7137">
          <cell r="W7137">
            <v>0</v>
          </cell>
          <cell r="AB7137" t="str">
            <v>line item not tagged</v>
          </cell>
        </row>
        <row r="7138">
          <cell r="W7138">
            <v>0</v>
          </cell>
          <cell r="AB7138" t="str">
            <v>line item not tagged</v>
          </cell>
        </row>
        <row r="7139">
          <cell r="W7139">
            <v>0</v>
          </cell>
          <cell r="AB7139" t="str">
            <v>line item not tagged</v>
          </cell>
        </row>
        <row r="7140">
          <cell r="W7140">
            <v>0</v>
          </cell>
          <cell r="AB7140" t="str">
            <v>line item not tagged</v>
          </cell>
        </row>
        <row r="7141">
          <cell r="W7141">
            <v>0</v>
          </cell>
          <cell r="AB7141" t="str">
            <v>line item not tagged</v>
          </cell>
        </row>
        <row r="7142">
          <cell r="W7142">
            <v>0</v>
          </cell>
          <cell r="AB7142" t="str">
            <v>line item not tagged</v>
          </cell>
        </row>
        <row r="7143">
          <cell r="W7143">
            <v>0</v>
          </cell>
          <cell r="AB7143" t="str">
            <v>line item not tagged</v>
          </cell>
        </row>
        <row r="7144">
          <cell r="W7144">
            <v>0</v>
          </cell>
          <cell r="AB7144" t="str">
            <v>line item not tagged</v>
          </cell>
        </row>
        <row r="7145">
          <cell r="W7145">
            <v>0</v>
          </cell>
          <cell r="AB7145" t="str">
            <v>line item not tagged</v>
          </cell>
        </row>
        <row r="7146">
          <cell r="W7146">
            <v>0</v>
          </cell>
          <cell r="AB7146" t="str">
            <v>line item not tagged</v>
          </cell>
        </row>
        <row r="7147">
          <cell r="W7147">
            <v>0</v>
          </cell>
          <cell r="AB7147" t="str">
            <v>line item not tagged</v>
          </cell>
        </row>
        <row r="7148">
          <cell r="W7148">
            <v>0</v>
          </cell>
          <cell r="AB7148" t="str">
            <v>line item not tagged</v>
          </cell>
        </row>
        <row r="7149">
          <cell r="W7149">
            <v>0</v>
          </cell>
          <cell r="AB7149" t="str">
            <v>line item not tagged</v>
          </cell>
        </row>
        <row r="7150">
          <cell r="W7150">
            <v>0</v>
          </cell>
          <cell r="AB7150" t="str">
            <v>line item not tagged</v>
          </cell>
        </row>
        <row r="7151">
          <cell r="W7151">
            <v>0</v>
          </cell>
          <cell r="AB7151" t="str">
            <v>line item not tagged</v>
          </cell>
        </row>
        <row r="7152">
          <cell r="W7152">
            <v>0</v>
          </cell>
          <cell r="AB7152" t="str">
            <v>line item not tagged</v>
          </cell>
        </row>
        <row r="7153">
          <cell r="W7153">
            <v>0</v>
          </cell>
          <cell r="AB7153" t="str">
            <v>line item not tagged</v>
          </cell>
        </row>
        <row r="7154">
          <cell r="W7154">
            <v>0</v>
          </cell>
          <cell r="AB7154" t="str">
            <v>line item not tagged</v>
          </cell>
        </row>
        <row r="7155">
          <cell r="W7155">
            <v>0</v>
          </cell>
          <cell r="AB7155" t="str">
            <v>line item not tagged</v>
          </cell>
        </row>
        <row r="7156">
          <cell r="W7156">
            <v>0</v>
          </cell>
          <cell r="AB7156" t="str">
            <v>line item not tagged</v>
          </cell>
        </row>
        <row r="7157">
          <cell r="W7157">
            <v>0</v>
          </cell>
          <cell r="AB7157" t="str">
            <v>line item not tagged</v>
          </cell>
        </row>
        <row r="7158">
          <cell r="W7158">
            <v>0</v>
          </cell>
          <cell r="AB7158" t="str">
            <v>line item not tagged</v>
          </cell>
        </row>
        <row r="7159">
          <cell r="W7159">
            <v>0</v>
          </cell>
          <cell r="AB7159" t="str">
            <v>line item not tagged</v>
          </cell>
        </row>
        <row r="7160">
          <cell r="W7160">
            <v>0</v>
          </cell>
          <cell r="AB7160" t="str">
            <v>line item not tagged</v>
          </cell>
        </row>
        <row r="7161">
          <cell r="W7161">
            <v>0</v>
          </cell>
          <cell r="AB7161" t="str">
            <v>line item not tagged</v>
          </cell>
        </row>
        <row r="7162">
          <cell r="W7162">
            <v>0</v>
          </cell>
          <cell r="AB7162" t="str">
            <v>line item not tagged</v>
          </cell>
        </row>
        <row r="7163">
          <cell r="W7163">
            <v>0</v>
          </cell>
          <cell r="AB7163" t="str">
            <v>line item not tagged</v>
          </cell>
        </row>
        <row r="7164">
          <cell r="W7164">
            <v>0</v>
          </cell>
          <cell r="AB7164" t="str">
            <v>line item not tagged</v>
          </cell>
        </row>
        <row r="7165">
          <cell r="W7165">
            <v>0</v>
          </cell>
          <cell r="AB7165" t="str">
            <v>line item not tagged</v>
          </cell>
        </row>
        <row r="7166">
          <cell r="W7166">
            <v>0</v>
          </cell>
          <cell r="AB7166" t="str">
            <v>line item not tagged</v>
          </cell>
        </row>
        <row r="7167">
          <cell r="W7167">
            <v>0</v>
          </cell>
          <cell r="AB7167" t="str">
            <v>line item not tagged</v>
          </cell>
        </row>
        <row r="7168">
          <cell r="W7168">
            <v>0</v>
          </cell>
          <cell r="AB7168" t="str">
            <v>line item not tagged</v>
          </cell>
        </row>
        <row r="7169">
          <cell r="W7169">
            <v>0</v>
          </cell>
          <cell r="AB7169" t="str">
            <v>line item not tagged</v>
          </cell>
        </row>
        <row r="7170">
          <cell r="W7170">
            <v>0</v>
          </cell>
          <cell r="AB7170" t="str">
            <v>line item not tagged</v>
          </cell>
        </row>
        <row r="7171">
          <cell r="W7171">
            <v>0</v>
          </cell>
          <cell r="AB7171" t="str">
            <v>line item not tagged</v>
          </cell>
        </row>
        <row r="7172">
          <cell r="W7172">
            <v>0</v>
          </cell>
          <cell r="AB7172" t="str">
            <v>line item not tagged</v>
          </cell>
        </row>
        <row r="7173">
          <cell r="W7173">
            <v>0</v>
          </cell>
          <cell r="AB7173" t="str">
            <v>line item not tagged</v>
          </cell>
        </row>
        <row r="7174">
          <cell r="W7174">
            <v>0</v>
          </cell>
          <cell r="AB7174" t="str">
            <v>line item not tagged</v>
          </cell>
        </row>
        <row r="7175">
          <cell r="W7175">
            <v>0</v>
          </cell>
          <cell r="AB7175" t="str">
            <v>line item not tagged</v>
          </cell>
        </row>
        <row r="7176">
          <cell r="W7176">
            <v>0</v>
          </cell>
          <cell r="AB7176" t="str">
            <v>line item not tagged</v>
          </cell>
        </row>
        <row r="7177">
          <cell r="W7177">
            <v>0</v>
          </cell>
          <cell r="AB7177" t="str">
            <v>line item not tagged</v>
          </cell>
        </row>
        <row r="7178">
          <cell r="W7178">
            <v>0</v>
          </cell>
          <cell r="AB7178" t="str">
            <v>line item not tagged</v>
          </cell>
        </row>
        <row r="7179">
          <cell r="W7179">
            <v>0</v>
          </cell>
          <cell r="AB7179" t="str">
            <v>line item not tagged</v>
          </cell>
        </row>
        <row r="7180">
          <cell r="W7180">
            <v>0</v>
          </cell>
          <cell r="AB7180" t="str">
            <v>line item not tagged</v>
          </cell>
        </row>
        <row r="7181">
          <cell r="W7181">
            <v>0</v>
          </cell>
          <cell r="AB7181" t="str">
            <v>line item not tagged</v>
          </cell>
        </row>
        <row r="7182">
          <cell r="W7182">
            <v>0</v>
          </cell>
          <cell r="AB7182" t="str">
            <v>line item not tagged</v>
          </cell>
        </row>
        <row r="7183">
          <cell r="W7183">
            <v>0</v>
          </cell>
          <cell r="AB7183" t="str">
            <v>line item not tagged</v>
          </cell>
        </row>
        <row r="7184">
          <cell r="W7184">
            <v>0</v>
          </cell>
          <cell r="AB7184" t="str">
            <v>line item not tagged</v>
          </cell>
        </row>
        <row r="7185">
          <cell r="W7185">
            <v>0</v>
          </cell>
          <cell r="AB7185" t="str">
            <v>line item not tagged</v>
          </cell>
        </row>
        <row r="7186">
          <cell r="W7186">
            <v>0</v>
          </cell>
          <cell r="AB7186" t="str">
            <v>line item not tagged</v>
          </cell>
        </row>
        <row r="7187">
          <cell r="W7187">
            <v>0</v>
          </cell>
          <cell r="AB7187" t="str">
            <v>line item not tagged</v>
          </cell>
        </row>
        <row r="7188">
          <cell r="W7188">
            <v>0</v>
          </cell>
          <cell r="AB7188" t="str">
            <v>line item not tagged</v>
          </cell>
        </row>
        <row r="7189">
          <cell r="W7189">
            <v>0</v>
          </cell>
          <cell r="AB7189" t="str">
            <v>line item not tagged</v>
          </cell>
        </row>
        <row r="7190">
          <cell r="W7190">
            <v>0</v>
          </cell>
          <cell r="AB7190" t="str">
            <v>line item not tagged</v>
          </cell>
        </row>
        <row r="7191">
          <cell r="W7191">
            <v>0</v>
          </cell>
          <cell r="AB7191" t="str">
            <v>line item not tagged</v>
          </cell>
        </row>
        <row r="7192">
          <cell r="W7192">
            <v>0</v>
          </cell>
          <cell r="AB7192" t="str">
            <v>line item not tagged</v>
          </cell>
        </row>
        <row r="7193">
          <cell r="W7193">
            <v>0</v>
          </cell>
          <cell r="AB7193" t="str">
            <v>line item not tagged</v>
          </cell>
        </row>
        <row r="7194">
          <cell r="W7194">
            <v>0</v>
          </cell>
          <cell r="AB7194" t="str">
            <v>line item not tagged</v>
          </cell>
        </row>
        <row r="7195">
          <cell r="W7195">
            <v>0</v>
          </cell>
          <cell r="AB7195" t="str">
            <v>line item not tagged</v>
          </cell>
        </row>
        <row r="7196">
          <cell r="W7196">
            <v>0</v>
          </cell>
          <cell r="AB7196" t="str">
            <v>line item not tagged</v>
          </cell>
        </row>
        <row r="7197">
          <cell r="W7197">
            <v>0</v>
          </cell>
          <cell r="AB7197" t="str">
            <v>line item not tagged</v>
          </cell>
        </row>
        <row r="7198">
          <cell r="W7198">
            <v>0</v>
          </cell>
          <cell r="AB7198" t="str">
            <v>line item not tagged</v>
          </cell>
        </row>
        <row r="7199">
          <cell r="W7199">
            <v>0</v>
          </cell>
          <cell r="AB7199" t="str">
            <v>line item not tagged</v>
          </cell>
        </row>
        <row r="7200">
          <cell r="W7200">
            <v>0</v>
          </cell>
          <cell r="AB7200" t="str">
            <v>line item not tagged</v>
          </cell>
        </row>
        <row r="7201">
          <cell r="W7201">
            <v>0</v>
          </cell>
          <cell r="AB7201" t="str">
            <v>line item not tagged</v>
          </cell>
        </row>
        <row r="7202">
          <cell r="W7202">
            <v>0</v>
          </cell>
          <cell r="AB7202" t="str">
            <v>line item not tagged</v>
          </cell>
        </row>
        <row r="7203">
          <cell r="W7203">
            <v>0</v>
          </cell>
          <cell r="AB7203" t="str">
            <v>line item not tagged</v>
          </cell>
        </row>
        <row r="7204">
          <cell r="W7204">
            <v>0</v>
          </cell>
          <cell r="AB7204" t="str">
            <v>line item not tagged</v>
          </cell>
        </row>
        <row r="7205">
          <cell r="W7205">
            <v>0</v>
          </cell>
          <cell r="AB7205" t="str">
            <v>line item not tagged</v>
          </cell>
        </row>
        <row r="7206">
          <cell r="W7206">
            <v>0</v>
          </cell>
          <cell r="AB7206" t="str">
            <v>line item not tagged</v>
          </cell>
        </row>
        <row r="7207">
          <cell r="W7207">
            <v>0</v>
          </cell>
          <cell r="AB7207" t="str">
            <v>line item not tagged</v>
          </cell>
        </row>
        <row r="7208">
          <cell r="W7208">
            <v>0</v>
          </cell>
          <cell r="AB7208" t="str">
            <v>line item not tagged</v>
          </cell>
        </row>
        <row r="7209">
          <cell r="W7209">
            <v>0</v>
          </cell>
          <cell r="AB7209" t="str">
            <v>line item not tagged</v>
          </cell>
        </row>
        <row r="7210">
          <cell r="W7210">
            <v>0</v>
          </cell>
          <cell r="AB7210" t="str">
            <v>line item not tagged</v>
          </cell>
        </row>
        <row r="7211">
          <cell r="W7211">
            <v>0</v>
          </cell>
          <cell r="AB7211" t="str">
            <v>line item not tagged</v>
          </cell>
        </row>
        <row r="7212">
          <cell r="W7212">
            <v>0</v>
          </cell>
          <cell r="AB7212" t="str">
            <v>line item not tagged</v>
          </cell>
        </row>
        <row r="7213">
          <cell r="W7213">
            <v>0</v>
          </cell>
          <cell r="AB7213" t="str">
            <v>line item not tagged</v>
          </cell>
        </row>
        <row r="7214">
          <cell r="W7214">
            <v>0</v>
          </cell>
          <cell r="AB7214" t="str">
            <v>line item not tagged</v>
          </cell>
        </row>
        <row r="7215">
          <cell r="W7215">
            <v>0</v>
          </cell>
          <cell r="AB7215" t="str">
            <v>line item not tagged</v>
          </cell>
        </row>
        <row r="7216">
          <cell r="W7216">
            <v>0</v>
          </cell>
          <cell r="AB7216" t="str">
            <v>line item not tagged</v>
          </cell>
        </row>
        <row r="7217">
          <cell r="W7217">
            <v>0</v>
          </cell>
          <cell r="AB7217" t="str">
            <v>line item not tagged</v>
          </cell>
        </row>
        <row r="7218">
          <cell r="W7218">
            <v>0</v>
          </cell>
          <cell r="AB7218" t="str">
            <v>line item not tagged</v>
          </cell>
        </row>
        <row r="7219">
          <cell r="W7219">
            <v>0</v>
          </cell>
          <cell r="AB7219" t="str">
            <v>line item not tagged</v>
          </cell>
        </row>
        <row r="7220">
          <cell r="W7220">
            <v>0</v>
          </cell>
          <cell r="AB7220" t="str">
            <v>line item not tagged</v>
          </cell>
        </row>
        <row r="7221">
          <cell r="W7221">
            <v>0</v>
          </cell>
          <cell r="AB7221" t="str">
            <v>line item not tagged</v>
          </cell>
        </row>
        <row r="7222">
          <cell r="W7222">
            <v>0</v>
          </cell>
          <cell r="AB7222" t="str">
            <v>line item not tagged</v>
          </cell>
        </row>
        <row r="7223">
          <cell r="W7223">
            <v>0</v>
          </cell>
          <cell r="AB7223" t="str">
            <v>line item not tagged</v>
          </cell>
        </row>
        <row r="7224">
          <cell r="W7224">
            <v>0</v>
          </cell>
          <cell r="AB7224" t="str">
            <v>line item not tagged</v>
          </cell>
        </row>
        <row r="7225">
          <cell r="W7225">
            <v>0</v>
          </cell>
          <cell r="AB7225" t="str">
            <v>line item not tagged</v>
          </cell>
        </row>
        <row r="7226">
          <cell r="W7226">
            <v>0</v>
          </cell>
          <cell r="AB7226" t="str">
            <v>line item not tagged</v>
          </cell>
        </row>
        <row r="7227">
          <cell r="W7227">
            <v>0</v>
          </cell>
          <cell r="AB7227" t="str">
            <v>line item not tagged</v>
          </cell>
        </row>
        <row r="7228">
          <cell r="W7228">
            <v>0</v>
          </cell>
          <cell r="AB7228" t="str">
            <v>line item not tagged</v>
          </cell>
        </row>
        <row r="7229">
          <cell r="W7229">
            <v>0</v>
          </cell>
          <cell r="AB7229" t="str">
            <v>line item not tagged</v>
          </cell>
        </row>
        <row r="7230">
          <cell r="W7230">
            <v>0</v>
          </cell>
          <cell r="AB7230" t="str">
            <v>line item not tagged</v>
          </cell>
        </row>
        <row r="7231">
          <cell r="W7231">
            <v>0</v>
          </cell>
          <cell r="AB7231" t="str">
            <v>line item not tagged</v>
          </cell>
        </row>
        <row r="7232">
          <cell r="W7232">
            <v>0</v>
          </cell>
          <cell r="AB7232" t="str">
            <v>line item not tagged</v>
          </cell>
        </row>
        <row r="7233">
          <cell r="W7233">
            <v>0</v>
          </cell>
          <cell r="AB7233" t="str">
            <v>line item not tagged</v>
          </cell>
        </row>
        <row r="7234">
          <cell r="W7234">
            <v>0</v>
          </cell>
          <cell r="AB7234" t="str">
            <v>line item not tagged</v>
          </cell>
        </row>
        <row r="7235">
          <cell r="W7235">
            <v>0</v>
          </cell>
          <cell r="AB7235" t="str">
            <v>line item not tagged</v>
          </cell>
        </row>
        <row r="7236">
          <cell r="W7236">
            <v>0</v>
          </cell>
          <cell r="AB7236" t="str">
            <v>line item not tagged</v>
          </cell>
        </row>
        <row r="7237">
          <cell r="W7237">
            <v>0</v>
          </cell>
          <cell r="AB7237" t="str">
            <v>line item not tagged</v>
          </cell>
        </row>
        <row r="7238">
          <cell r="W7238">
            <v>0</v>
          </cell>
          <cell r="AB7238" t="str">
            <v>line item not tagged</v>
          </cell>
        </row>
        <row r="7239">
          <cell r="W7239">
            <v>0</v>
          </cell>
          <cell r="AB7239" t="str">
            <v>line item not tagged</v>
          </cell>
        </row>
        <row r="7240">
          <cell r="W7240">
            <v>0</v>
          </cell>
          <cell r="AB7240" t="str">
            <v>line item not tagged</v>
          </cell>
        </row>
        <row r="7241">
          <cell r="W7241">
            <v>0</v>
          </cell>
          <cell r="AB7241" t="str">
            <v>line item not tagged</v>
          </cell>
        </row>
        <row r="7242">
          <cell r="W7242">
            <v>0</v>
          </cell>
          <cell r="AB7242" t="str">
            <v>line item not tagged</v>
          </cell>
        </row>
        <row r="7243">
          <cell r="W7243">
            <v>0</v>
          </cell>
          <cell r="AB7243" t="str">
            <v>line item not tagged</v>
          </cell>
        </row>
        <row r="7244">
          <cell r="W7244">
            <v>0</v>
          </cell>
          <cell r="AB7244" t="str">
            <v>line item not tagged</v>
          </cell>
        </row>
        <row r="7245">
          <cell r="W7245">
            <v>0</v>
          </cell>
          <cell r="AB7245" t="str">
            <v>line item not tagged</v>
          </cell>
        </row>
        <row r="7246">
          <cell r="W7246">
            <v>0</v>
          </cell>
          <cell r="AB7246" t="str">
            <v>line item not tagged</v>
          </cell>
        </row>
        <row r="7247">
          <cell r="W7247">
            <v>0</v>
          </cell>
          <cell r="AB7247" t="str">
            <v>line item not tagged</v>
          </cell>
        </row>
        <row r="7248">
          <cell r="W7248">
            <v>0</v>
          </cell>
          <cell r="AB7248" t="str">
            <v>line item not tagged</v>
          </cell>
        </row>
        <row r="7249">
          <cell r="W7249">
            <v>0</v>
          </cell>
          <cell r="AB7249" t="str">
            <v>line item not tagged</v>
          </cell>
        </row>
        <row r="7250">
          <cell r="W7250">
            <v>0</v>
          </cell>
          <cell r="AB7250" t="str">
            <v>line item not tagged</v>
          </cell>
        </row>
        <row r="7251">
          <cell r="W7251">
            <v>0</v>
          </cell>
          <cell r="AB7251" t="str">
            <v>line item not tagged</v>
          </cell>
        </row>
        <row r="7252">
          <cell r="W7252">
            <v>0</v>
          </cell>
          <cell r="AB7252" t="str">
            <v>line item not tagged</v>
          </cell>
        </row>
        <row r="7253">
          <cell r="W7253">
            <v>0</v>
          </cell>
          <cell r="AB7253" t="str">
            <v>line item not tagged</v>
          </cell>
        </row>
        <row r="7254">
          <cell r="W7254">
            <v>0</v>
          </cell>
          <cell r="AB7254" t="str">
            <v>line item not tagged</v>
          </cell>
        </row>
        <row r="7255">
          <cell r="W7255">
            <v>0</v>
          </cell>
          <cell r="AB7255" t="str">
            <v>line item not tagged</v>
          </cell>
        </row>
        <row r="7256">
          <cell r="W7256">
            <v>0</v>
          </cell>
          <cell r="AB7256" t="str">
            <v>line item not tagged</v>
          </cell>
        </row>
        <row r="7257">
          <cell r="W7257">
            <v>0</v>
          </cell>
          <cell r="AB7257" t="str">
            <v>line item not tagged</v>
          </cell>
        </row>
        <row r="7258">
          <cell r="W7258">
            <v>0</v>
          </cell>
          <cell r="AB7258" t="str">
            <v>line item not tagged</v>
          </cell>
        </row>
        <row r="7259">
          <cell r="W7259">
            <v>0</v>
          </cell>
          <cell r="AB7259" t="str">
            <v>line item not tagged</v>
          </cell>
        </row>
        <row r="7260">
          <cell r="W7260">
            <v>0</v>
          </cell>
          <cell r="AB7260" t="str">
            <v>line item not tagged</v>
          </cell>
        </row>
        <row r="7261">
          <cell r="W7261">
            <v>0</v>
          </cell>
          <cell r="AB7261" t="str">
            <v>line item not tagged</v>
          </cell>
        </row>
        <row r="7262">
          <cell r="W7262">
            <v>0</v>
          </cell>
          <cell r="AB7262" t="str">
            <v>line item not tagged</v>
          </cell>
        </row>
        <row r="7263">
          <cell r="W7263">
            <v>0</v>
          </cell>
          <cell r="AB7263" t="str">
            <v>line item not tagged</v>
          </cell>
        </row>
        <row r="7264">
          <cell r="W7264">
            <v>0</v>
          </cell>
          <cell r="AB7264" t="str">
            <v>line item not tagged</v>
          </cell>
        </row>
        <row r="7265">
          <cell r="W7265">
            <v>0</v>
          </cell>
          <cell r="AB7265" t="str">
            <v>line item not tagged</v>
          </cell>
        </row>
        <row r="7266">
          <cell r="W7266">
            <v>0</v>
          </cell>
          <cell r="AB7266" t="str">
            <v>line item not tagged</v>
          </cell>
        </row>
        <row r="7267">
          <cell r="W7267">
            <v>0</v>
          </cell>
          <cell r="AB7267" t="str">
            <v>line item not tagged</v>
          </cell>
        </row>
        <row r="7268">
          <cell r="W7268">
            <v>0</v>
          </cell>
          <cell r="AB7268" t="str">
            <v>line item not tagged</v>
          </cell>
        </row>
        <row r="7269">
          <cell r="W7269">
            <v>0</v>
          </cell>
          <cell r="AB7269" t="str">
            <v>line item not tagged</v>
          </cell>
        </row>
        <row r="7270">
          <cell r="W7270">
            <v>0</v>
          </cell>
          <cell r="AB7270" t="str">
            <v>line item not tagged</v>
          </cell>
        </row>
        <row r="7271">
          <cell r="W7271">
            <v>0</v>
          </cell>
          <cell r="AB7271" t="str">
            <v>line item not tagged</v>
          </cell>
        </row>
        <row r="7272">
          <cell r="W7272">
            <v>0</v>
          </cell>
          <cell r="AB7272" t="str">
            <v>line item not tagged</v>
          </cell>
        </row>
        <row r="7273">
          <cell r="W7273">
            <v>0</v>
          </cell>
          <cell r="AB7273" t="str">
            <v>line item not tagged</v>
          </cell>
        </row>
        <row r="7274">
          <cell r="W7274">
            <v>0</v>
          </cell>
          <cell r="AB7274" t="str">
            <v>line item not tagged</v>
          </cell>
        </row>
        <row r="7275">
          <cell r="W7275">
            <v>0</v>
          </cell>
          <cell r="AB7275" t="str">
            <v>line item not tagged</v>
          </cell>
        </row>
        <row r="7276">
          <cell r="W7276">
            <v>0</v>
          </cell>
          <cell r="AB7276" t="str">
            <v>line item not tagged</v>
          </cell>
        </row>
        <row r="7277">
          <cell r="W7277">
            <v>0</v>
          </cell>
          <cell r="AB7277" t="str">
            <v>line item not tagged</v>
          </cell>
        </row>
        <row r="7278">
          <cell r="W7278">
            <v>0</v>
          </cell>
          <cell r="AB7278" t="str">
            <v>line item not tagged</v>
          </cell>
        </row>
        <row r="7279">
          <cell r="W7279">
            <v>0</v>
          </cell>
          <cell r="AB7279" t="str">
            <v>line item not tagged</v>
          </cell>
        </row>
        <row r="7280">
          <cell r="W7280">
            <v>0</v>
          </cell>
          <cell r="AB7280" t="str">
            <v>line item not tagged</v>
          </cell>
        </row>
        <row r="7281">
          <cell r="W7281">
            <v>0</v>
          </cell>
          <cell r="AB7281" t="str">
            <v>line item not tagged</v>
          </cell>
        </row>
        <row r="7282">
          <cell r="W7282">
            <v>0</v>
          </cell>
          <cell r="AB7282" t="str">
            <v>line item not tagged</v>
          </cell>
        </row>
        <row r="7283">
          <cell r="W7283">
            <v>0</v>
          </cell>
          <cell r="AB7283" t="str">
            <v>line item not tagged</v>
          </cell>
        </row>
        <row r="7284">
          <cell r="W7284">
            <v>0</v>
          </cell>
          <cell r="AB7284" t="str">
            <v>line item not tagged</v>
          </cell>
        </row>
        <row r="7285">
          <cell r="W7285">
            <v>0</v>
          </cell>
          <cell r="AB7285" t="str">
            <v>line item not tagged</v>
          </cell>
        </row>
        <row r="7286">
          <cell r="W7286">
            <v>0</v>
          </cell>
          <cell r="AB7286" t="str">
            <v>line item not tagged</v>
          </cell>
        </row>
        <row r="7287">
          <cell r="W7287">
            <v>0</v>
          </cell>
          <cell r="AB7287" t="str">
            <v>line item not tagged</v>
          </cell>
        </row>
        <row r="7288">
          <cell r="W7288">
            <v>0</v>
          </cell>
          <cell r="AB7288" t="str">
            <v>line item not tagged</v>
          </cell>
        </row>
        <row r="7289">
          <cell r="W7289">
            <v>0</v>
          </cell>
          <cell r="AB7289" t="str">
            <v>line item not tagged</v>
          </cell>
        </row>
        <row r="7290">
          <cell r="W7290">
            <v>0</v>
          </cell>
          <cell r="AB7290" t="str">
            <v>line item not tagged</v>
          </cell>
        </row>
        <row r="7291">
          <cell r="W7291">
            <v>0</v>
          </cell>
          <cell r="AB7291" t="str">
            <v>line item not tagged</v>
          </cell>
        </row>
        <row r="7292">
          <cell r="W7292">
            <v>0</v>
          </cell>
          <cell r="AB7292" t="str">
            <v>line item not tagged</v>
          </cell>
        </row>
        <row r="7293">
          <cell r="W7293">
            <v>0</v>
          </cell>
          <cell r="AB7293" t="str">
            <v>line item not tagged</v>
          </cell>
        </row>
        <row r="7294">
          <cell r="W7294">
            <v>0</v>
          </cell>
          <cell r="AB7294" t="str">
            <v>line item not tagged</v>
          </cell>
        </row>
        <row r="7295">
          <cell r="W7295">
            <v>0</v>
          </cell>
          <cell r="AB7295" t="str">
            <v>line item not tagged</v>
          </cell>
        </row>
        <row r="7296">
          <cell r="W7296">
            <v>0</v>
          </cell>
          <cell r="AB7296" t="str">
            <v>line item not tagged</v>
          </cell>
        </row>
        <row r="7297">
          <cell r="W7297">
            <v>0</v>
          </cell>
          <cell r="AB7297" t="str">
            <v>line item not tagged</v>
          </cell>
        </row>
        <row r="7298">
          <cell r="W7298">
            <v>0</v>
          </cell>
          <cell r="AB7298" t="str">
            <v>line item not tagged</v>
          </cell>
        </row>
        <row r="7299">
          <cell r="W7299">
            <v>0</v>
          </cell>
          <cell r="AB7299" t="str">
            <v>line item not tagged</v>
          </cell>
        </row>
        <row r="7300">
          <cell r="W7300">
            <v>0</v>
          </cell>
          <cell r="AB7300" t="str">
            <v>line item not tagged</v>
          </cell>
        </row>
        <row r="7301">
          <cell r="W7301">
            <v>0</v>
          </cell>
          <cell r="AB7301" t="str">
            <v>line item not tagged</v>
          </cell>
        </row>
        <row r="7302">
          <cell r="W7302">
            <v>0</v>
          </cell>
          <cell r="AB7302" t="str">
            <v>line item not tagged</v>
          </cell>
        </row>
        <row r="7303">
          <cell r="W7303">
            <v>0</v>
          </cell>
          <cell r="AB7303" t="str">
            <v>line item not tagged</v>
          </cell>
        </row>
        <row r="7304">
          <cell r="W7304">
            <v>0</v>
          </cell>
          <cell r="AB7304" t="str">
            <v>line item not tagged</v>
          </cell>
        </row>
        <row r="7305">
          <cell r="W7305">
            <v>0</v>
          </cell>
          <cell r="AB7305" t="str">
            <v>line item not tagged</v>
          </cell>
        </row>
        <row r="7306">
          <cell r="W7306">
            <v>0</v>
          </cell>
          <cell r="AB7306" t="str">
            <v>line item not tagged</v>
          </cell>
        </row>
        <row r="7307">
          <cell r="W7307">
            <v>0</v>
          </cell>
          <cell r="AB7307" t="str">
            <v>line item not tagged</v>
          </cell>
        </row>
        <row r="7308">
          <cell r="W7308">
            <v>0</v>
          </cell>
          <cell r="AB7308" t="str">
            <v>line item not tagged</v>
          </cell>
        </row>
        <row r="7309">
          <cell r="W7309">
            <v>0</v>
          </cell>
          <cell r="AB7309" t="str">
            <v>line item not tagged</v>
          </cell>
        </row>
        <row r="7310">
          <cell r="W7310">
            <v>0</v>
          </cell>
          <cell r="AB7310" t="str">
            <v>line item not tagged</v>
          </cell>
        </row>
        <row r="7311">
          <cell r="W7311">
            <v>0</v>
          </cell>
          <cell r="AB7311" t="str">
            <v>line item not tagged</v>
          </cell>
        </row>
        <row r="7312">
          <cell r="W7312">
            <v>0</v>
          </cell>
          <cell r="AB7312" t="str">
            <v>line item not tagged</v>
          </cell>
        </row>
        <row r="7313">
          <cell r="W7313">
            <v>0</v>
          </cell>
          <cell r="AB7313" t="str">
            <v>line item not tagged</v>
          </cell>
        </row>
        <row r="7314">
          <cell r="W7314">
            <v>0</v>
          </cell>
          <cell r="AB7314" t="str">
            <v>line item not tagged</v>
          </cell>
        </row>
        <row r="7315">
          <cell r="W7315">
            <v>0</v>
          </cell>
          <cell r="AB7315" t="str">
            <v>line item not tagged</v>
          </cell>
        </row>
        <row r="7316">
          <cell r="W7316">
            <v>0</v>
          </cell>
          <cell r="AB7316" t="str">
            <v>line item not tagged</v>
          </cell>
        </row>
        <row r="7317">
          <cell r="W7317">
            <v>0</v>
          </cell>
          <cell r="AB7317" t="str">
            <v>line item not tagged</v>
          </cell>
        </row>
        <row r="7318">
          <cell r="W7318">
            <v>0</v>
          </cell>
          <cell r="AB7318" t="str">
            <v>line item not tagged</v>
          </cell>
        </row>
        <row r="7319">
          <cell r="W7319">
            <v>0</v>
          </cell>
          <cell r="AB7319" t="str">
            <v>line item not tagged</v>
          </cell>
        </row>
        <row r="7320">
          <cell r="W7320">
            <v>0</v>
          </cell>
          <cell r="AB7320" t="str">
            <v>line item not tagged</v>
          </cell>
        </row>
        <row r="7321">
          <cell r="W7321">
            <v>0</v>
          </cell>
          <cell r="AB7321" t="str">
            <v>line item not tagged</v>
          </cell>
        </row>
        <row r="7322">
          <cell r="W7322">
            <v>0</v>
          </cell>
          <cell r="AB7322" t="str">
            <v>line item not tagged</v>
          </cell>
        </row>
        <row r="7323">
          <cell r="W7323">
            <v>0</v>
          </cell>
          <cell r="AB7323" t="str">
            <v>line item not tagged</v>
          </cell>
        </row>
        <row r="7324">
          <cell r="W7324">
            <v>0</v>
          </cell>
          <cell r="AB7324" t="str">
            <v>line item not tagged</v>
          </cell>
        </row>
        <row r="7325">
          <cell r="W7325">
            <v>0</v>
          </cell>
          <cell r="AB7325" t="str">
            <v>line item not tagged</v>
          </cell>
        </row>
        <row r="7326">
          <cell r="W7326">
            <v>0</v>
          </cell>
          <cell r="AB7326" t="str">
            <v>line item not tagged</v>
          </cell>
        </row>
        <row r="7327">
          <cell r="W7327">
            <v>0</v>
          </cell>
          <cell r="AB7327" t="str">
            <v>line item not tagged</v>
          </cell>
        </row>
        <row r="7328">
          <cell r="W7328">
            <v>0</v>
          </cell>
          <cell r="AB7328" t="str">
            <v>line item not tagged</v>
          </cell>
        </row>
        <row r="7329">
          <cell r="W7329">
            <v>0</v>
          </cell>
          <cell r="AB7329" t="str">
            <v>line item not tagged</v>
          </cell>
        </row>
        <row r="7330">
          <cell r="W7330">
            <v>0</v>
          </cell>
          <cell r="AB7330" t="str">
            <v>line item not tagged</v>
          </cell>
        </row>
        <row r="7331">
          <cell r="W7331">
            <v>0</v>
          </cell>
          <cell r="AB7331" t="str">
            <v>line item not tagged</v>
          </cell>
        </row>
        <row r="7332">
          <cell r="W7332">
            <v>0</v>
          </cell>
          <cell r="AB7332" t="str">
            <v>line item not tagged</v>
          </cell>
        </row>
        <row r="7333">
          <cell r="W7333">
            <v>0</v>
          </cell>
          <cell r="AB7333" t="str">
            <v>line item not tagged</v>
          </cell>
        </row>
        <row r="7334">
          <cell r="W7334">
            <v>0</v>
          </cell>
          <cell r="AB7334" t="str">
            <v>line item not tagged</v>
          </cell>
        </row>
        <row r="7335">
          <cell r="W7335">
            <v>0</v>
          </cell>
          <cell r="AB7335" t="str">
            <v>line item not tagged</v>
          </cell>
        </row>
        <row r="7336">
          <cell r="W7336">
            <v>0</v>
          </cell>
          <cell r="AB7336" t="str">
            <v>line item not tagged</v>
          </cell>
        </row>
        <row r="7337">
          <cell r="W7337">
            <v>0</v>
          </cell>
          <cell r="AB7337" t="str">
            <v>line item not tagged</v>
          </cell>
        </row>
        <row r="7338">
          <cell r="W7338">
            <v>0</v>
          </cell>
          <cell r="AB7338" t="str">
            <v>line item not tagged</v>
          </cell>
        </row>
        <row r="7339">
          <cell r="W7339">
            <v>0</v>
          </cell>
          <cell r="AB7339" t="str">
            <v>line item not tagged</v>
          </cell>
        </row>
        <row r="7340">
          <cell r="W7340">
            <v>0</v>
          </cell>
          <cell r="AB7340" t="str">
            <v>line item not tagged</v>
          </cell>
        </row>
        <row r="7341">
          <cell r="W7341">
            <v>0</v>
          </cell>
          <cell r="AB7341" t="str">
            <v>line item not tagged</v>
          </cell>
        </row>
        <row r="7342">
          <cell r="W7342">
            <v>0</v>
          </cell>
          <cell r="AB7342" t="str">
            <v>line item not tagged</v>
          </cell>
        </row>
        <row r="7343">
          <cell r="W7343">
            <v>0</v>
          </cell>
          <cell r="AB7343" t="str">
            <v>line item not tagged</v>
          </cell>
        </row>
        <row r="7344">
          <cell r="W7344">
            <v>0</v>
          </cell>
          <cell r="AB7344" t="str">
            <v>line item not tagged</v>
          </cell>
        </row>
        <row r="7345">
          <cell r="W7345">
            <v>0</v>
          </cell>
          <cell r="AB7345" t="str">
            <v>line item not tagged</v>
          </cell>
        </row>
        <row r="7346">
          <cell r="W7346">
            <v>0</v>
          </cell>
          <cell r="AB7346" t="str">
            <v>line item not tagged</v>
          </cell>
        </row>
        <row r="7347">
          <cell r="W7347">
            <v>0</v>
          </cell>
          <cell r="AB7347" t="str">
            <v>line item not tagged</v>
          </cell>
        </row>
        <row r="7348">
          <cell r="W7348">
            <v>0</v>
          </cell>
          <cell r="AB7348" t="str">
            <v>line item not tagged</v>
          </cell>
        </row>
        <row r="7349">
          <cell r="W7349">
            <v>0</v>
          </cell>
          <cell r="AB7349" t="str">
            <v>line item not tagged</v>
          </cell>
        </row>
        <row r="7350">
          <cell r="W7350">
            <v>0</v>
          </cell>
          <cell r="AB7350" t="str">
            <v>line item not tagged</v>
          </cell>
        </row>
        <row r="7351">
          <cell r="W7351">
            <v>0</v>
          </cell>
          <cell r="AB7351" t="str">
            <v>line item not tagged</v>
          </cell>
        </row>
        <row r="7352">
          <cell r="W7352">
            <v>0</v>
          </cell>
          <cell r="AB7352" t="str">
            <v>line item not tagged</v>
          </cell>
        </row>
        <row r="7353">
          <cell r="W7353">
            <v>0</v>
          </cell>
          <cell r="AB7353" t="str">
            <v>line item not tagged</v>
          </cell>
        </row>
        <row r="7354">
          <cell r="W7354">
            <v>0</v>
          </cell>
          <cell r="AB7354" t="str">
            <v>line item not tagged</v>
          </cell>
        </row>
        <row r="7355">
          <cell r="W7355">
            <v>0</v>
          </cell>
          <cell r="AB7355" t="str">
            <v>line item not tagged</v>
          </cell>
        </row>
        <row r="7356">
          <cell r="W7356">
            <v>0</v>
          </cell>
          <cell r="AB7356" t="str">
            <v>line item not tagged</v>
          </cell>
        </row>
        <row r="7357">
          <cell r="W7357">
            <v>0</v>
          </cell>
          <cell r="AB7357" t="str">
            <v>line item not tagged</v>
          </cell>
        </row>
        <row r="7358">
          <cell r="W7358">
            <v>0</v>
          </cell>
          <cell r="AB7358" t="str">
            <v>line item not tagged</v>
          </cell>
        </row>
        <row r="7359">
          <cell r="W7359">
            <v>0</v>
          </cell>
          <cell r="AB7359" t="str">
            <v>line item not tagged</v>
          </cell>
        </row>
        <row r="7360">
          <cell r="W7360">
            <v>0</v>
          </cell>
          <cell r="AB7360" t="str">
            <v>line item not tagged</v>
          </cell>
        </row>
        <row r="7361">
          <cell r="W7361">
            <v>0</v>
          </cell>
          <cell r="AB7361" t="str">
            <v>line item not tagged</v>
          </cell>
        </row>
        <row r="7362">
          <cell r="W7362">
            <v>0</v>
          </cell>
          <cell r="AB7362" t="str">
            <v>line item not tagged</v>
          </cell>
        </row>
        <row r="7363">
          <cell r="W7363">
            <v>0</v>
          </cell>
          <cell r="AB7363" t="str">
            <v>line item not tagged</v>
          </cell>
        </row>
        <row r="7364">
          <cell r="W7364">
            <v>0</v>
          </cell>
          <cell r="AB7364" t="str">
            <v>line item not tagged</v>
          </cell>
        </row>
        <row r="7365">
          <cell r="W7365">
            <v>0</v>
          </cell>
          <cell r="AB7365" t="str">
            <v>line item not tagged</v>
          </cell>
        </row>
        <row r="7366">
          <cell r="W7366">
            <v>0</v>
          </cell>
          <cell r="AB7366" t="str">
            <v>line item not tagged</v>
          </cell>
        </row>
        <row r="7367">
          <cell r="W7367">
            <v>0</v>
          </cell>
          <cell r="AB7367" t="str">
            <v>line item not tagged</v>
          </cell>
        </row>
        <row r="7368">
          <cell r="W7368">
            <v>0</v>
          </cell>
          <cell r="AB7368" t="str">
            <v>line item not tagged</v>
          </cell>
        </row>
        <row r="7369">
          <cell r="W7369">
            <v>0</v>
          </cell>
          <cell r="AB7369" t="str">
            <v>line item not tagged</v>
          </cell>
        </row>
        <row r="7370">
          <cell r="W7370">
            <v>0</v>
          </cell>
          <cell r="AB7370" t="str">
            <v>line item not tagged</v>
          </cell>
        </row>
        <row r="7371">
          <cell r="W7371">
            <v>0</v>
          </cell>
          <cell r="AB7371" t="str">
            <v>line item not tagged</v>
          </cell>
        </row>
        <row r="7372">
          <cell r="W7372">
            <v>0</v>
          </cell>
          <cell r="AB7372" t="str">
            <v>line item not tagged</v>
          </cell>
        </row>
        <row r="7373">
          <cell r="W7373">
            <v>0</v>
          </cell>
          <cell r="AB7373" t="str">
            <v>line item not tagged</v>
          </cell>
        </row>
        <row r="7374">
          <cell r="W7374">
            <v>0</v>
          </cell>
          <cell r="AB7374" t="str">
            <v>line item not tagged</v>
          </cell>
        </row>
        <row r="7375">
          <cell r="W7375">
            <v>0</v>
          </cell>
          <cell r="AB7375" t="str">
            <v>line item not tagged</v>
          </cell>
        </row>
        <row r="7376">
          <cell r="W7376">
            <v>0</v>
          </cell>
          <cell r="AB7376" t="str">
            <v>line item not tagged</v>
          </cell>
        </row>
        <row r="7377">
          <cell r="W7377">
            <v>0</v>
          </cell>
          <cell r="AB7377" t="str">
            <v>line item not tagged</v>
          </cell>
        </row>
        <row r="7378">
          <cell r="W7378">
            <v>0</v>
          </cell>
          <cell r="AB7378" t="str">
            <v>line item not tagged</v>
          </cell>
        </row>
        <row r="7379">
          <cell r="W7379">
            <v>0</v>
          </cell>
          <cell r="AB7379" t="str">
            <v>line item not tagged</v>
          </cell>
        </row>
        <row r="7380">
          <cell r="W7380">
            <v>0</v>
          </cell>
          <cell r="AB7380" t="str">
            <v>line item not tagged</v>
          </cell>
        </row>
        <row r="7381">
          <cell r="W7381">
            <v>0</v>
          </cell>
          <cell r="AB7381" t="str">
            <v>line item not tagged</v>
          </cell>
        </row>
        <row r="7382">
          <cell r="W7382">
            <v>0</v>
          </cell>
          <cell r="AB7382" t="str">
            <v>line item not tagged</v>
          </cell>
        </row>
        <row r="7383">
          <cell r="W7383">
            <v>0</v>
          </cell>
          <cell r="AB7383" t="str">
            <v>line item not tagged</v>
          </cell>
        </row>
        <row r="7384">
          <cell r="W7384">
            <v>0</v>
          </cell>
          <cell r="AB7384" t="str">
            <v>line item not tagged</v>
          </cell>
        </row>
        <row r="7385">
          <cell r="W7385">
            <v>0</v>
          </cell>
          <cell r="AB7385" t="str">
            <v>line item not tagged</v>
          </cell>
        </row>
        <row r="7386">
          <cell r="W7386">
            <v>0</v>
          </cell>
          <cell r="AB7386" t="str">
            <v>line item not tagged</v>
          </cell>
        </row>
        <row r="7387">
          <cell r="W7387">
            <v>0</v>
          </cell>
          <cell r="AB7387" t="str">
            <v>line item not tagged</v>
          </cell>
        </row>
        <row r="7388">
          <cell r="W7388">
            <v>0</v>
          </cell>
          <cell r="AB7388" t="str">
            <v>line item not tagged</v>
          </cell>
        </row>
        <row r="7389">
          <cell r="W7389">
            <v>0</v>
          </cell>
          <cell r="AB7389" t="str">
            <v>line item not tagged</v>
          </cell>
        </row>
        <row r="7390">
          <cell r="W7390">
            <v>0</v>
          </cell>
          <cell r="AB7390" t="str">
            <v>line item not tagged</v>
          </cell>
        </row>
        <row r="7391">
          <cell r="W7391">
            <v>0</v>
          </cell>
          <cell r="AB7391" t="str">
            <v>line item not tagged</v>
          </cell>
        </row>
        <row r="7392">
          <cell r="W7392">
            <v>0</v>
          </cell>
          <cell r="AB7392" t="str">
            <v>line item not tagged</v>
          </cell>
        </row>
        <row r="7393">
          <cell r="W7393">
            <v>0</v>
          </cell>
          <cell r="AB7393" t="str">
            <v>line item not tagged</v>
          </cell>
        </row>
        <row r="7394">
          <cell r="W7394">
            <v>0</v>
          </cell>
          <cell r="AB7394" t="str">
            <v>line item not tagged</v>
          </cell>
        </row>
        <row r="7395">
          <cell r="W7395">
            <v>0</v>
          </cell>
          <cell r="AB7395" t="str">
            <v>line item not tagged</v>
          </cell>
        </row>
        <row r="7396">
          <cell r="W7396">
            <v>0</v>
          </cell>
          <cell r="AB7396" t="str">
            <v>line item not tagged</v>
          </cell>
        </row>
        <row r="7397">
          <cell r="W7397">
            <v>0</v>
          </cell>
          <cell r="AB7397" t="str">
            <v>line item not tagged</v>
          </cell>
        </row>
        <row r="7398">
          <cell r="W7398">
            <v>0</v>
          </cell>
          <cell r="AB7398" t="str">
            <v>line item not tagged</v>
          </cell>
        </row>
        <row r="7399">
          <cell r="W7399">
            <v>0</v>
          </cell>
          <cell r="AB7399" t="str">
            <v>line item not tagged</v>
          </cell>
        </row>
        <row r="7400">
          <cell r="W7400">
            <v>0</v>
          </cell>
          <cell r="AB7400" t="str">
            <v>line item not tagged</v>
          </cell>
        </row>
        <row r="7401">
          <cell r="W7401">
            <v>0</v>
          </cell>
          <cell r="AB7401" t="str">
            <v>line item not tagged</v>
          </cell>
        </row>
        <row r="7402">
          <cell r="W7402">
            <v>0</v>
          </cell>
          <cell r="AB7402" t="str">
            <v>line item not tagged</v>
          </cell>
        </row>
        <row r="7403">
          <cell r="W7403">
            <v>0</v>
          </cell>
          <cell r="AB7403" t="str">
            <v>line item not tagged</v>
          </cell>
        </row>
        <row r="7404">
          <cell r="W7404">
            <v>0</v>
          </cell>
          <cell r="AB7404" t="str">
            <v>line item not tagged</v>
          </cell>
        </row>
        <row r="7405">
          <cell r="W7405">
            <v>0</v>
          </cell>
          <cell r="AB7405" t="str">
            <v>line item not tagged</v>
          </cell>
        </row>
        <row r="7406">
          <cell r="W7406">
            <v>0</v>
          </cell>
          <cell r="AB7406" t="str">
            <v>line item not tagged</v>
          </cell>
        </row>
        <row r="7407">
          <cell r="W7407">
            <v>0</v>
          </cell>
          <cell r="AB7407" t="str">
            <v>line item not tagged</v>
          </cell>
        </row>
        <row r="7408">
          <cell r="W7408">
            <v>0</v>
          </cell>
          <cell r="AB7408" t="str">
            <v>line item not tagged</v>
          </cell>
        </row>
        <row r="7409">
          <cell r="W7409">
            <v>0</v>
          </cell>
          <cell r="AB7409" t="str">
            <v>line item not tagged</v>
          </cell>
        </row>
        <row r="7410">
          <cell r="W7410">
            <v>0</v>
          </cell>
          <cell r="AB7410" t="str">
            <v>line item not tagged</v>
          </cell>
        </row>
        <row r="7411">
          <cell r="W7411">
            <v>0</v>
          </cell>
          <cell r="AB7411" t="str">
            <v>line item not tagged</v>
          </cell>
        </row>
        <row r="7412">
          <cell r="W7412">
            <v>0</v>
          </cell>
          <cell r="AB7412" t="str">
            <v>line item not tagged</v>
          </cell>
        </row>
        <row r="7413">
          <cell r="W7413">
            <v>0</v>
          </cell>
          <cell r="AB7413" t="str">
            <v>line item not tagged</v>
          </cell>
        </row>
        <row r="7414">
          <cell r="W7414">
            <v>0</v>
          </cell>
          <cell r="AB7414" t="str">
            <v>line item not tagged</v>
          </cell>
        </row>
        <row r="7415">
          <cell r="W7415">
            <v>0</v>
          </cell>
          <cell r="AB7415" t="str">
            <v>line item not tagged</v>
          </cell>
        </row>
        <row r="7416">
          <cell r="W7416">
            <v>0</v>
          </cell>
          <cell r="AB7416" t="str">
            <v>line item not tagged</v>
          </cell>
        </row>
        <row r="7417">
          <cell r="W7417">
            <v>0</v>
          </cell>
          <cell r="AB7417" t="str">
            <v>line item not tagged</v>
          </cell>
        </row>
        <row r="7418">
          <cell r="W7418">
            <v>0</v>
          </cell>
          <cell r="AB7418" t="str">
            <v>line item not tagged</v>
          </cell>
        </row>
        <row r="7419">
          <cell r="W7419">
            <v>0</v>
          </cell>
          <cell r="AB7419" t="str">
            <v>line item not tagged</v>
          </cell>
        </row>
        <row r="7420">
          <cell r="W7420">
            <v>0</v>
          </cell>
          <cell r="AB7420" t="str">
            <v>line item not tagged</v>
          </cell>
        </row>
        <row r="7421">
          <cell r="W7421">
            <v>0</v>
          </cell>
          <cell r="AB7421" t="str">
            <v>line item not tagged</v>
          </cell>
        </row>
        <row r="7422">
          <cell r="W7422">
            <v>0</v>
          </cell>
          <cell r="AB7422" t="str">
            <v>line item not tagged</v>
          </cell>
        </row>
        <row r="7423">
          <cell r="W7423">
            <v>0</v>
          </cell>
          <cell r="AB7423" t="str">
            <v>line item not tagged</v>
          </cell>
        </row>
        <row r="7424">
          <cell r="W7424">
            <v>0</v>
          </cell>
          <cell r="AB7424" t="str">
            <v>line item not tagged</v>
          </cell>
        </row>
        <row r="7425">
          <cell r="W7425">
            <v>0</v>
          </cell>
          <cell r="AB7425" t="str">
            <v>line item not tagged</v>
          </cell>
        </row>
        <row r="7426">
          <cell r="W7426">
            <v>0</v>
          </cell>
          <cell r="AB7426" t="str">
            <v>line item not tagged</v>
          </cell>
        </row>
        <row r="7427">
          <cell r="W7427">
            <v>0</v>
          </cell>
          <cell r="AB7427" t="str">
            <v>line item not tagged</v>
          </cell>
        </row>
        <row r="7428">
          <cell r="W7428">
            <v>0</v>
          </cell>
          <cell r="AB7428" t="str">
            <v>line item not tagged</v>
          </cell>
        </row>
        <row r="7429">
          <cell r="W7429">
            <v>0</v>
          </cell>
          <cell r="AB7429" t="str">
            <v>line item not tagged</v>
          </cell>
        </row>
        <row r="7430">
          <cell r="W7430">
            <v>0</v>
          </cell>
          <cell r="AB7430" t="str">
            <v>line item not tagged</v>
          </cell>
        </row>
        <row r="7431">
          <cell r="W7431">
            <v>0</v>
          </cell>
          <cell r="AB7431" t="str">
            <v>line item not tagged</v>
          </cell>
        </row>
        <row r="7432">
          <cell r="W7432">
            <v>0</v>
          </cell>
          <cell r="AB7432" t="str">
            <v>line item not tagged</v>
          </cell>
        </row>
        <row r="7433">
          <cell r="W7433">
            <v>0</v>
          </cell>
          <cell r="AB7433" t="str">
            <v>line item not tagged</v>
          </cell>
        </row>
        <row r="7434">
          <cell r="W7434">
            <v>0</v>
          </cell>
          <cell r="AB7434" t="str">
            <v>line item not tagged</v>
          </cell>
        </row>
        <row r="7435">
          <cell r="W7435">
            <v>0</v>
          </cell>
          <cell r="AB7435" t="str">
            <v>line item not tagged</v>
          </cell>
        </row>
        <row r="7436">
          <cell r="W7436">
            <v>0</v>
          </cell>
          <cell r="AB7436" t="str">
            <v>line item not tagged</v>
          </cell>
        </row>
        <row r="7437">
          <cell r="W7437">
            <v>0</v>
          </cell>
          <cell r="AB7437" t="str">
            <v>line item not tagged</v>
          </cell>
        </row>
        <row r="7438">
          <cell r="W7438">
            <v>0</v>
          </cell>
          <cell r="AB7438" t="str">
            <v>line item not tagged</v>
          </cell>
        </row>
        <row r="7439">
          <cell r="W7439">
            <v>0</v>
          </cell>
          <cell r="AB7439" t="str">
            <v>line item not tagged</v>
          </cell>
        </row>
        <row r="7440">
          <cell r="W7440">
            <v>0</v>
          </cell>
          <cell r="AB7440" t="str">
            <v>line item not tagged</v>
          </cell>
        </row>
        <row r="7441">
          <cell r="W7441">
            <v>0</v>
          </cell>
          <cell r="AB7441" t="str">
            <v>line item not tagged</v>
          </cell>
        </row>
        <row r="7442">
          <cell r="W7442">
            <v>0</v>
          </cell>
          <cell r="AB7442" t="str">
            <v>line item not tagged</v>
          </cell>
        </row>
        <row r="7443">
          <cell r="W7443">
            <v>0</v>
          </cell>
          <cell r="AB7443" t="str">
            <v>line item not tagged</v>
          </cell>
        </row>
        <row r="7444">
          <cell r="W7444">
            <v>0</v>
          </cell>
          <cell r="AB7444" t="str">
            <v>line item not tagged</v>
          </cell>
        </row>
        <row r="7445">
          <cell r="W7445">
            <v>0</v>
          </cell>
          <cell r="AB7445" t="str">
            <v>line item not tagged</v>
          </cell>
        </row>
        <row r="7446">
          <cell r="W7446">
            <v>0</v>
          </cell>
          <cell r="AB7446" t="str">
            <v>line item not tagged</v>
          </cell>
        </row>
        <row r="7447">
          <cell r="W7447">
            <v>0</v>
          </cell>
          <cell r="AB7447" t="str">
            <v>line item not tagged</v>
          </cell>
        </row>
        <row r="7448">
          <cell r="W7448">
            <v>0</v>
          </cell>
          <cell r="AB7448" t="str">
            <v>line item not tagged</v>
          </cell>
        </row>
        <row r="7449">
          <cell r="W7449">
            <v>0</v>
          </cell>
          <cell r="AB7449" t="str">
            <v>line item not tagged</v>
          </cell>
        </row>
        <row r="7450">
          <cell r="W7450">
            <v>0</v>
          </cell>
          <cell r="AB7450" t="str">
            <v>line item not tagged</v>
          </cell>
        </row>
        <row r="7451">
          <cell r="W7451">
            <v>0</v>
          </cell>
          <cell r="AB7451" t="str">
            <v>line item not tagged</v>
          </cell>
        </row>
        <row r="7452">
          <cell r="W7452">
            <v>0</v>
          </cell>
          <cell r="AB7452" t="str">
            <v>line item not tagged</v>
          </cell>
        </row>
        <row r="7453">
          <cell r="W7453">
            <v>0</v>
          </cell>
          <cell r="AB7453" t="str">
            <v>line item not tagged</v>
          </cell>
        </row>
        <row r="7454">
          <cell r="W7454">
            <v>0</v>
          </cell>
          <cell r="AB7454" t="str">
            <v>line item not tagged</v>
          </cell>
        </row>
        <row r="7455">
          <cell r="W7455">
            <v>0</v>
          </cell>
          <cell r="AB7455" t="str">
            <v>line item not tagged</v>
          </cell>
        </row>
        <row r="7456">
          <cell r="W7456">
            <v>0</v>
          </cell>
          <cell r="AB7456" t="str">
            <v>line item not tagged</v>
          </cell>
        </row>
        <row r="7457">
          <cell r="W7457">
            <v>0</v>
          </cell>
          <cell r="AB7457" t="str">
            <v>line item not tagged</v>
          </cell>
        </row>
        <row r="7458">
          <cell r="W7458">
            <v>0</v>
          </cell>
          <cell r="AB7458" t="str">
            <v>line item not tagged</v>
          </cell>
        </row>
        <row r="7459">
          <cell r="W7459">
            <v>0</v>
          </cell>
          <cell r="AB7459" t="str">
            <v>line item not tagged</v>
          </cell>
        </row>
        <row r="7460">
          <cell r="W7460">
            <v>0</v>
          </cell>
          <cell r="AB7460" t="str">
            <v>line item not tagged</v>
          </cell>
        </row>
        <row r="7461">
          <cell r="W7461">
            <v>0</v>
          </cell>
          <cell r="AB7461" t="str">
            <v>line item not tagged</v>
          </cell>
        </row>
        <row r="7462">
          <cell r="W7462">
            <v>0</v>
          </cell>
          <cell r="AB7462" t="str">
            <v>line item not tagged</v>
          </cell>
        </row>
        <row r="7463">
          <cell r="W7463">
            <v>0</v>
          </cell>
          <cell r="AB7463" t="str">
            <v>line item not tagged</v>
          </cell>
        </row>
        <row r="7464">
          <cell r="W7464">
            <v>0</v>
          </cell>
          <cell r="AB7464" t="str">
            <v>line item not tagged</v>
          </cell>
        </row>
        <row r="7465">
          <cell r="W7465">
            <v>0</v>
          </cell>
          <cell r="AB7465" t="str">
            <v>line item not tagged</v>
          </cell>
        </row>
        <row r="7466">
          <cell r="W7466">
            <v>0</v>
          </cell>
          <cell r="AB7466" t="str">
            <v>line item not tagged</v>
          </cell>
        </row>
        <row r="7467">
          <cell r="W7467">
            <v>0</v>
          </cell>
          <cell r="AB7467" t="str">
            <v>line item not tagged</v>
          </cell>
        </row>
        <row r="7468">
          <cell r="W7468">
            <v>0</v>
          </cell>
          <cell r="AB7468" t="str">
            <v>line item not tagged</v>
          </cell>
        </row>
        <row r="7469">
          <cell r="W7469">
            <v>0</v>
          </cell>
          <cell r="AB7469" t="str">
            <v>line item not tagged</v>
          </cell>
        </row>
        <row r="7470">
          <cell r="W7470">
            <v>0</v>
          </cell>
          <cell r="AB7470" t="str">
            <v>line item not tagged</v>
          </cell>
        </row>
        <row r="7471">
          <cell r="W7471">
            <v>0</v>
          </cell>
          <cell r="AB7471" t="str">
            <v>line item not tagged</v>
          </cell>
        </row>
        <row r="7472">
          <cell r="W7472">
            <v>0</v>
          </cell>
          <cell r="AB7472" t="str">
            <v>line item not tagged</v>
          </cell>
        </row>
        <row r="7473">
          <cell r="W7473">
            <v>0</v>
          </cell>
          <cell r="AB7473" t="str">
            <v>line item not tagged</v>
          </cell>
        </row>
        <row r="7474">
          <cell r="W7474">
            <v>0</v>
          </cell>
          <cell r="AB7474" t="str">
            <v>line item not tagged</v>
          </cell>
        </row>
        <row r="7475">
          <cell r="W7475">
            <v>0</v>
          </cell>
          <cell r="AB7475" t="str">
            <v>line item not tagged</v>
          </cell>
        </row>
        <row r="7476">
          <cell r="W7476">
            <v>0</v>
          </cell>
          <cell r="AB7476" t="str">
            <v>line item not tagged</v>
          </cell>
        </row>
        <row r="7477">
          <cell r="W7477">
            <v>0</v>
          </cell>
          <cell r="AB7477" t="str">
            <v>line item not tagged</v>
          </cell>
        </row>
        <row r="7478">
          <cell r="W7478">
            <v>0</v>
          </cell>
          <cell r="AB7478" t="str">
            <v>line item not tagged</v>
          </cell>
        </row>
        <row r="7479">
          <cell r="W7479">
            <v>0</v>
          </cell>
          <cell r="AB7479" t="str">
            <v>line item not tagged</v>
          </cell>
        </row>
        <row r="7480">
          <cell r="W7480">
            <v>0</v>
          </cell>
          <cell r="AB7480" t="str">
            <v>line item not tagged</v>
          </cell>
        </row>
        <row r="7481">
          <cell r="W7481">
            <v>0</v>
          </cell>
          <cell r="AB7481" t="str">
            <v>line item not tagged</v>
          </cell>
        </row>
        <row r="7482">
          <cell r="W7482">
            <v>0</v>
          </cell>
          <cell r="AB7482" t="str">
            <v>line item not tagged</v>
          </cell>
        </row>
        <row r="7483">
          <cell r="W7483">
            <v>0</v>
          </cell>
          <cell r="AB7483" t="str">
            <v>line item not tagged</v>
          </cell>
        </row>
        <row r="7484">
          <cell r="W7484">
            <v>0</v>
          </cell>
          <cell r="AB7484" t="str">
            <v>line item not tagged</v>
          </cell>
        </row>
        <row r="7485">
          <cell r="W7485">
            <v>0</v>
          </cell>
          <cell r="AB7485" t="str">
            <v>line item not tagged</v>
          </cell>
        </row>
        <row r="7486">
          <cell r="W7486">
            <v>0</v>
          </cell>
          <cell r="AB7486" t="str">
            <v>line item not tagged</v>
          </cell>
        </row>
        <row r="7487">
          <cell r="W7487">
            <v>0</v>
          </cell>
          <cell r="AB7487" t="str">
            <v>line item not tagged</v>
          </cell>
        </row>
        <row r="7488">
          <cell r="W7488">
            <v>0</v>
          </cell>
          <cell r="AB7488" t="str">
            <v>line item not tagged</v>
          </cell>
        </row>
        <row r="7489">
          <cell r="W7489">
            <v>0</v>
          </cell>
          <cell r="AB7489" t="str">
            <v>line item not tagged</v>
          </cell>
        </row>
        <row r="7490">
          <cell r="W7490">
            <v>0</v>
          </cell>
          <cell r="AB7490" t="str">
            <v>line item not tagged</v>
          </cell>
        </row>
        <row r="7491">
          <cell r="W7491">
            <v>0</v>
          </cell>
          <cell r="AB7491" t="str">
            <v>line item not tagged</v>
          </cell>
        </row>
        <row r="7492">
          <cell r="W7492">
            <v>0</v>
          </cell>
          <cell r="AB7492" t="str">
            <v>line item not tagged</v>
          </cell>
        </row>
        <row r="7493">
          <cell r="W7493">
            <v>0</v>
          </cell>
          <cell r="AB7493" t="str">
            <v>line item not tagged</v>
          </cell>
        </row>
        <row r="7494">
          <cell r="W7494">
            <v>0</v>
          </cell>
          <cell r="AB7494" t="str">
            <v>line item not tagged</v>
          </cell>
        </row>
        <row r="7495">
          <cell r="W7495">
            <v>0</v>
          </cell>
          <cell r="AB7495" t="str">
            <v>line item not tagged</v>
          </cell>
        </row>
        <row r="7496">
          <cell r="W7496">
            <v>0</v>
          </cell>
          <cell r="AB7496" t="str">
            <v>line item not tagged</v>
          </cell>
        </row>
        <row r="7497">
          <cell r="W7497">
            <v>0</v>
          </cell>
          <cell r="AB7497" t="str">
            <v>line item not tagged</v>
          </cell>
        </row>
        <row r="7498">
          <cell r="W7498">
            <v>0</v>
          </cell>
          <cell r="AB7498" t="str">
            <v>line item not tagged</v>
          </cell>
        </row>
        <row r="7499">
          <cell r="W7499">
            <v>0</v>
          </cell>
          <cell r="AB7499" t="str">
            <v>line item not tagged</v>
          </cell>
        </row>
        <row r="7500">
          <cell r="W7500">
            <v>0</v>
          </cell>
          <cell r="AB7500" t="str">
            <v>line item not tagged</v>
          </cell>
        </row>
        <row r="7501">
          <cell r="W7501">
            <v>0</v>
          </cell>
          <cell r="AB7501" t="str">
            <v>line item not tagged</v>
          </cell>
        </row>
        <row r="7502">
          <cell r="W7502">
            <v>0</v>
          </cell>
          <cell r="AB7502" t="str">
            <v>line item not tagged</v>
          </cell>
        </row>
        <row r="7503">
          <cell r="W7503">
            <v>0</v>
          </cell>
          <cell r="AB7503" t="str">
            <v>line item not tagged</v>
          </cell>
        </row>
        <row r="7504">
          <cell r="W7504">
            <v>0</v>
          </cell>
          <cell r="AB7504" t="str">
            <v>line item not tagged</v>
          </cell>
        </row>
        <row r="7505">
          <cell r="W7505">
            <v>0</v>
          </cell>
          <cell r="AB7505" t="str">
            <v>line item not tagged</v>
          </cell>
        </row>
        <row r="7506">
          <cell r="W7506">
            <v>0</v>
          </cell>
          <cell r="AB7506" t="str">
            <v>line item not tagged</v>
          </cell>
        </row>
        <row r="7507">
          <cell r="W7507">
            <v>0</v>
          </cell>
          <cell r="AB7507" t="str">
            <v>line item not tagged</v>
          </cell>
        </row>
        <row r="7508">
          <cell r="W7508">
            <v>0</v>
          </cell>
          <cell r="AB7508" t="str">
            <v>line item not tagged</v>
          </cell>
        </row>
        <row r="7509">
          <cell r="W7509">
            <v>0</v>
          </cell>
          <cell r="AB7509" t="str">
            <v>line item not tagged</v>
          </cell>
        </row>
        <row r="7510">
          <cell r="W7510">
            <v>0</v>
          </cell>
          <cell r="AB7510" t="str">
            <v>line item not tagged</v>
          </cell>
        </row>
        <row r="7511">
          <cell r="W7511">
            <v>0</v>
          </cell>
          <cell r="AB7511" t="str">
            <v>line item not tagged</v>
          </cell>
        </row>
        <row r="7512">
          <cell r="W7512">
            <v>0</v>
          </cell>
          <cell r="AB7512" t="str">
            <v>line item not tagged</v>
          </cell>
        </row>
        <row r="7513">
          <cell r="W7513">
            <v>0</v>
          </cell>
          <cell r="AB7513" t="str">
            <v>line item not tagged</v>
          </cell>
        </row>
        <row r="7514">
          <cell r="W7514">
            <v>0</v>
          </cell>
          <cell r="AB7514" t="str">
            <v>line item not tagged</v>
          </cell>
        </row>
        <row r="7515">
          <cell r="W7515">
            <v>0</v>
          </cell>
          <cell r="AB7515" t="str">
            <v>line item not tagged</v>
          </cell>
        </row>
        <row r="7516">
          <cell r="W7516">
            <v>0</v>
          </cell>
          <cell r="AB7516" t="str">
            <v>line item not tagged</v>
          </cell>
        </row>
        <row r="7517">
          <cell r="W7517">
            <v>0</v>
          </cell>
          <cell r="AB7517" t="str">
            <v>line item not tagged</v>
          </cell>
        </row>
        <row r="7518">
          <cell r="W7518">
            <v>0</v>
          </cell>
          <cell r="AB7518" t="str">
            <v>line item not tagged</v>
          </cell>
        </row>
        <row r="7519">
          <cell r="W7519">
            <v>0</v>
          </cell>
          <cell r="AB7519" t="str">
            <v>line item not tagged</v>
          </cell>
        </row>
        <row r="7520">
          <cell r="W7520">
            <v>0</v>
          </cell>
          <cell r="AB7520" t="str">
            <v>line item not tagged</v>
          </cell>
        </row>
        <row r="7521">
          <cell r="W7521">
            <v>0</v>
          </cell>
          <cell r="AB7521" t="str">
            <v>line item not tagged</v>
          </cell>
        </row>
        <row r="7522">
          <cell r="W7522">
            <v>0</v>
          </cell>
          <cell r="AB7522" t="str">
            <v>line item not tagged</v>
          </cell>
        </row>
        <row r="7523">
          <cell r="W7523">
            <v>0</v>
          </cell>
          <cell r="AB7523" t="str">
            <v>line item not tagged</v>
          </cell>
        </row>
        <row r="7524">
          <cell r="W7524">
            <v>0</v>
          </cell>
          <cell r="AB7524" t="str">
            <v>line item not tagged</v>
          </cell>
        </row>
        <row r="7525">
          <cell r="W7525">
            <v>0</v>
          </cell>
          <cell r="AB7525" t="str">
            <v>line item not tagged</v>
          </cell>
        </row>
        <row r="7526">
          <cell r="W7526">
            <v>0</v>
          </cell>
          <cell r="AB7526" t="str">
            <v>line item not tagged</v>
          </cell>
        </row>
        <row r="7527">
          <cell r="W7527">
            <v>0</v>
          </cell>
          <cell r="AB7527" t="str">
            <v>line item not tagged</v>
          </cell>
        </row>
        <row r="7528">
          <cell r="W7528">
            <v>0</v>
          </cell>
          <cell r="AB7528" t="str">
            <v>line item not tagged</v>
          </cell>
        </row>
        <row r="7529">
          <cell r="W7529">
            <v>0</v>
          </cell>
          <cell r="AB7529" t="str">
            <v>line item not tagged</v>
          </cell>
        </row>
        <row r="7530">
          <cell r="W7530">
            <v>0</v>
          </cell>
          <cell r="AB7530" t="str">
            <v>line item not tagged</v>
          </cell>
        </row>
        <row r="7531">
          <cell r="W7531">
            <v>0</v>
          </cell>
          <cell r="AB7531" t="str">
            <v>line item not tagged</v>
          </cell>
        </row>
        <row r="7532">
          <cell r="W7532">
            <v>0</v>
          </cell>
          <cell r="AB7532" t="str">
            <v>line item not tagged</v>
          </cell>
        </row>
        <row r="7533">
          <cell r="W7533">
            <v>0</v>
          </cell>
          <cell r="AB7533" t="str">
            <v>line item not tagged</v>
          </cell>
        </row>
        <row r="7534">
          <cell r="W7534">
            <v>0</v>
          </cell>
          <cell r="AB7534" t="str">
            <v>line item not tagged</v>
          </cell>
        </row>
        <row r="7535">
          <cell r="W7535">
            <v>0</v>
          </cell>
          <cell r="AB7535" t="str">
            <v>line item not tagged</v>
          </cell>
        </row>
        <row r="7536">
          <cell r="W7536">
            <v>0</v>
          </cell>
          <cell r="AB7536" t="str">
            <v>line item not tagged</v>
          </cell>
        </row>
        <row r="7537">
          <cell r="W7537">
            <v>0</v>
          </cell>
          <cell r="AB7537" t="str">
            <v>line item not tagged</v>
          </cell>
        </row>
        <row r="7538">
          <cell r="W7538">
            <v>0</v>
          </cell>
          <cell r="AB7538" t="str">
            <v>line item not tagged</v>
          </cell>
        </row>
        <row r="7539">
          <cell r="W7539">
            <v>0</v>
          </cell>
          <cell r="AB7539" t="str">
            <v>line item not tagged</v>
          </cell>
        </row>
        <row r="7540">
          <cell r="W7540">
            <v>0</v>
          </cell>
          <cell r="AB7540" t="str">
            <v>line item not tagged</v>
          </cell>
        </row>
        <row r="7541">
          <cell r="W7541">
            <v>0</v>
          </cell>
          <cell r="AB7541" t="str">
            <v>line item not tagged</v>
          </cell>
        </row>
        <row r="7542">
          <cell r="W7542">
            <v>0</v>
          </cell>
          <cell r="AB7542" t="str">
            <v>line item not tagged</v>
          </cell>
        </row>
        <row r="7543">
          <cell r="W7543">
            <v>0</v>
          </cell>
          <cell r="AB7543" t="str">
            <v>line item not tagged</v>
          </cell>
        </row>
        <row r="7544">
          <cell r="W7544">
            <v>0</v>
          </cell>
          <cell r="AB7544" t="str">
            <v>line item not tagged</v>
          </cell>
        </row>
        <row r="7545">
          <cell r="W7545">
            <v>0</v>
          </cell>
          <cell r="AB7545" t="str">
            <v>line item not tagged</v>
          </cell>
        </row>
        <row r="7546">
          <cell r="W7546">
            <v>0</v>
          </cell>
          <cell r="AB7546" t="str">
            <v>line item not tagged</v>
          </cell>
        </row>
        <row r="7547">
          <cell r="W7547">
            <v>0</v>
          </cell>
          <cell r="AB7547" t="str">
            <v>line item not tagged</v>
          </cell>
        </row>
        <row r="7548">
          <cell r="W7548">
            <v>0</v>
          </cell>
          <cell r="AB7548" t="str">
            <v>line item not tagged</v>
          </cell>
        </row>
        <row r="7549">
          <cell r="W7549">
            <v>0</v>
          </cell>
          <cell r="AB7549" t="str">
            <v>line item not tagged</v>
          </cell>
        </row>
        <row r="7550">
          <cell r="W7550">
            <v>0</v>
          </cell>
          <cell r="AB7550" t="str">
            <v>line item not tagged</v>
          </cell>
        </row>
        <row r="7551">
          <cell r="W7551">
            <v>0</v>
          </cell>
          <cell r="AB7551" t="str">
            <v>line item not tagged</v>
          </cell>
        </row>
        <row r="7552">
          <cell r="W7552">
            <v>0</v>
          </cell>
          <cell r="AB7552" t="str">
            <v>line item not tagged</v>
          </cell>
        </row>
        <row r="7553">
          <cell r="W7553">
            <v>0</v>
          </cell>
          <cell r="AB7553" t="str">
            <v>line item not tagged</v>
          </cell>
        </row>
        <row r="7554">
          <cell r="W7554">
            <v>0</v>
          </cell>
          <cell r="AB7554" t="str">
            <v>line item not tagged</v>
          </cell>
        </row>
        <row r="7555">
          <cell r="W7555">
            <v>0</v>
          </cell>
          <cell r="AB7555" t="str">
            <v>line item not tagged</v>
          </cell>
        </row>
        <row r="7556">
          <cell r="W7556">
            <v>0</v>
          </cell>
          <cell r="AB7556" t="str">
            <v>line item not tagged</v>
          </cell>
        </row>
        <row r="7557">
          <cell r="W7557">
            <v>0</v>
          </cell>
          <cell r="AB7557" t="str">
            <v>line item not tagged</v>
          </cell>
        </row>
        <row r="7558">
          <cell r="W7558">
            <v>0</v>
          </cell>
          <cell r="AB7558" t="str">
            <v>line item not tagged</v>
          </cell>
        </row>
        <row r="7559">
          <cell r="W7559">
            <v>0</v>
          </cell>
          <cell r="AB7559" t="str">
            <v>line item not tagged</v>
          </cell>
        </row>
        <row r="7560">
          <cell r="W7560">
            <v>0</v>
          </cell>
          <cell r="AB7560" t="str">
            <v>line item not tagged</v>
          </cell>
        </row>
        <row r="7561">
          <cell r="W7561">
            <v>0</v>
          </cell>
          <cell r="AB7561" t="str">
            <v>line item not tagged</v>
          </cell>
        </row>
        <row r="7562">
          <cell r="W7562">
            <v>0</v>
          </cell>
          <cell r="AB7562" t="str">
            <v>line item not tagged</v>
          </cell>
        </row>
        <row r="7563">
          <cell r="W7563">
            <v>0</v>
          </cell>
          <cell r="AB7563" t="str">
            <v>line item not tagged</v>
          </cell>
        </row>
        <row r="7564">
          <cell r="W7564">
            <v>0</v>
          </cell>
          <cell r="AB7564" t="str">
            <v>line item not tagged</v>
          </cell>
        </row>
        <row r="7565">
          <cell r="W7565">
            <v>0</v>
          </cell>
          <cell r="AB7565" t="str">
            <v>line item not tagged</v>
          </cell>
        </row>
        <row r="7566">
          <cell r="W7566">
            <v>0</v>
          </cell>
          <cell r="AB7566" t="str">
            <v>line item not tagged</v>
          </cell>
        </row>
        <row r="7567">
          <cell r="W7567">
            <v>0</v>
          </cell>
          <cell r="AB7567" t="str">
            <v>line item not tagged</v>
          </cell>
        </row>
        <row r="7568">
          <cell r="W7568">
            <v>0</v>
          </cell>
          <cell r="AB7568" t="str">
            <v>line item not tagged</v>
          </cell>
        </row>
        <row r="7569">
          <cell r="W7569">
            <v>0</v>
          </cell>
          <cell r="AB7569" t="str">
            <v>line item not tagged</v>
          </cell>
        </row>
        <row r="7570">
          <cell r="W7570">
            <v>0</v>
          </cell>
          <cell r="AB7570" t="str">
            <v>line item not tagged</v>
          </cell>
        </row>
        <row r="7571">
          <cell r="W7571">
            <v>0</v>
          </cell>
          <cell r="AB7571" t="str">
            <v>line item not tagged</v>
          </cell>
        </row>
        <row r="7572">
          <cell r="W7572">
            <v>0</v>
          </cell>
          <cell r="AB7572" t="str">
            <v>line item not tagged</v>
          </cell>
        </row>
        <row r="7573">
          <cell r="W7573">
            <v>0</v>
          </cell>
          <cell r="AB7573" t="str">
            <v>line item not tagged</v>
          </cell>
        </row>
        <row r="7574">
          <cell r="W7574">
            <v>0</v>
          </cell>
          <cell r="AB7574" t="str">
            <v>line item not tagged</v>
          </cell>
        </row>
        <row r="7575">
          <cell r="W7575">
            <v>0</v>
          </cell>
          <cell r="AB7575" t="str">
            <v>line item not tagged</v>
          </cell>
        </row>
        <row r="7576">
          <cell r="W7576">
            <v>0</v>
          </cell>
          <cell r="AB7576" t="str">
            <v>line item not tagged</v>
          </cell>
        </row>
        <row r="7577">
          <cell r="W7577">
            <v>0</v>
          </cell>
          <cell r="AB7577" t="str">
            <v>line item not tagged</v>
          </cell>
        </row>
        <row r="7578">
          <cell r="W7578">
            <v>0</v>
          </cell>
          <cell r="AB7578" t="str">
            <v>line item not tagged</v>
          </cell>
        </row>
        <row r="7579">
          <cell r="W7579">
            <v>0</v>
          </cell>
          <cell r="AB7579" t="str">
            <v>line item not tagged</v>
          </cell>
        </row>
        <row r="7580">
          <cell r="W7580">
            <v>0</v>
          </cell>
          <cell r="AB7580" t="str">
            <v>line item not tagged</v>
          </cell>
        </row>
        <row r="7581">
          <cell r="W7581">
            <v>0</v>
          </cell>
          <cell r="AB7581" t="str">
            <v>line item not tagged</v>
          </cell>
        </row>
        <row r="7582">
          <cell r="W7582">
            <v>0</v>
          </cell>
          <cell r="AB7582" t="str">
            <v>line item not tagged</v>
          </cell>
        </row>
        <row r="7583">
          <cell r="W7583">
            <v>0</v>
          </cell>
          <cell r="AB7583" t="str">
            <v>line item not tagged</v>
          </cell>
        </row>
        <row r="7584">
          <cell r="W7584">
            <v>0</v>
          </cell>
          <cell r="AB7584" t="str">
            <v>line item not tagged</v>
          </cell>
        </row>
        <row r="7585">
          <cell r="W7585">
            <v>0</v>
          </cell>
          <cell r="AB7585" t="str">
            <v>line item not tagged</v>
          </cell>
        </row>
        <row r="7586">
          <cell r="W7586">
            <v>0</v>
          </cell>
          <cell r="AB7586" t="str">
            <v>line item not tagged</v>
          </cell>
        </row>
        <row r="7587">
          <cell r="W7587">
            <v>0</v>
          </cell>
          <cell r="AB7587" t="str">
            <v>line item not tagged</v>
          </cell>
        </row>
        <row r="7588">
          <cell r="W7588">
            <v>0</v>
          </cell>
          <cell r="AB7588" t="str">
            <v>line item not tagged</v>
          </cell>
        </row>
        <row r="7589">
          <cell r="W7589">
            <v>0</v>
          </cell>
          <cell r="AB7589" t="str">
            <v>line item not tagged</v>
          </cell>
        </row>
        <row r="7590">
          <cell r="W7590">
            <v>0</v>
          </cell>
          <cell r="AB7590" t="str">
            <v>line item not tagged</v>
          </cell>
        </row>
        <row r="7591">
          <cell r="W7591">
            <v>0</v>
          </cell>
          <cell r="AB7591" t="str">
            <v>line item not tagged</v>
          </cell>
        </row>
        <row r="7592">
          <cell r="W7592">
            <v>0</v>
          </cell>
          <cell r="AB7592" t="str">
            <v>line item not tagged</v>
          </cell>
        </row>
        <row r="7593">
          <cell r="W7593">
            <v>0</v>
          </cell>
          <cell r="AB7593" t="str">
            <v>line item not tagged</v>
          </cell>
        </row>
        <row r="7594">
          <cell r="W7594">
            <v>0</v>
          </cell>
          <cell r="AB7594" t="str">
            <v>line item not tagged</v>
          </cell>
        </row>
        <row r="7595">
          <cell r="W7595">
            <v>0</v>
          </cell>
          <cell r="AB7595" t="str">
            <v>line item not tagged</v>
          </cell>
        </row>
        <row r="7596">
          <cell r="W7596">
            <v>0</v>
          </cell>
          <cell r="AB7596" t="str">
            <v>line item not tagged</v>
          </cell>
        </row>
        <row r="7597">
          <cell r="W7597">
            <v>0</v>
          </cell>
          <cell r="AB7597" t="str">
            <v>line item not tagged</v>
          </cell>
        </row>
        <row r="7598">
          <cell r="W7598">
            <v>0</v>
          </cell>
          <cell r="AB7598" t="str">
            <v>line item not tagged</v>
          </cell>
        </row>
        <row r="7599">
          <cell r="W7599">
            <v>0</v>
          </cell>
          <cell r="AB7599" t="str">
            <v>line item not tagged</v>
          </cell>
        </row>
        <row r="7600">
          <cell r="W7600">
            <v>0</v>
          </cell>
          <cell r="AB7600" t="str">
            <v>line item not tagged</v>
          </cell>
        </row>
        <row r="7601">
          <cell r="W7601">
            <v>0</v>
          </cell>
          <cell r="AB7601" t="str">
            <v>line item not tagged</v>
          </cell>
        </row>
        <row r="7602">
          <cell r="W7602">
            <v>0</v>
          </cell>
          <cell r="AB7602" t="str">
            <v>line item not tagged</v>
          </cell>
        </row>
        <row r="7603">
          <cell r="W7603">
            <v>0</v>
          </cell>
          <cell r="AB7603" t="str">
            <v>line item not tagged</v>
          </cell>
        </row>
        <row r="7604">
          <cell r="W7604">
            <v>0</v>
          </cell>
          <cell r="AB7604" t="str">
            <v>line item not tagged</v>
          </cell>
        </row>
        <row r="7605">
          <cell r="W7605">
            <v>0</v>
          </cell>
          <cell r="AB7605" t="str">
            <v>line item not tagged</v>
          </cell>
        </row>
        <row r="7606">
          <cell r="W7606">
            <v>0</v>
          </cell>
          <cell r="AB7606" t="str">
            <v>line item not tagged</v>
          </cell>
        </row>
        <row r="7607">
          <cell r="W7607">
            <v>0</v>
          </cell>
          <cell r="AB7607" t="str">
            <v>line item not tagged</v>
          </cell>
        </row>
        <row r="7608">
          <cell r="W7608">
            <v>0</v>
          </cell>
          <cell r="AB7608" t="str">
            <v>line item not tagged</v>
          </cell>
        </row>
        <row r="7609">
          <cell r="W7609">
            <v>0</v>
          </cell>
          <cell r="AB7609" t="str">
            <v>line item not tagged</v>
          </cell>
        </row>
        <row r="7610">
          <cell r="W7610">
            <v>0</v>
          </cell>
          <cell r="AB7610" t="str">
            <v>line item not tagged</v>
          </cell>
        </row>
        <row r="7611">
          <cell r="W7611">
            <v>0</v>
          </cell>
          <cell r="AB7611" t="str">
            <v>line item not tagged</v>
          </cell>
        </row>
        <row r="7612">
          <cell r="W7612">
            <v>0</v>
          </cell>
          <cell r="AB7612" t="str">
            <v>line item not tagged</v>
          </cell>
        </row>
        <row r="7613">
          <cell r="W7613">
            <v>0</v>
          </cell>
          <cell r="AB7613" t="str">
            <v>line item not tagged</v>
          </cell>
        </row>
        <row r="7614">
          <cell r="W7614">
            <v>0</v>
          </cell>
          <cell r="AB7614" t="str">
            <v>line item not tagged</v>
          </cell>
        </row>
        <row r="7615">
          <cell r="W7615">
            <v>0</v>
          </cell>
          <cell r="AB7615" t="str">
            <v>line item not tagged</v>
          </cell>
        </row>
        <row r="7616">
          <cell r="W7616">
            <v>0</v>
          </cell>
          <cell r="AB7616" t="str">
            <v>line item not tagged</v>
          </cell>
        </row>
        <row r="7617">
          <cell r="W7617">
            <v>0</v>
          </cell>
          <cell r="AB7617" t="str">
            <v>line item not tagged</v>
          </cell>
        </row>
        <row r="7618">
          <cell r="W7618">
            <v>0</v>
          </cell>
          <cell r="AB7618" t="str">
            <v>line item not tagged</v>
          </cell>
        </row>
        <row r="7619">
          <cell r="W7619">
            <v>0</v>
          </cell>
          <cell r="AB7619" t="str">
            <v>line item not tagged</v>
          </cell>
        </row>
        <row r="7620">
          <cell r="W7620">
            <v>0</v>
          </cell>
          <cell r="AB7620" t="str">
            <v>line item not tagged</v>
          </cell>
        </row>
        <row r="7621">
          <cell r="W7621">
            <v>0</v>
          </cell>
          <cell r="AB7621" t="str">
            <v>line item not tagged</v>
          </cell>
        </row>
        <row r="7622">
          <cell r="W7622">
            <v>0</v>
          </cell>
          <cell r="AB7622" t="str">
            <v>line item not tagged</v>
          </cell>
        </row>
        <row r="7623">
          <cell r="W7623">
            <v>0</v>
          </cell>
          <cell r="AB7623" t="str">
            <v>line item not tagged</v>
          </cell>
        </row>
        <row r="7624">
          <cell r="W7624">
            <v>0</v>
          </cell>
          <cell r="AB7624" t="str">
            <v>line item not tagged</v>
          </cell>
        </row>
        <row r="7625">
          <cell r="W7625">
            <v>0</v>
          </cell>
          <cell r="AB7625" t="str">
            <v>line item not tagged</v>
          </cell>
        </row>
        <row r="7626">
          <cell r="W7626">
            <v>0</v>
          </cell>
          <cell r="AB7626" t="str">
            <v>line item not tagged</v>
          </cell>
        </row>
        <row r="7627">
          <cell r="W7627">
            <v>0</v>
          </cell>
          <cell r="AB7627" t="str">
            <v>line item not tagged</v>
          </cell>
        </row>
        <row r="7628">
          <cell r="W7628">
            <v>0</v>
          </cell>
          <cell r="AB7628" t="str">
            <v>line item not tagged</v>
          </cell>
        </row>
        <row r="7629">
          <cell r="W7629">
            <v>0</v>
          </cell>
          <cell r="AB7629" t="str">
            <v>line item not tagged</v>
          </cell>
        </row>
        <row r="7630">
          <cell r="W7630">
            <v>0</v>
          </cell>
          <cell r="AB7630" t="str">
            <v>line item not tagged</v>
          </cell>
        </row>
        <row r="7631">
          <cell r="W7631">
            <v>0</v>
          </cell>
          <cell r="AB7631" t="str">
            <v>line item not tagged</v>
          </cell>
        </row>
        <row r="7632">
          <cell r="W7632">
            <v>0</v>
          </cell>
          <cell r="AB7632" t="str">
            <v>line item not tagged</v>
          </cell>
        </row>
        <row r="7633">
          <cell r="W7633">
            <v>0</v>
          </cell>
          <cell r="AB7633" t="str">
            <v>line item not tagged</v>
          </cell>
        </row>
        <row r="7634">
          <cell r="W7634">
            <v>0</v>
          </cell>
          <cell r="AB7634" t="str">
            <v>line item not tagged</v>
          </cell>
        </row>
        <row r="7635">
          <cell r="W7635">
            <v>0</v>
          </cell>
          <cell r="AB7635" t="str">
            <v>line item not tagged</v>
          </cell>
        </row>
        <row r="7636">
          <cell r="W7636">
            <v>0</v>
          </cell>
          <cell r="AB7636" t="str">
            <v>line item not tagged</v>
          </cell>
        </row>
        <row r="7637">
          <cell r="W7637">
            <v>0</v>
          </cell>
          <cell r="AB7637" t="str">
            <v>line item not tagged</v>
          </cell>
        </row>
        <row r="7638">
          <cell r="W7638">
            <v>0</v>
          </cell>
          <cell r="AB7638" t="str">
            <v>line item not tagged</v>
          </cell>
        </row>
        <row r="7639">
          <cell r="W7639">
            <v>0</v>
          </cell>
          <cell r="AB7639" t="str">
            <v>line item not tagged</v>
          </cell>
        </row>
        <row r="7640">
          <cell r="W7640">
            <v>0</v>
          </cell>
          <cell r="AB7640" t="str">
            <v>line item not tagged</v>
          </cell>
        </row>
        <row r="7641">
          <cell r="W7641">
            <v>0</v>
          </cell>
          <cell r="AB7641" t="str">
            <v>line item not tagged</v>
          </cell>
        </row>
        <row r="7642">
          <cell r="W7642">
            <v>0</v>
          </cell>
          <cell r="AB7642" t="str">
            <v>line item not tagged</v>
          </cell>
        </row>
        <row r="7643">
          <cell r="W7643">
            <v>0</v>
          </cell>
          <cell r="AB7643" t="str">
            <v>line item not tagged</v>
          </cell>
        </row>
        <row r="7644">
          <cell r="W7644">
            <v>0</v>
          </cell>
          <cell r="AB7644" t="str">
            <v>line item not tagged</v>
          </cell>
        </row>
        <row r="7645">
          <cell r="W7645">
            <v>0</v>
          </cell>
          <cell r="AB7645" t="str">
            <v>line item not tagged</v>
          </cell>
        </row>
        <row r="7646">
          <cell r="W7646">
            <v>0</v>
          </cell>
          <cell r="AB7646" t="str">
            <v>line item not tagged</v>
          </cell>
        </row>
        <row r="7647">
          <cell r="W7647">
            <v>0</v>
          </cell>
          <cell r="AB7647" t="str">
            <v>line item not tagged</v>
          </cell>
        </row>
        <row r="7648">
          <cell r="W7648">
            <v>0</v>
          </cell>
          <cell r="AB7648" t="str">
            <v>line item not tagged</v>
          </cell>
        </row>
        <row r="7649">
          <cell r="W7649">
            <v>0</v>
          </cell>
          <cell r="AB7649" t="str">
            <v>line item not tagged</v>
          </cell>
        </row>
        <row r="7650">
          <cell r="W7650">
            <v>0</v>
          </cell>
          <cell r="AB7650" t="str">
            <v>line item not tagged</v>
          </cell>
        </row>
        <row r="7651">
          <cell r="W7651">
            <v>0</v>
          </cell>
          <cell r="AB7651" t="str">
            <v>line item not tagged</v>
          </cell>
        </row>
        <row r="7652">
          <cell r="W7652">
            <v>0</v>
          </cell>
          <cell r="AB7652" t="str">
            <v>line item not tagged</v>
          </cell>
        </row>
        <row r="7653">
          <cell r="W7653">
            <v>0</v>
          </cell>
          <cell r="AB7653" t="str">
            <v>line item not tagged</v>
          </cell>
        </row>
        <row r="7654">
          <cell r="W7654">
            <v>0</v>
          </cell>
          <cell r="AB7654" t="str">
            <v>line item not tagged</v>
          </cell>
        </row>
        <row r="7655">
          <cell r="W7655">
            <v>0</v>
          </cell>
          <cell r="AB7655" t="str">
            <v>line item not tagged</v>
          </cell>
        </row>
        <row r="7656">
          <cell r="W7656">
            <v>0</v>
          </cell>
          <cell r="AB7656" t="str">
            <v>line item not tagged</v>
          </cell>
        </row>
        <row r="7657">
          <cell r="W7657">
            <v>0</v>
          </cell>
          <cell r="AB7657" t="str">
            <v>line item not tagged</v>
          </cell>
        </row>
        <row r="7658">
          <cell r="W7658">
            <v>0</v>
          </cell>
          <cell r="AB7658" t="str">
            <v>line item not tagged</v>
          </cell>
        </row>
        <row r="7659">
          <cell r="W7659">
            <v>0</v>
          </cell>
          <cell r="AB7659" t="str">
            <v>line item not tagged</v>
          </cell>
        </row>
        <row r="7660">
          <cell r="W7660">
            <v>0</v>
          </cell>
          <cell r="AB7660" t="str">
            <v>line item not tagged</v>
          </cell>
        </row>
        <row r="7661">
          <cell r="W7661">
            <v>0</v>
          </cell>
          <cell r="AB7661" t="str">
            <v>line item not tagged</v>
          </cell>
        </row>
        <row r="7662">
          <cell r="W7662">
            <v>0</v>
          </cell>
          <cell r="AB7662" t="str">
            <v>line item not tagged</v>
          </cell>
        </row>
        <row r="7663">
          <cell r="W7663">
            <v>0</v>
          </cell>
          <cell r="AB7663" t="str">
            <v>line item not tagged</v>
          </cell>
        </row>
        <row r="7664">
          <cell r="W7664">
            <v>0</v>
          </cell>
          <cell r="AB7664" t="str">
            <v>line item not tagged</v>
          </cell>
        </row>
        <row r="7665">
          <cell r="W7665">
            <v>0</v>
          </cell>
          <cell r="AB7665" t="str">
            <v>line item not tagged</v>
          </cell>
        </row>
        <row r="7666">
          <cell r="W7666">
            <v>0</v>
          </cell>
          <cell r="AB7666" t="str">
            <v>line item not tagged</v>
          </cell>
        </row>
        <row r="7667">
          <cell r="W7667">
            <v>0</v>
          </cell>
          <cell r="AB7667" t="str">
            <v>line item not tagged</v>
          </cell>
        </row>
        <row r="7668">
          <cell r="W7668">
            <v>0</v>
          </cell>
          <cell r="AB7668" t="str">
            <v>line item not tagged</v>
          </cell>
        </row>
        <row r="7669">
          <cell r="W7669">
            <v>0</v>
          </cell>
          <cell r="AB7669" t="str">
            <v>line item not tagged</v>
          </cell>
        </row>
        <row r="7670">
          <cell r="W7670">
            <v>0</v>
          </cell>
          <cell r="AB7670" t="str">
            <v>line item not tagged</v>
          </cell>
        </row>
        <row r="7671">
          <cell r="W7671">
            <v>0</v>
          </cell>
          <cell r="AB7671" t="str">
            <v>line item not tagged</v>
          </cell>
        </row>
        <row r="7672">
          <cell r="W7672">
            <v>0</v>
          </cell>
          <cell r="AB7672" t="str">
            <v>line item not tagged</v>
          </cell>
        </row>
        <row r="7673">
          <cell r="W7673">
            <v>0</v>
          </cell>
          <cell r="AB7673" t="str">
            <v>line item not tagged</v>
          </cell>
        </row>
        <row r="7674">
          <cell r="W7674">
            <v>0</v>
          </cell>
          <cell r="AB7674" t="str">
            <v>line item not tagged</v>
          </cell>
        </row>
        <row r="7675">
          <cell r="W7675">
            <v>0</v>
          </cell>
          <cell r="AB7675" t="str">
            <v>line item not tagged</v>
          </cell>
        </row>
        <row r="7676">
          <cell r="W7676">
            <v>0</v>
          </cell>
          <cell r="AB7676" t="str">
            <v>line item not tagged</v>
          </cell>
        </row>
        <row r="7677">
          <cell r="W7677">
            <v>0</v>
          </cell>
          <cell r="AB7677" t="str">
            <v>line item not tagged</v>
          </cell>
        </row>
        <row r="7678">
          <cell r="W7678">
            <v>0</v>
          </cell>
          <cell r="AB7678" t="str">
            <v>line item not tagged</v>
          </cell>
        </row>
        <row r="7679">
          <cell r="W7679">
            <v>0</v>
          </cell>
          <cell r="AB7679" t="str">
            <v>line item not tagged</v>
          </cell>
        </row>
        <row r="7680">
          <cell r="W7680">
            <v>0</v>
          </cell>
          <cell r="AB7680" t="str">
            <v>line item not tagged</v>
          </cell>
        </row>
        <row r="7681">
          <cell r="W7681">
            <v>0</v>
          </cell>
          <cell r="AB7681" t="str">
            <v>line item not tagged</v>
          </cell>
        </row>
        <row r="7682">
          <cell r="W7682">
            <v>0</v>
          </cell>
          <cell r="AB7682" t="str">
            <v>line item not tagged</v>
          </cell>
        </row>
        <row r="7683">
          <cell r="W7683">
            <v>0</v>
          </cell>
          <cell r="AB7683" t="str">
            <v>line item not tagged</v>
          </cell>
        </row>
        <row r="7684">
          <cell r="W7684">
            <v>0</v>
          </cell>
          <cell r="AB7684" t="str">
            <v>line item not tagged</v>
          </cell>
        </row>
        <row r="7685">
          <cell r="W7685">
            <v>0</v>
          </cell>
          <cell r="AB7685" t="str">
            <v>line item not tagged</v>
          </cell>
        </row>
        <row r="7686">
          <cell r="W7686">
            <v>0</v>
          </cell>
          <cell r="AB7686" t="str">
            <v>line item not tagged</v>
          </cell>
        </row>
        <row r="7687">
          <cell r="W7687">
            <v>0</v>
          </cell>
          <cell r="AB7687" t="str">
            <v>line item not tagged</v>
          </cell>
        </row>
        <row r="7688">
          <cell r="W7688">
            <v>0</v>
          </cell>
          <cell r="AB7688" t="str">
            <v>line item not tagged</v>
          </cell>
        </row>
        <row r="7689">
          <cell r="W7689">
            <v>0</v>
          </cell>
          <cell r="AB7689" t="str">
            <v>line item not tagged</v>
          </cell>
        </row>
        <row r="7690">
          <cell r="W7690">
            <v>0</v>
          </cell>
          <cell r="AB7690" t="str">
            <v>line item not tagged</v>
          </cell>
        </row>
        <row r="7691">
          <cell r="W7691">
            <v>0</v>
          </cell>
          <cell r="AB7691" t="str">
            <v>line item not tagged</v>
          </cell>
        </row>
        <row r="7692">
          <cell r="W7692">
            <v>0</v>
          </cell>
          <cell r="AB7692" t="str">
            <v>line item not tagged</v>
          </cell>
        </row>
        <row r="7693">
          <cell r="W7693">
            <v>0</v>
          </cell>
          <cell r="AB7693" t="str">
            <v>line item not tagged</v>
          </cell>
        </row>
        <row r="7694">
          <cell r="W7694">
            <v>0</v>
          </cell>
          <cell r="AB7694" t="str">
            <v>line item not tagged</v>
          </cell>
        </row>
        <row r="7695">
          <cell r="W7695">
            <v>0</v>
          </cell>
          <cell r="AB7695" t="str">
            <v>line item not tagged</v>
          </cell>
        </row>
        <row r="7696">
          <cell r="W7696">
            <v>0</v>
          </cell>
          <cell r="AB7696" t="str">
            <v>line item not tagged</v>
          </cell>
        </row>
        <row r="7697">
          <cell r="W7697">
            <v>0</v>
          </cell>
          <cell r="AB7697" t="str">
            <v>line item not tagged</v>
          </cell>
        </row>
        <row r="7698">
          <cell r="W7698">
            <v>0</v>
          </cell>
          <cell r="AB7698" t="str">
            <v>line item not tagged</v>
          </cell>
        </row>
        <row r="7699">
          <cell r="W7699">
            <v>0</v>
          </cell>
          <cell r="AB7699" t="str">
            <v>line item not tagged</v>
          </cell>
        </row>
        <row r="7700">
          <cell r="W7700">
            <v>0</v>
          </cell>
          <cell r="AB7700" t="str">
            <v>line item not tagged</v>
          </cell>
        </row>
        <row r="7701">
          <cell r="W7701">
            <v>0</v>
          </cell>
          <cell r="AB7701" t="str">
            <v>line item not tagged</v>
          </cell>
        </row>
        <row r="7702">
          <cell r="W7702">
            <v>0</v>
          </cell>
          <cell r="AB7702" t="str">
            <v>line item not tagged</v>
          </cell>
        </row>
        <row r="7703">
          <cell r="W7703">
            <v>0</v>
          </cell>
          <cell r="AB7703" t="str">
            <v>line item not tagged</v>
          </cell>
        </row>
        <row r="7704">
          <cell r="W7704">
            <v>0</v>
          </cell>
          <cell r="AB7704" t="str">
            <v>line item not tagged</v>
          </cell>
        </row>
        <row r="7705">
          <cell r="W7705">
            <v>0</v>
          </cell>
          <cell r="AB7705" t="str">
            <v>line item not tagged</v>
          </cell>
        </row>
        <row r="7706">
          <cell r="W7706">
            <v>0</v>
          </cell>
          <cell r="AB7706" t="str">
            <v>line item not tagged</v>
          </cell>
        </row>
        <row r="7707">
          <cell r="W7707">
            <v>0</v>
          </cell>
          <cell r="AB7707" t="str">
            <v>line item not tagged</v>
          </cell>
        </row>
        <row r="7708">
          <cell r="W7708">
            <v>0</v>
          </cell>
          <cell r="AB7708" t="str">
            <v>line item not tagged</v>
          </cell>
        </row>
        <row r="7709">
          <cell r="W7709">
            <v>0</v>
          </cell>
          <cell r="AB7709" t="str">
            <v>line item not tagged</v>
          </cell>
        </row>
        <row r="7710">
          <cell r="W7710">
            <v>0</v>
          </cell>
          <cell r="AB7710" t="str">
            <v>line item not tagged</v>
          </cell>
        </row>
        <row r="7711">
          <cell r="W7711">
            <v>0</v>
          </cell>
          <cell r="AB7711" t="str">
            <v>line item not tagged</v>
          </cell>
        </row>
        <row r="7712">
          <cell r="W7712">
            <v>0</v>
          </cell>
          <cell r="AB7712" t="str">
            <v>line item not tagged</v>
          </cell>
        </row>
        <row r="7713">
          <cell r="W7713">
            <v>0</v>
          </cell>
          <cell r="AB7713" t="str">
            <v>line item not tagged</v>
          </cell>
        </row>
        <row r="7714">
          <cell r="W7714">
            <v>0</v>
          </cell>
          <cell r="AB7714" t="str">
            <v>line item not tagged</v>
          </cell>
        </row>
        <row r="7715">
          <cell r="W7715">
            <v>0</v>
          </cell>
          <cell r="AB7715" t="str">
            <v>line item not tagged</v>
          </cell>
        </row>
        <row r="7716">
          <cell r="W7716">
            <v>0</v>
          </cell>
          <cell r="AB7716" t="str">
            <v>line item not tagged</v>
          </cell>
        </row>
        <row r="7717">
          <cell r="W7717">
            <v>0</v>
          </cell>
          <cell r="AB7717" t="str">
            <v>line item not tagged</v>
          </cell>
        </row>
        <row r="7718">
          <cell r="W7718">
            <v>0</v>
          </cell>
          <cell r="AB7718" t="str">
            <v>line item not tagged</v>
          </cell>
        </row>
        <row r="7719">
          <cell r="W7719">
            <v>0</v>
          </cell>
          <cell r="AB7719" t="str">
            <v>line item not tagged</v>
          </cell>
        </row>
        <row r="7720">
          <cell r="W7720">
            <v>0</v>
          </cell>
          <cell r="AB7720" t="str">
            <v>line item not tagged</v>
          </cell>
        </row>
        <row r="7721">
          <cell r="W7721">
            <v>0</v>
          </cell>
          <cell r="AB7721" t="str">
            <v>line item not tagged</v>
          </cell>
        </row>
        <row r="7722">
          <cell r="W7722">
            <v>0</v>
          </cell>
          <cell r="AB7722" t="str">
            <v>line item not tagged</v>
          </cell>
        </row>
        <row r="7723">
          <cell r="W7723">
            <v>0</v>
          </cell>
          <cell r="AB7723" t="str">
            <v>line item not tagged</v>
          </cell>
        </row>
        <row r="7724">
          <cell r="W7724">
            <v>0</v>
          </cell>
          <cell r="AB7724" t="str">
            <v>line item not tagged</v>
          </cell>
        </row>
        <row r="7725">
          <cell r="W7725">
            <v>0</v>
          </cell>
          <cell r="AB7725" t="str">
            <v>line item not tagged</v>
          </cell>
        </row>
        <row r="7726">
          <cell r="W7726">
            <v>0</v>
          </cell>
          <cell r="AB7726" t="str">
            <v>line item not tagged</v>
          </cell>
        </row>
        <row r="7727">
          <cell r="W7727">
            <v>0</v>
          </cell>
          <cell r="AB7727" t="str">
            <v>line item not tagged</v>
          </cell>
        </row>
        <row r="7728">
          <cell r="W7728">
            <v>0</v>
          </cell>
          <cell r="AB7728" t="str">
            <v>line item not tagged</v>
          </cell>
        </row>
        <row r="7729">
          <cell r="W7729">
            <v>0</v>
          </cell>
          <cell r="AB7729" t="str">
            <v>line item not tagged</v>
          </cell>
        </row>
        <row r="7730">
          <cell r="W7730">
            <v>0</v>
          </cell>
          <cell r="AB7730" t="str">
            <v>line item not tagged</v>
          </cell>
        </row>
        <row r="7731">
          <cell r="W7731">
            <v>0</v>
          </cell>
          <cell r="AB7731" t="str">
            <v>line item not tagged</v>
          </cell>
        </row>
        <row r="7732">
          <cell r="W7732">
            <v>0</v>
          </cell>
          <cell r="AB7732" t="str">
            <v>line item not tagged</v>
          </cell>
        </row>
        <row r="7733">
          <cell r="W7733">
            <v>0</v>
          </cell>
          <cell r="AB7733" t="str">
            <v>line item not tagged</v>
          </cell>
        </row>
        <row r="7734">
          <cell r="W7734">
            <v>0</v>
          </cell>
          <cell r="AB7734" t="str">
            <v>line item not tagged</v>
          </cell>
        </row>
        <row r="7735">
          <cell r="W7735">
            <v>0</v>
          </cell>
          <cell r="AB7735" t="str">
            <v>line item not tagged</v>
          </cell>
        </row>
        <row r="7736">
          <cell r="W7736">
            <v>0</v>
          </cell>
          <cell r="AB7736" t="str">
            <v>line item not tagged</v>
          </cell>
        </row>
        <row r="7737">
          <cell r="W7737">
            <v>0</v>
          </cell>
          <cell r="AB7737" t="str">
            <v>line item not tagged</v>
          </cell>
        </row>
        <row r="7738">
          <cell r="W7738">
            <v>0</v>
          </cell>
          <cell r="AB7738" t="str">
            <v>line item not tagged</v>
          </cell>
        </row>
        <row r="7739">
          <cell r="W7739">
            <v>0</v>
          </cell>
          <cell r="AB7739" t="str">
            <v>line item not tagged</v>
          </cell>
        </row>
        <row r="7740">
          <cell r="W7740">
            <v>0</v>
          </cell>
          <cell r="AB7740" t="str">
            <v>line item not tagged</v>
          </cell>
        </row>
        <row r="7741">
          <cell r="W7741">
            <v>0</v>
          </cell>
          <cell r="AB7741" t="str">
            <v>line item not tagged</v>
          </cell>
        </row>
        <row r="7742">
          <cell r="W7742">
            <v>0</v>
          </cell>
          <cell r="AB7742" t="str">
            <v>line item not tagged</v>
          </cell>
        </row>
        <row r="7743">
          <cell r="W7743">
            <v>0</v>
          </cell>
          <cell r="AB7743" t="str">
            <v>line item not tagged</v>
          </cell>
        </row>
        <row r="7744">
          <cell r="W7744">
            <v>0</v>
          </cell>
          <cell r="AB7744" t="str">
            <v>line item not tagged</v>
          </cell>
        </row>
        <row r="7745">
          <cell r="W7745">
            <v>0</v>
          </cell>
          <cell r="AB7745" t="str">
            <v>line item not tagged</v>
          </cell>
        </row>
        <row r="7746">
          <cell r="W7746">
            <v>0</v>
          </cell>
          <cell r="AB7746" t="str">
            <v>line item not tagged</v>
          </cell>
        </row>
        <row r="7747">
          <cell r="W7747">
            <v>0</v>
          </cell>
          <cell r="AB7747" t="str">
            <v>line item not tagged</v>
          </cell>
        </row>
        <row r="7748">
          <cell r="W7748">
            <v>0</v>
          </cell>
          <cell r="AB7748" t="str">
            <v>line item not tagged</v>
          </cell>
        </row>
        <row r="7749">
          <cell r="W7749">
            <v>0</v>
          </cell>
          <cell r="AB7749" t="str">
            <v>line item not tagged</v>
          </cell>
        </row>
        <row r="7750">
          <cell r="W7750">
            <v>0</v>
          </cell>
          <cell r="AB7750" t="str">
            <v>line item not tagged</v>
          </cell>
        </row>
        <row r="7751">
          <cell r="W7751">
            <v>0</v>
          </cell>
          <cell r="AB7751" t="str">
            <v>line item not tagged</v>
          </cell>
        </row>
        <row r="7752">
          <cell r="W7752">
            <v>0</v>
          </cell>
          <cell r="AB7752" t="str">
            <v>line item not tagged</v>
          </cell>
        </row>
        <row r="7753">
          <cell r="W7753">
            <v>0</v>
          </cell>
          <cell r="AB7753" t="str">
            <v>line item not tagged</v>
          </cell>
        </row>
        <row r="7754">
          <cell r="W7754">
            <v>0</v>
          </cell>
          <cell r="AB7754" t="str">
            <v>line item not tagged</v>
          </cell>
        </row>
        <row r="7755">
          <cell r="W7755">
            <v>0</v>
          </cell>
          <cell r="AB7755" t="str">
            <v>line item not tagged</v>
          </cell>
        </row>
        <row r="7756">
          <cell r="W7756">
            <v>0</v>
          </cell>
          <cell r="AB7756" t="str">
            <v>line item not tagged</v>
          </cell>
        </row>
        <row r="7757">
          <cell r="W7757">
            <v>0</v>
          </cell>
          <cell r="AB7757" t="str">
            <v>line item not tagged</v>
          </cell>
        </row>
        <row r="7758">
          <cell r="W7758">
            <v>0</v>
          </cell>
          <cell r="AB7758" t="str">
            <v>line item not tagged</v>
          </cell>
        </row>
        <row r="7759">
          <cell r="W7759">
            <v>0</v>
          </cell>
          <cell r="AB7759" t="str">
            <v>line item not tagged</v>
          </cell>
        </row>
        <row r="7760">
          <cell r="W7760">
            <v>0</v>
          </cell>
          <cell r="AB7760" t="str">
            <v>line item not tagged</v>
          </cell>
        </row>
        <row r="7761">
          <cell r="W7761">
            <v>0</v>
          </cell>
          <cell r="AB7761" t="str">
            <v>line item not tagged</v>
          </cell>
        </row>
        <row r="7762">
          <cell r="W7762">
            <v>0</v>
          </cell>
          <cell r="AB7762" t="str">
            <v>line item not tagged</v>
          </cell>
        </row>
        <row r="7763">
          <cell r="W7763">
            <v>0</v>
          </cell>
          <cell r="AB7763" t="str">
            <v>line item not tagged</v>
          </cell>
        </row>
        <row r="7764">
          <cell r="W7764">
            <v>0</v>
          </cell>
          <cell r="AB7764" t="str">
            <v>line item not tagged</v>
          </cell>
        </row>
        <row r="7765">
          <cell r="W7765">
            <v>0</v>
          </cell>
          <cell r="AB7765" t="str">
            <v>line item not tagged</v>
          </cell>
        </row>
        <row r="7766">
          <cell r="W7766">
            <v>0</v>
          </cell>
          <cell r="AB7766" t="str">
            <v>line item not tagged</v>
          </cell>
        </row>
        <row r="7767">
          <cell r="W7767">
            <v>0</v>
          </cell>
          <cell r="AB7767" t="str">
            <v>line item not tagged</v>
          </cell>
        </row>
        <row r="7768">
          <cell r="W7768">
            <v>0</v>
          </cell>
          <cell r="AB7768" t="str">
            <v>line item not tagged</v>
          </cell>
        </row>
        <row r="7769">
          <cell r="W7769">
            <v>0</v>
          </cell>
          <cell r="AB7769" t="str">
            <v>line item not tagged</v>
          </cell>
        </row>
        <row r="7770">
          <cell r="W7770">
            <v>0</v>
          </cell>
          <cell r="AB7770" t="str">
            <v>line item not tagged</v>
          </cell>
        </row>
        <row r="7771">
          <cell r="W7771">
            <v>0</v>
          </cell>
          <cell r="AB7771" t="str">
            <v>line item not tagged</v>
          </cell>
        </row>
        <row r="7772">
          <cell r="W7772">
            <v>0</v>
          </cell>
          <cell r="AB7772" t="str">
            <v>line item not tagged</v>
          </cell>
        </row>
        <row r="7773">
          <cell r="W7773">
            <v>0</v>
          </cell>
          <cell r="AB7773" t="str">
            <v>line item not tagged</v>
          </cell>
        </row>
        <row r="7774">
          <cell r="W7774">
            <v>0</v>
          </cell>
          <cell r="AB7774" t="str">
            <v>line item not tagged</v>
          </cell>
        </row>
        <row r="7775">
          <cell r="W7775">
            <v>0</v>
          </cell>
          <cell r="AB7775" t="str">
            <v>line item not tagged</v>
          </cell>
        </row>
        <row r="7776">
          <cell r="W7776">
            <v>0</v>
          </cell>
          <cell r="AB7776" t="str">
            <v>line item not tagged</v>
          </cell>
        </row>
        <row r="7777">
          <cell r="W7777">
            <v>0</v>
          </cell>
          <cell r="AB7777" t="str">
            <v>line item not tagged</v>
          </cell>
        </row>
        <row r="7778">
          <cell r="W7778">
            <v>0</v>
          </cell>
          <cell r="AB7778" t="str">
            <v>line item not tagged</v>
          </cell>
        </row>
        <row r="7779">
          <cell r="W7779">
            <v>0</v>
          </cell>
          <cell r="AB7779" t="str">
            <v>line item not tagged</v>
          </cell>
        </row>
        <row r="7780">
          <cell r="W7780">
            <v>0</v>
          </cell>
          <cell r="AB7780" t="str">
            <v>line item not tagged</v>
          </cell>
        </row>
        <row r="7781">
          <cell r="W7781">
            <v>0</v>
          </cell>
          <cell r="AB7781" t="str">
            <v>line item not tagged</v>
          </cell>
        </row>
        <row r="7782">
          <cell r="W7782">
            <v>0</v>
          </cell>
          <cell r="AB7782" t="str">
            <v>line item not tagged</v>
          </cell>
        </row>
        <row r="7783">
          <cell r="W7783">
            <v>0</v>
          </cell>
          <cell r="AB7783" t="str">
            <v>line item not tagged</v>
          </cell>
        </row>
        <row r="7784">
          <cell r="W7784">
            <v>0</v>
          </cell>
          <cell r="AB7784" t="str">
            <v>line item not tagged</v>
          </cell>
        </row>
        <row r="7785">
          <cell r="W7785">
            <v>0</v>
          </cell>
          <cell r="AB7785" t="str">
            <v>line item not tagged</v>
          </cell>
        </row>
        <row r="7786">
          <cell r="W7786">
            <v>0</v>
          </cell>
          <cell r="AB7786" t="str">
            <v>line item not tagged</v>
          </cell>
        </row>
        <row r="7787">
          <cell r="W7787">
            <v>0</v>
          </cell>
          <cell r="AB7787" t="str">
            <v>line item not tagged</v>
          </cell>
        </row>
        <row r="7788">
          <cell r="W7788">
            <v>0</v>
          </cell>
          <cell r="AB7788" t="str">
            <v>line item not tagged</v>
          </cell>
        </row>
        <row r="7789">
          <cell r="W7789">
            <v>0</v>
          </cell>
          <cell r="AB7789" t="str">
            <v>line item not tagged</v>
          </cell>
        </row>
        <row r="7790">
          <cell r="W7790">
            <v>0</v>
          </cell>
          <cell r="AB7790" t="str">
            <v>line item not tagged</v>
          </cell>
        </row>
        <row r="7791">
          <cell r="W7791">
            <v>0</v>
          </cell>
          <cell r="AB7791" t="str">
            <v>line item not tagged</v>
          </cell>
        </row>
        <row r="7792">
          <cell r="W7792">
            <v>0</v>
          </cell>
          <cell r="AB7792" t="str">
            <v>line item not tagged</v>
          </cell>
        </row>
        <row r="7793">
          <cell r="W7793">
            <v>0</v>
          </cell>
          <cell r="AB7793" t="str">
            <v>line item not tagged</v>
          </cell>
        </row>
        <row r="7794">
          <cell r="W7794">
            <v>0</v>
          </cell>
          <cell r="AB7794" t="str">
            <v>line item not tagged</v>
          </cell>
        </row>
        <row r="7795">
          <cell r="W7795">
            <v>0</v>
          </cell>
          <cell r="AB7795" t="str">
            <v>line item not tagged</v>
          </cell>
        </row>
        <row r="7796">
          <cell r="W7796">
            <v>0</v>
          </cell>
          <cell r="AB7796" t="str">
            <v>line item not tagged</v>
          </cell>
        </row>
        <row r="7797">
          <cell r="W7797">
            <v>0</v>
          </cell>
          <cell r="AB7797" t="str">
            <v>line item not tagged</v>
          </cell>
        </row>
        <row r="7798">
          <cell r="W7798">
            <v>0</v>
          </cell>
          <cell r="AB7798" t="str">
            <v>line item not tagged</v>
          </cell>
        </row>
        <row r="7799">
          <cell r="W7799">
            <v>0</v>
          </cell>
          <cell r="AB7799" t="str">
            <v>line item not tagged</v>
          </cell>
        </row>
        <row r="7800">
          <cell r="W7800">
            <v>0</v>
          </cell>
          <cell r="AB7800" t="str">
            <v>line item not tagged</v>
          </cell>
        </row>
        <row r="7801">
          <cell r="W7801">
            <v>0</v>
          </cell>
          <cell r="AB7801" t="str">
            <v>line item not tagged</v>
          </cell>
        </row>
        <row r="7802">
          <cell r="W7802">
            <v>0</v>
          </cell>
          <cell r="AB7802" t="str">
            <v>line item not tagged</v>
          </cell>
        </row>
        <row r="7803">
          <cell r="W7803">
            <v>0</v>
          </cell>
          <cell r="AB7803" t="str">
            <v>line item not tagged</v>
          </cell>
        </row>
        <row r="7804">
          <cell r="W7804">
            <v>0</v>
          </cell>
          <cell r="AB7804" t="str">
            <v>line item not tagged</v>
          </cell>
        </row>
        <row r="7805">
          <cell r="W7805">
            <v>0</v>
          </cell>
          <cell r="AB7805" t="str">
            <v>line item not tagged</v>
          </cell>
        </row>
        <row r="7806">
          <cell r="W7806">
            <v>0</v>
          </cell>
          <cell r="AB7806" t="str">
            <v>line item not tagged</v>
          </cell>
        </row>
        <row r="7807">
          <cell r="W7807">
            <v>0</v>
          </cell>
          <cell r="AB7807" t="str">
            <v>line item not tagged</v>
          </cell>
        </row>
        <row r="7808">
          <cell r="W7808">
            <v>0</v>
          </cell>
          <cell r="AB7808" t="str">
            <v>line item not tagged</v>
          </cell>
        </row>
        <row r="7809">
          <cell r="W7809">
            <v>0</v>
          </cell>
          <cell r="AB7809" t="str">
            <v>line item not tagged</v>
          </cell>
        </row>
        <row r="7810">
          <cell r="W7810">
            <v>0</v>
          </cell>
          <cell r="AB7810" t="str">
            <v>line item not tagged</v>
          </cell>
        </row>
        <row r="7811">
          <cell r="W7811">
            <v>0</v>
          </cell>
          <cell r="AB7811" t="str">
            <v>line item not tagged</v>
          </cell>
        </row>
        <row r="7812">
          <cell r="W7812">
            <v>0</v>
          </cell>
          <cell r="AB7812" t="str">
            <v>line item not tagged</v>
          </cell>
        </row>
        <row r="7813">
          <cell r="W7813">
            <v>0</v>
          </cell>
          <cell r="AB7813" t="str">
            <v>line item not tagged</v>
          </cell>
        </row>
        <row r="7814">
          <cell r="W7814">
            <v>0</v>
          </cell>
          <cell r="AB7814" t="str">
            <v>line item not tagged</v>
          </cell>
        </row>
        <row r="7815">
          <cell r="W7815">
            <v>0</v>
          </cell>
          <cell r="AB7815" t="str">
            <v>line item not tagged</v>
          </cell>
        </row>
        <row r="7816">
          <cell r="W7816">
            <v>0</v>
          </cell>
          <cell r="AB7816" t="str">
            <v>line item not tagged</v>
          </cell>
        </row>
        <row r="7817">
          <cell r="W7817">
            <v>0</v>
          </cell>
          <cell r="AB7817" t="str">
            <v>line item not tagged</v>
          </cell>
        </row>
        <row r="7818">
          <cell r="W7818">
            <v>0</v>
          </cell>
          <cell r="AB7818" t="str">
            <v>line item not tagged</v>
          </cell>
        </row>
        <row r="7819">
          <cell r="W7819">
            <v>0</v>
          </cell>
          <cell r="AB7819" t="str">
            <v>line item not tagged</v>
          </cell>
        </row>
        <row r="7820">
          <cell r="W7820">
            <v>0</v>
          </cell>
          <cell r="AB7820" t="str">
            <v>line item not tagged</v>
          </cell>
        </row>
        <row r="7821">
          <cell r="W7821">
            <v>0</v>
          </cell>
          <cell r="AB7821" t="str">
            <v>line item not tagged</v>
          </cell>
        </row>
        <row r="7822">
          <cell r="W7822">
            <v>0</v>
          </cell>
          <cell r="AB7822" t="str">
            <v>line item not tagged</v>
          </cell>
        </row>
        <row r="7823">
          <cell r="W7823">
            <v>0</v>
          </cell>
          <cell r="AB7823" t="str">
            <v>line item not tagged</v>
          </cell>
        </row>
        <row r="7824">
          <cell r="W7824">
            <v>0</v>
          </cell>
          <cell r="AB7824" t="str">
            <v>line item not tagged</v>
          </cell>
        </row>
        <row r="7825">
          <cell r="W7825">
            <v>0</v>
          </cell>
          <cell r="AB7825" t="str">
            <v>line item not tagged</v>
          </cell>
        </row>
        <row r="7826">
          <cell r="W7826">
            <v>0</v>
          </cell>
          <cell r="AB7826" t="str">
            <v>line item not tagged</v>
          </cell>
        </row>
        <row r="7827">
          <cell r="W7827">
            <v>0</v>
          </cell>
          <cell r="AB7827" t="str">
            <v>line item not tagged</v>
          </cell>
        </row>
        <row r="7828">
          <cell r="W7828">
            <v>0</v>
          </cell>
          <cell r="AB7828" t="str">
            <v>line item not tagged</v>
          </cell>
        </row>
        <row r="7829">
          <cell r="W7829">
            <v>0</v>
          </cell>
          <cell r="AB7829" t="str">
            <v>line item not tagged</v>
          </cell>
        </row>
        <row r="7830">
          <cell r="W7830">
            <v>0</v>
          </cell>
          <cell r="AB7830" t="str">
            <v>line item not tagged</v>
          </cell>
        </row>
        <row r="7831">
          <cell r="W7831">
            <v>0</v>
          </cell>
          <cell r="AB7831" t="str">
            <v>line item not tagged</v>
          </cell>
        </row>
        <row r="7832">
          <cell r="W7832">
            <v>0</v>
          </cell>
          <cell r="AB7832" t="str">
            <v>line item not tagged</v>
          </cell>
        </row>
        <row r="7833">
          <cell r="W7833">
            <v>0</v>
          </cell>
          <cell r="AB7833" t="str">
            <v>line item not tagged</v>
          </cell>
        </row>
        <row r="7834">
          <cell r="W7834">
            <v>0</v>
          </cell>
          <cell r="AB7834" t="str">
            <v>line item not tagged</v>
          </cell>
        </row>
        <row r="7835">
          <cell r="W7835">
            <v>0</v>
          </cell>
          <cell r="AB7835" t="str">
            <v>line item not tagged</v>
          </cell>
        </row>
        <row r="7836">
          <cell r="W7836">
            <v>0</v>
          </cell>
          <cell r="AB7836" t="str">
            <v>line item not tagged</v>
          </cell>
        </row>
        <row r="7837">
          <cell r="W7837">
            <v>0</v>
          </cell>
          <cell r="AB7837" t="str">
            <v>line item not tagged</v>
          </cell>
        </row>
        <row r="7838">
          <cell r="W7838">
            <v>0</v>
          </cell>
          <cell r="AB7838" t="str">
            <v>line item not tagged</v>
          </cell>
        </row>
        <row r="7839">
          <cell r="W7839">
            <v>0</v>
          </cell>
          <cell r="AB7839" t="str">
            <v>line item not tagged</v>
          </cell>
        </row>
        <row r="7840">
          <cell r="W7840">
            <v>0</v>
          </cell>
          <cell r="AB7840" t="str">
            <v>line item not tagged</v>
          </cell>
        </row>
        <row r="7841">
          <cell r="W7841">
            <v>0</v>
          </cell>
          <cell r="AB7841" t="str">
            <v>line item not tagged</v>
          </cell>
        </row>
        <row r="7842">
          <cell r="W7842">
            <v>0</v>
          </cell>
          <cell r="AB7842" t="str">
            <v>line item not tagged</v>
          </cell>
        </row>
        <row r="7843">
          <cell r="W7843">
            <v>0</v>
          </cell>
          <cell r="AB7843" t="str">
            <v>line item not tagged</v>
          </cell>
        </row>
        <row r="7844">
          <cell r="W7844">
            <v>0</v>
          </cell>
          <cell r="AB7844" t="str">
            <v>line item not tagged</v>
          </cell>
        </row>
        <row r="7845">
          <cell r="W7845">
            <v>0</v>
          </cell>
          <cell r="AB7845" t="str">
            <v>line item not tagged</v>
          </cell>
        </row>
        <row r="7846">
          <cell r="W7846">
            <v>0</v>
          </cell>
          <cell r="AB7846" t="str">
            <v>line item not tagged</v>
          </cell>
        </row>
        <row r="7847">
          <cell r="W7847">
            <v>0</v>
          </cell>
          <cell r="AB7847" t="str">
            <v>line item not tagged</v>
          </cell>
        </row>
        <row r="7848">
          <cell r="W7848">
            <v>0</v>
          </cell>
          <cell r="AB7848" t="str">
            <v>line item not tagged</v>
          </cell>
        </row>
        <row r="7849">
          <cell r="W7849">
            <v>0</v>
          </cell>
          <cell r="AB7849" t="str">
            <v>line item not tagged</v>
          </cell>
        </row>
        <row r="7850">
          <cell r="W7850">
            <v>0</v>
          </cell>
          <cell r="AB7850" t="str">
            <v>line item not tagged</v>
          </cell>
        </row>
        <row r="7851">
          <cell r="W7851">
            <v>0</v>
          </cell>
          <cell r="AB7851" t="str">
            <v>line item not tagged</v>
          </cell>
        </row>
        <row r="7852">
          <cell r="W7852">
            <v>0</v>
          </cell>
          <cell r="AB7852" t="str">
            <v>line item not tagged</v>
          </cell>
        </row>
        <row r="7853">
          <cell r="W7853">
            <v>0</v>
          </cell>
          <cell r="AB7853" t="str">
            <v>line item not tagged</v>
          </cell>
        </row>
        <row r="7854">
          <cell r="W7854">
            <v>0</v>
          </cell>
          <cell r="AB7854" t="str">
            <v>line item not tagged</v>
          </cell>
        </row>
        <row r="7855">
          <cell r="W7855">
            <v>0</v>
          </cell>
          <cell r="AB7855" t="str">
            <v>line item not tagged</v>
          </cell>
        </row>
        <row r="7856">
          <cell r="W7856">
            <v>0</v>
          </cell>
          <cell r="AB7856" t="str">
            <v>line item not tagged</v>
          </cell>
        </row>
        <row r="7857">
          <cell r="W7857">
            <v>0</v>
          </cell>
          <cell r="AB7857" t="str">
            <v>line item not tagged</v>
          </cell>
        </row>
        <row r="7858">
          <cell r="W7858">
            <v>0</v>
          </cell>
          <cell r="AB7858" t="str">
            <v>line item not tagged</v>
          </cell>
        </row>
        <row r="7859">
          <cell r="W7859">
            <v>0</v>
          </cell>
          <cell r="AB7859" t="str">
            <v>line item not tagged</v>
          </cell>
        </row>
        <row r="7860">
          <cell r="W7860">
            <v>0</v>
          </cell>
          <cell r="AB7860" t="str">
            <v>line item not tagged</v>
          </cell>
        </row>
        <row r="7861">
          <cell r="W7861">
            <v>0</v>
          </cell>
          <cell r="AB7861" t="str">
            <v>line item not tagged</v>
          </cell>
        </row>
        <row r="7862">
          <cell r="W7862">
            <v>0</v>
          </cell>
          <cell r="AB7862" t="str">
            <v>line item not tagged</v>
          </cell>
        </row>
        <row r="7863">
          <cell r="W7863">
            <v>0</v>
          </cell>
          <cell r="AB7863" t="str">
            <v>line item not tagged</v>
          </cell>
        </row>
        <row r="7864">
          <cell r="W7864">
            <v>0</v>
          </cell>
          <cell r="AB7864" t="str">
            <v>line item not tagged</v>
          </cell>
        </row>
        <row r="7865">
          <cell r="W7865">
            <v>0</v>
          </cell>
          <cell r="AB7865" t="str">
            <v>line item not tagged</v>
          </cell>
        </row>
        <row r="7866">
          <cell r="W7866">
            <v>0</v>
          </cell>
          <cell r="AB7866" t="str">
            <v>line item not tagged</v>
          </cell>
        </row>
        <row r="7867">
          <cell r="W7867">
            <v>0</v>
          </cell>
          <cell r="AB7867" t="str">
            <v>line item not tagged</v>
          </cell>
        </row>
        <row r="7868">
          <cell r="W7868">
            <v>0</v>
          </cell>
          <cell r="AB7868" t="str">
            <v>line item not tagged</v>
          </cell>
        </row>
        <row r="7869">
          <cell r="W7869">
            <v>0</v>
          </cell>
          <cell r="AB7869" t="str">
            <v>line item not tagged</v>
          </cell>
        </row>
        <row r="7870">
          <cell r="W7870">
            <v>0</v>
          </cell>
          <cell r="AB7870" t="str">
            <v>line item not tagged</v>
          </cell>
        </row>
        <row r="7871">
          <cell r="W7871">
            <v>0</v>
          </cell>
          <cell r="AB7871" t="str">
            <v>line item not tagged</v>
          </cell>
        </row>
        <row r="7872">
          <cell r="W7872">
            <v>0</v>
          </cell>
          <cell r="AB7872" t="str">
            <v>line item not tagged</v>
          </cell>
        </row>
        <row r="7873">
          <cell r="W7873">
            <v>0</v>
          </cell>
          <cell r="AB7873" t="str">
            <v>line item not tagged</v>
          </cell>
        </row>
        <row r="7874">
          <cell r="W7874">
            <v>0</v>
          </cell>
          <cell r="AB7874" t="str">
            <v>line item not tagged</v>
          </cell>
        </row>
        <row r="7875">
          <cell r="W7875">
            <v>0</v>
          </cell>
          <cell r="AB7875" t="str">
            <v>line item not tagged</v>
          </cell>
        </row>
        <row r="7876">
          <cell r="W7876">
            <v>0</v>
          </cell>
          <cell r="AB7876" t="str">
            <v>line item not tagged</v>
          </cell>
        </row>
        <row r="7877">
          <cell r="W7877">
            <v>0</v>
          </cell>
          <cell r="AB7877" t="str">
            <v>line item not tagged</v>
          </cell>
        </row>
        <row r="7878">
          <cell r="W7878">
            <v>0</v>
          </cell>
          <cell r="AB7878" t="str">
            <v>line item not tagged</v>
          </cell>
        </row>
        <row r="7879">
          <cell r="W7879">
            <v>0</v>
          </cell>
          <cell r="AB7879" t="str">
            <v>line item not tagged</v>
          </cell>
        </row>
        <row r="7880">
          <cell r="W7880">
            <v>0</v>
          </cell>
          <cell r="AB7880" t="str">
            <v>line item not tagged</v>
          </cell>
        </row>
        <row r="7881">
          <cell r="W7881">
            <v>0</v>
          </cell>
          <cell r="AB7881" t="str">
            <v>line item not tagged</v>
          </cell>
        </row>
        <row r="7882">
          <cell r="W7882">
            <v>0</v>
          </cell>
          <cell r="AB7882" t="str">
            <v>line item not tagged</v>
          </cell>
        </row>
        <row r="7883">
          <cell r="W7883">
            <v>0</v>
          </cell>
          <cell r="AB7883" t="str">
            <v>line item not tagged</v>
          </cell>
        </row>
        <row r="7884">
          <cell r="W7884">
            <v>0</v>
          </cell>
          <cell r="AB7884" t="str">
            <v>line item not tagged</v>
          </cell>
        </row>
        <row r="7885">
          <cell r="W7885">
            <v>0</v>
          </cell>
          <cell r="AB7885" t="str">
            <v>line item not tagged</v>
          </cell>
        </row>
        <row r="7886">
          <cell r="W7886">
            <v>0</v>
          </cell>
          <cell r="AB7886" t="str">
            <v>line item not tagged</v>
          </cell>
        </row>
        <row r="7887">
          <cell r="W7887">
            <v>0</v>
          </cell>
          <cell r="AB7887" t="str">
            <v>line item not tagged</v>
          </cell>
        </row>
        <row r="7888">
          <cell r="W7888">
            <v>0</v>
          </cell>
          <cell r="AB7888" t="str">
            <v>line item not tagged</v>
          </cell>
        </row>
        <row r="7889">
          <cell r="W7889">
            <v>0</v>
          </cell>
          <cell r="AB7889" t="str">
            <v>line item not tagged</v>
          </cell>
        </row>
        <row r="7890">
          <cell r="W7890">
            <v>0</v>
          </cell>
          <cell r="AB7890" t="str">
            <v>line item not tagged</v>
          </cell>
        </row>
        <row r="7891">
          <cell r="W7891">
            <v>0</v>
          </cell>
          <cell r="AB7891" t="str">
            <v>line item not tagged</v>
          </cell>
        </row>
        <row r="7892">
          <cell r="W7892">
            <v>0</v>
          </cell>
          <cell r="AB7892" t="str">
            <v>line item not tagged</v>
          </cell>
        </row>
        <row r="7893">
          <cell r="W7893">
            <v>0</v>
          </cell>
          <cell r="AB7893" t="str">
            <v>line item not tagged</v>
          </cell>
        </row>
        <row r="7894">
          <cell r="W7894">
            <v>0</v>
          </cell>
          <cell r="AB7894" t="str">
            <v>line item not tagged</v>
          </cell>
        </row>
        <row r="7895">
          <cell r="W7895">
            <v>0</v>
          </cell>
          <cell r="AB7895" t="str">
            <v>line item not tagged</v>
          </cell>
        </row>
        <row r="7896">
          <cell r="W7896">
            <v>0</v>
          </cell>
          <cell r="AB7896" t="str">
            <v>line item not tagged</v>
          </cell>
        </row>
        <row r="7897">
          <cell r="W7897">
            <v>0</v>
          </cell>
          <cell r="AB7897" t="str">
            <v>line item not tagged</v>
          </cell>
        </row>
        <row r="7898">
          <cell r="W7898">
            <v>0</v>
          </cell>
          <cell r="AB7898" t="str">
            <v>line item not tagged</v>
          </cell>
        </row>
        <row r="7899">
          <cell r="W7899">
            <v>0</v>
          </cell>
          <cell r="AB7899" t="str">
            <v>line item not tagged</v>
          </cell>
        </row>
        <row r="7900">
          <cell r="W7900">
            <v>0</v>
          </cell>
          <cell r="AB7900" t="str">
            <v>line item not tagged</v>
          </cell>
        </row>
        <row r="7901">
          <cell r="W7901">
            <v>0</v>
          </cell>
          <cell r="AB7901" t="str">
            <v>line item not tagged</v>
          </cell>
        </row>
        <row r="7902">
          <cell r="W7902">
            <v>0</v>
          </cell>
          <cell r="AB7902" t="str">
            <v>line item not tagged</v>
          </cell>
        </row>
        <row r="7903">
          <cell r="W7903">
            <v>0</v>
          </cell>
          <cell r="AB7903" t="str">
            <v>line item not tagged</v>
          </cell>
        </row>
        <row r="7904">
          <cell r="W7904">
            <v>0</v>
          </cell>
          <cell r="AB7904" t="str">
            <v>line item not tagged</v>
          </cell>
        </row>
        <row r="7905">
          <cell r="W7905">
            <v>0</v>
          </cell>
          <cell r="AB7905" t="str">
            <v>line item not tagged</v>
          </cell>
        </row>
        <row r="7906">
          <cell r="W7906">
            <v>0</v>
          </cell>
          <cell r="AB7906" t="str">
            <v>line item not tagged</v>
          </cell>
        </row>
        <row r="7907">
          <cell r="W7907">
            <v>0</v>
          </cell>
          <cell r="AB7907" t="str">
            <v>line item not tagged</v>
          </cell>
        </row>
        <row r="7908">
          <cell r="W7908">
            <v>0</v>
          </cell>
          <cell r="AB7908" t="str">
            <v>line item not tagged</v>
          </cell>
        </row>
        <row r="7909">
          <cell r="W7909">
            <v>0</v>
          </cell>
          <cell r="AB7909" t="str">
            <v>line item not tagged</v>
          </cell>
        </row>
        <row r="7910">
          <cell r="W7910">
            <v>0</v>
          </cell>
          <cell r="AB7910" t="str">
            <v>line item not tagged</v>
          </cell>
        </row>
        <row r="7911">
          <cell r="W7911">
            <v>0</v>
          </cell>
          <cell r="AB7911" t="str">
            <v>line item not tagged</v>
          </cell>
        </row>
        <row r="7912">
          <cell r="W7912">
            <v>0</v>
          </cell>
          <cell r="AB7912" t="str">
            <v>line item not tagged</v>
          </cell>
        </row>
        <row r="7913">
          <cell r="W7913">
            <v>0</v>
          </cell>
          <cell r="AB7913" t="str">
            <v>line item not tagged</v>
          </cell>
        </row>
        <row r="7914">
          <cell r="W7914">
            <v>0</v>
          </cell>
          <cell r="AB7914" t="str">
            <v>line item not tagged</v>
          </cell>
        </row>
        <row r="7915">
          <cell r="W7915">
            <v>0</v>
          </cell>
          <cell r="AB7915" t="str">
            <v>line item not tagged</v>
          </cell>
        </row>
        <row r="7916">
          <cell r="W7916">
            <v>0</v>
          </cell>
          <cell r="AB7916" t="str">
            <v>line item not tagged</v>
          </cell>
        </row>
        <row r="7917">
          <cell r="W7917">
            <v>0</v>
          </cell>
          <cell r="AB7917" t="str">
            <v>line item not tagged</v>
          </cell>
        </row>
        <row r="7918">
          <cell r="W7918">
            <v>0</v>
          </cell>
          <cell r="AB7918" t="str">
            <v>line item not tagged</v>
          </cell>
        </row>
        <row r="7919">
          <cell r="W7919">
            <v>0</v>
          </cell>
          <cell r="AB7919" t="str">
            <v>line item not tagged</v>
          </cell>
        </row>
        <row r="7920">
          <cell r="W7920">
            <v>0</v>
          </cell>
          <cell r="AB7920" t="str">
            <v>line item not tagged</v>
          </cell>
        </row>
        <row r="7921">
          <cell r="W7921">
            <v>0</v>
          </cell>
          <cell r="AB7921" t="str">
            <v>line item not tagged</v>
          </cell>
        </row>
        <row r="7922">
          <cell r="W7922">
            <v>0</v>
          </cell>
          <cell r="AB7922" t="str">
            <v>line item not tagged</v>
          </cell>
        </row>
        <row r="7923">
          <cell r="W7923">
            <v>0</v>
          </cell>
          <cell r="AB7923" t="str">
            <v>line item not tagged</v>
          </cell>
        </row>
        <row r="7924">
          <cell r="W7924">
            <v>0</v>
          </cell>
          <cell r="AB7924" t="str">
            <v>line item not tagged</v>
          </cell>
        </row>
        <row r="7925">
          <cell r="W7925">
            <v>0</v>
          </cell>
          <cell r="AB7925" t="str">
            <v>line item not tagged</v>
          </cell>
        </row>
        <row r="7926">
          <cell r="W7926">
            <v>0</v>
          </cell>
          <cell r="AB7926" t="str">
            <v>line item not tagged</v>
          </cell>
        </row>
        <row r="7927">
          <cell r="W7927">
            <v>0</v>
          </cell>
          <cell r="AB7927" t="str">
            <v>line item not tagged</v>
          </cell>
        </row>
        <row r="7928">
          <cell r="W7928">
            <v>0</v>
          </cell>
          <cell r="AB7928" t="str">
            <v>line item not tagged</v>
          </cell>
        </row>
        <row r="7929">
          <cell r="W7929">
            <v>0</v>
          </cell>
          <cell r="AB7929" t="str">
            <v>line item not tagged</v>
          </cell>
        </row>
        <row r="7930">
          <cell r="W7930">
            <v>0</v>
          </cell>
          <cell r="AB7930" t="str">
            <v>line item not tagged</v>
          </cell>
        </row>
        <row r="7931">
          <cell r="W7931">
            <v>0</v>
          </cell>
          <cell r="AB7931" t="str">
            <v>line item not tagged</v>
          </cell>
        </row>
        <row r="7932">
          <cell r="W7932">
            <v>0</v>
          </cell>
          <cell r="AB7932" t="str">
            <v>line item not tagged</v>
          </cell>
        </row>
        <row r="7933">
          <cell r="W7933">
            <v>0</v>
          </cell>
          <cell r="AB7933" t="str">
            <v>line item not tagged</v>
          </cell>
        </row>
        <row r="7934">
          <cell r="W7934">
            <v>0</v>
          </cell>
          <cell r="AB7934" t="str">
            <v>line item not tagged</v>
          </cell>
        </row>
        <row r="7935">
          <cell r="W7935">
            <v>0</v>
          </cell>
          <cell r="AB7935" t="str">
            <v>line item not tagged</v>
          </cell>
        </row>
        <row r="7936">
          <cell r="W7936">
            <v>0</v>
          </cell>
          <cell r="AB7936" t="str">
            <v>line item not tagged</v>
          </cell>
        </row>
        <row r="7937">
          <cell r="W7937">
            <v>0</v>
          </cell>
          <cell r="AB7937" t="str">
            <v>line item not tagged</v>
          </cell>
        </row>
        <row r="7938">
          <cell r="W7938">
            <v>0</v>
          </cell>
          <cell r="AB7938" t="str">
            <v>line item not tagged</v>
          </cell>
        </row>
        <row r="7939">
          <cell r="W7939">
            <v>0</v>
          </cell>
          <cell r="AB7939" t="str">
            <v>line item not tagged</v>
          </cell>
        </row>
        <row r="7940">
          <cell r="W7940">
            <v>0</v>
          </cell>
          <cell r="AB7940" t="str">
            <v>line item not tagged</v>
          </cell>
        </row>
        <row r="7941">
          <cell r="W7941">
            <v>0</v>
          </cell>
          <cell r="AB7941" t="str">
            <v>line item not tagged</v>
          </cell>
        </row>
        <row r="7942">
          <cell r="W7942">
            <v>0</v>
          </cell>
          <cell r="AB7942" t="str">
            <v>line item not tagged</v>
          </cell>
        </row>
        <row r="7943">
          <cell r="W7943">
            <v>0</v>
          </cell>
          <cell r="AB7943" t="str">
            <v>line item not tagged</v>
          </cell>
        </row>
        <row r="7944">
          <cell r="W7944">
            <v>0</v>
          </cell>
          <cell r="AB7944" t="str">
            <v>line item not tagged</v>
          </cell>
        </row>
        <row r="7945">
          <cell r="W7945">
            <v>0</v>
          </cell>
          <cell r="AB7945" t="str">
            <v>line item not tagged</v>
          </cell>
        </row>
        <row r="7946">
          <cell r="W7946">
            <v>0</v>
          </cell>
          <cell r="AB7946" t="str">
            <v>line item not tagged</v>
          </cell>
        </row>
        <row r="7947">
          <cell r="W7947">
            <v>0</v>
          </cell>
          <cell r="AB7947" t="str">
            <v>line item not tagged</v>
          </cell>
        </row>
        <row r="7948">
          <cell r="W7948">
            <v>0</v>
          </cell>
          <cell r="AB7948" t="str">
            <v>line item not tagged</v>
          </cell>
        </row>
        <row r="7949">
          <cell r="W7949">
            <v>0</v>
          </cell>
          <cell r="AB7949" t="str">
            <v>line item not tagged</v>
          </cell>
        </row>
        <row r="7950">
          <cell r="W7950">
            <v>0</v>
          </cell>
          <cell r="AB7950" t="str">
            <v>line item not tagged</v>
          </cell>
        </row>
        <row r="7951">
          <cell r="W7951">
            <v>0</v>
          </cell>
          <cell r="AB7951" t="str">
            <v>line item not tagged</v>
          </cell>
        </row>
        <row r="7952">
          <cell r="W7952">
            <v>0</v>
          </cell>
          <cell r="AB7952" t="str">
            <v>line item not tagged</v>
          </cell>
        </row>
        <row r="7953">
          <cell r="W7953">
            <v>0</v>
          </cell>
          <cell r="AB7953" t="str">
            <v>line item not tagged</v>
          </cell>
        </row>
        <row r="7954">
          <cell r="W7954">
            <v>0</v>
          </cell>
          <cell r="AB7954" t="str">
            <v>line item not tagged</v>
          </cell>
        </row>
        <row r="7955">
          <cell r="W7955">
            <v>0</v>
          </cell>
          <cell r="AB7955" t="str">
            <v>line item not tagged</v>
          </cell>
        </row>
        <row r="7956">
          <cell r="W7956">
            <v>0</v>
          </cell>
          <cell r="AB7956" t="str">
            <v>line item not tagged</v>
          </cell>
        </row>
        <row r="7957">
          <cell r="W7957">
            <v>0</v>
          </cell>
          <cell r="AB7957" t="str">
            <v>line item not tagged</v>
          </cell>
        </row>
        <row r="7958">
          <cell r="W7958">
            <v>0</v>
          </cell>
          <cell r="AB7958" t="str">
            <v>line item not tagged</v>
          </cell>
        </row>
        <row r="7959">
          <cell r="W7959">
            <v>0</v>
          </cell>
          <cell r="AB7959" t="str">
            <v>line item not tagged</v>
          </cell>
        </row>
        <row r="7960">
          <cell r="W7960">
            <v>0</v>
          </cell>
          <cell r="AB7960" t="str">
            <v>line item not tagged</v>
          </cell>
        </row>
        <row r="7961">
          <cell r="W7961">
            <v>0</v>
          </cell>
          <cell r="AB7961" t="str">
            <v>line item not tagged</v>
          </cell>
        </row>
        <row r="7962">
          <cell r="W7962">
            <v>0</v>
          </cell>
          <cell r="AB7962" t="str">
            <v>line item not tagged</v>
          </cell>
        </row>
        <row r="7963">
          <cell r="W7963">
            <v>0</v>
          </cell>
          <cell r="AB7963" t="str">
            <v>line item not tagged</v>
          </cell>
        </row>
        <row r="7964">
          <cell r="W7964">
            <v>0</v>
          </cell>
          <cell r="AB7964" t="str">
            <v>line item not tagged</v>
          </cell>
        </row>
        <row r="7965">
          <cell r="W7965">
            <v>0</v>
          </cell>
          <cell r="AB7965" t="str">
            <v>line item not tagged</v>
          </cell>
        </row>
        <row r="7966">
          <cell r="W7966">
            <v>0</v>
          </cell>
          <cell r="AB7966" t="str">
            <v>line item not tagged</v>
          </cell>
        </row>
        <row r="7967">
          <cell r="W7967">
            <v>0</v>
          </cell>
          <cell r="AB7967" t="str">
            <v>line item not tagged</v>
          </cell>
        </row>
        <row r="7968">
          <cell r="W7968">
            <v>0</v>
          </cell>
          <cell r="AB7968" t="str">
            <v>line item not tagged</v>
          </cell>
        </row>
        <row r="7969">
          <cell r="W7969">
            <v>0</v>
          </cell>
          <cell r="AB7969" t="str">
            <v>line item not tagged</v>
          </cell>
        </row>
        <row r="7970">
          <cell r="W7970">
            <v>0</v>
          </cell>
          <cell r="AB7970" t="str">
            <v>line item not tagged</v>
          </cell>
        </row>
        <row r="7971">
          <cell r="W7971">
            <v>0</v>
          </cell>
          <cell r="AB7971" t="str">
            <v>line item not tagged</v>
          </cell>
        </row>
        <row r="7972">
          <cell r="W7972">
            <v>0</v>
          </cell>
          <cell r="AB7972" t="str">
            <v>line item not tagged</v>
          </cell>
        </row>
        <row r="7973">
          <cell r="W7973">
            <v>0</v>
          </cell>
          <cell r="AB7973" t="str">
            <v>line item not tagged</v>
          </cell>
        </row>
        <row r="7974">
          <cell r="W7974">
            <v>0</v>
          </cell>
          <cell r="AB7974" t="str">
            <v>line item not tagged</v>
          </cell>
        </row>
        <row r="7975">
          <cell r="W7975">
            <v>0</v>
          </cell>
          <cell r="AB7975" t="str">
            <v>line item not tagged</v>
          </cell>
        </row>
        <row r="7976">
          <cell r="W7976">
            <v>0</v>
          </cell>
          <cell r="AB7976" t="str">
            <v>line item not tagged</v>
          </cell>
        </row>
        <row r="7977">
          <cell r="W7977">
            <v>0</v>
          </cell>
          <cell r="AB7977" t="str">
            <v>line item not tagged</v>
          </cell>
        </row>
        <row r="7978">
          <cell r="W7978">
            <v>0</v>
          </cell>
          <cell r="AB7978" t="str">
            <v>line item not tagged</v>
          </cell>
        </row>
        <row r="7979">
          <cell r="W7979">
            <v>0</v>
          </cell>
          <cell r="AB7979" t="str">
            <v>line item not tagged</v>
          </cell>
        </row>
        <row r="7980">
          <cell r="W7980">
            <v>0</v>
          </cell>
          <cell r="AB7980" t="str">
            <v>line item not tagged</v>
          </cell>
        </row>
        <row r="7981">
          <cell r="W7981">
            <v>0</v>
          </cell>
          <cell r="AB7981" t="str">
            <v>line item not tagged</v>
          </cell>
        </row>
        <row r="7982">
          <cell r="W7982">
            <v>0</v>
          </cell>
          <cell r="AB7982" t="str">
            <v>line item not tagged</v>
          </cell>
        </row>
        <row r="7983">
          <cell r="W7983">
            <v>0</v>
          </cell>
          <cell r="AB7983" t="str">
            <v>line item not tagged</v>
          </cell>
        </row>
        <row r="7984">
          <cell r="W7984">
            <v>0</v>
          </cell>
          <cell r="AB7984" t="str">
            <v>line item not tagged</v>
          </cell>
        </row>
        <row r="7985">
          <cell r="W7985">
            <v>0</v>
          </cell>
          <cell r="AB7985" t="str">
            <v>line item not tagged</v>
          </cell>
        </row>
        <row r="7986">
          <cell r="W7986">
            <v>0</v>
          </cell>
          <cell r="AB7986" t="str">
            <v>line item not tagged</v>
          </cell>
        </row>
        <row r="7987">
          <cell r="W7987">
            <v>0</v>
          </cell>
          <cell r="AB7987" t="str">
            <v>line item not tagged</v>
          </cell>
        </row>
        <row r="7988">
          <cell r="W7988">
            <v>0</v>
          </cell>
          <cell r="AB7988" t="str">
            <v>line item not tagged</v>
          </cell>
        </row>
        <row r="7989">
          <cell r="W7989">
            <v>0</v>
          </cell>
          <cell r="AB7989" t="str">
            <v>line item not tagged</v>
          </cell>
        </row>
        <row r="7990">
          <cell r="W7990">
            <v>0</v>
          </cell>
          <cell r="AB7990" t="str">
            <v>line item not tagged</v>
          </cell>
        </row>
        <row r="7991">
          <cell r="W7991">
            <v>0</v>
          </cell>
          <cell r="AB7991" t="str">
            <v>line item not tagged</v>
          </cell>
        </row>
        <row r="7992">
          <cell r="W7992">
            <v>0</v>
          </cell>
          <cell r="AB7992" t="str">
            <v>line item not tagged</v>
          </cell>
        </row>
        <row r="7993">
          <cell r="W7993">
            <v>0</v>
          </cell>
          <cell r="AB7993" t="str">
            <v>line item not tagged</v>
          </cell>
        </row>
        <row r="7994">
          <cell r="W7994">
            <v>0</v>
          </cell>
          <cell r="AB7994" t="str">
            <v>line item not tagged</v>
          </cell>
        </row>
        <row r="7995">
          <cell r="W7995">
            <v>0</v>
          </cell>
          <cell r="AB7995" t="str">
            <v>line item not tagged</v>
          </cell>
        </row>
        <row r="7996">
          <cell r="W7996">
            <v>0</v>
          </cell>
          <cell r="AB7996" t="str">
            <v>line item not tagged</v>
          </cell>
        </row>
        <row r="7997">
          <cell r="W7997">
            <v>0</v>
          </cell>
          <cell r="AB7997" t="str">
            <v>line item not tagged</v>
          </cell>
        </row>
        <row r="7998">
          <cell r="W7998">
            <v>0</v>
          </cell>
          <cell r="AB7998" t="str">
            <v>line item not tagged</v>
          </cell>
        </row>
        <row r="7999">
          <cell r="W7999">
            <v>0</v>
          </cell>
          <cell r="AB7999" t="str">
            <v>line item not tagged</v>
          </cell>
        </row>
        <row r="8000">
          <cell r="W8000">
            <v>0</v>
          </cell>
          <cell r="AB8000" t="str">
            <v>line item not tagged</v>
          </cell>
        </row>
        <row r="8001">
          <cell r="W8001">
            <v>0</v>
          </cell>
          <cell r="AB8001" t="str">
            <v>line item not tagged</v>
          </cell>
        </row>
        <row r="8002">
          <cell r="W8002">
            <v>0</v>
          </cell>
          <cell r="AB8002" t="str">
            <v>line item not tagged</v>
          </cell>
        </row>
        <row r="8003">
          <cell r="W8003">
            <v>0</v>
          </cell>
          <cell r="AB8003" t="str">
            <v>line item not tagged</v>
          </cell>
        </row>
        <row r="8004">
          <cell r="W8004">
            <v>0</v>
          </cell>
          <cell r="AB8004" t="str">
            <v>line item not tagged</v>
          </cell>
        </row>
        <row r="8005">
          <cell r="W8005">
            <v>0</v>
          </cell>
          <cell r="AB8005" t="str">
            <v>line item not tagged</v>
          </cell>
        </row>
        <row r="8006">
          <cell r="W8006">
            <v>0</v>
          </cell>
          <cell r="AB8006" t="str">
            <v>line item not tagged</v>
          </cell>
        </row>
        <row r="8007">
          <cell r="W8007">
            <v>0</v>
          </cell>
          <cell r="AB8007" t="str">
            <v>line item not tagged</v>
          </cell>
        </row>
        <row r="8008">
          <cell r="W8008">
            <v>0</v>
          </cell>
          <cell r="AB8008" t="str">
            <v>line item not tagged</v>
          </cell>
        </row>
        <row r="8009">
          <cell r="W8009">
            <v>0</v>
          </cell>
          <cell r="AB8009" t="str">
            <v>line item not tagged</v>
          </cell>
        </row>
        <row r="8010">
          <cell r="W8010">
            <v>0</v>
          </cell>
          <cell r="AB8010" t="str">
            <v>line item not tagged</v>
          </cell>
        </row>
        <row r="8011">
          <cell r="W8011">
            <v>0</v>
          </cell>
          <cell r="AB8011" t="str">
            <v>line item not tagged</v>
          </cell>
        </row>
        <row r="8012">
          <cell r="W8012">
            <v>0</v>
          </cell>
          <cell r="AB8012" t="str">
            <v>line item not tagged</v>
          </cell>
        </row>
        <row r="8013">
          <cell r="W8013">
            <v>0</v>
          </cell>
          <cell r="AB8013" t="str">
            <v>line item not tagged</v>
          </cell>
        </row>
        <row r="8014">
          <cell r="W8014">
            <v>0</v>
          </cell>
          <cell r="AB8014" t="str">
            <v>line item not tagged</v>
          </cell>
        </row>
        <row r="8015">
          <cell r="W8015">
            <v>0</v>
          </cell>
          <cell r="AB8015" t="str">
            <v>line item not tagged</v>
          </cell>
        </row>
        <row r="8016">
          <cell r="W8016">
            <v>0</v>
          </cell>
          <cell r="AB8016" t="str">
            <v>line item not tagged</v>
          </cell>
        </row>
        <row r="8017">
          <cell r="W8017">
            <v>0</v>
          </cell>
          <cell r="AB8017" t="str">
            <v>line item not tagged</v>
          </cell>
        </row>
        <row r="8018">
          <cell r="W8018">
            <v>0</v>
          </cell>
          <cell r="AB8018" t="str">
            <v>line item not tagged</v>
          </cell>
        </row>
        <row r="8019">
          <cell r="W8019">
            <v>0</v>
          </cell>
          <cell r="AB8019" t="str">
            <v>line item not tagged</v>
          </cell>
        </row>
        <row r="8020">
          <cell r="W8020">
            <v>0</v>
          </cell>
          <cell r="AB8020" t="str">
            <v>line item not tagged</v>
          </cell>
        </row>
        <row r="8021">
          <cell r="W8021">
            <v>0</v>
          </cell>
          <cell r="AB8021" t="str">
            <v>line item not tagged</v>
          </cell>
        </row>
        <row r="8022">
          <cell r="W8022">
            <v>0</v>
          </cell>
          <cell r="AB8022" t="str">
            <v>line item not tagged</v>
          </cell>
        </row>
        <row r="8023">
          <cell r="W8023">
            <v>0</v>
          </cell>
          <cell r="AB8023" t="str">
            <v>line item not tagged</v>
          </cell>
        </row>
        <row r="8024">
          <cell r="W8024">
            <v>0</v>
          </cell>
          <cell r="AB8024" t="str">
            <v>line item not tagged</v>
          </cell>
        </row>
        <row r="8025">
          <cell r="W8025">
            <v>0</v>
          </cell>
          <cell r="AB8025" t="str">
            <v>line item not tagged</v>
          </cell>
        </row>
        <row r="8026">
          <cell r="W8026">
            <v>0</v>
          </cell>
          <cell r="AB8026" t="str">
            <v>line item not tagged</v>
          </cell>
        </row>
        <row r="8027">
          <cell r="W8027">
            <v>0</v>
          </cell>
          <cell r="AB8027" t="str">
            <v>line item not tagged</v>
          </cell>
        </row>
        <row r="8028">
          <cell r="W8028">
            <v>0</v>
          </cell>
          <cell r="AB8028" t="str">
            <v>line item not tagged</v>
          </cell>
        </row>
        <row r="8029">
          <cell r="W8029">
            <v>0</v>
          </cell>
          <cell r="AB8029" t="str">
            <v>line item not tagged</v>
          </cell>
        </row>
        <row r="8030">
          <cell r="W8030">
            <v>0</v>
          </cell>
          <cell r="AB8030" t="str">
            <v>line item not tagged</v>
          </cell>
        </row>
        <row r="8031">
          <cell r="W8031">
            <v>0</v>
          </cell>
          <cell r="AB8031" t="str">
            <v>line item not tagged</v>
          </cell>
        </row>
        <row r="8032">
          <cell r="W8032">
            <v>0</v>
          </cell>
          <cell r="AB8032" t="str">
            <v>line item not tagged</v>
          </cell>
        </row>
        <row r="8033">
          <cell r="W8033">
            <v>0</v>
          </cell>
          <cell r="AB8033" t="str">
            <v>line item not tagged</v>
          </cell>
        </row>
        <row r="8034">
          <cell r="W8034">
            <v>0</v>
          </cell>
          <cell r="AB8034" t="str">
            <v>line item not tagged</v>
          </cell>
        </row>
        <row r="8035">
          <cell r="W8035">
            <v>0</v>
          </cell>
          <cell r="AB8035" t="str">
            <v>line item not tagged</v>
          </cell>
        </row>
        <row r="8036">
          <cell r="W8036">
            <v>0</v>
          </cell>
          <cell r="AB8036" t="str">
            <v>line item not tagged</v>
          </cell>
        </row>
        <row r="8037">
          <cell r="W8037">
            <v>0</v>
          </cell>
          <cell r="AB8037" t="str">
            <v>line item not tagged</v>
          </cell>
        </row>
        <row r="8038">
          <cell r="W8038">
            <v>0</v>
          </cell>
          <cell r="AB8038" t="str">
            <v>line item not tagged</v>
          </cell>
        </row>
        <row r="8039">
          <cell r="W8039">
            <v>0</v>
          </cell>
          <cell r="AB8039" t="str">
            <v>line item not tagged</v>
          </cell>
        </row>
        <row r="8040">
          <cell r="W8040">
            <v>0</v>
          </cell>
          <cell r="AB8040" t="str">
            <v>line item not tagged</v>
          </cell>
        </row>
        <row r="8041">
          <cell r="W8041">
            <v>0</v>
          </cell>
          <cell r="AB8041" t="str">
            <v>line item not tagged</v>
          </cell>
        </row>
        <row r="8042">
          <cell r="W8042">
            <v>0</v>
          </cell>
          <cell r="AB8042" t="str">
            <v>line item not tagged</v>
          </cell>
        </row>
        <row r="8043">
          <cell r="W8043">
            <v>0</v>
          </cell>
          <cell r="AB8043" t="str">
            <v>line item not tagged</v>
          </cell>
        </row>
        <row r="8044">
          <cell r="W8044">
            <v>0</v>
          </cell>
          <cell r="AB8044" t="str">
            <v>line item not tagged</v>
          </cell>
        </row>
        <row r="8045">
          <cell r="W8045">
            <v>0</v>
          </cell>
          <cell r="AB8045" t="str">
            <v>line item not tagged</v>
          </cell>
        </row>
        <row r="8046">
          <cell r="W8046">
            <v>0</v>
          </cell>
          <cell r="AB8046" t="str">
            <v>line item not tagged</v>
          </cell>
        </row>
        <row r="8047">
          <cell r="W8047">
            <v>0</v>
          </cell>
          <cell r="AB8047" t="str">
            <v>line item not tagged</v>
          </cell>
        </row>
        <row r="8048">
          <cell r="W8048">
            <v>0</v>
          </cell>
          <cell r="AB8048" t="str">
            <v>line item not tagged</v>
          </cell>
        </row>
        <row r="8049">
          <cell r="W8049">
            <v>0</v>
          </cell>
          <cell r="AB8049" t="str">
            <v>line item not tagged</v>
          </cell>
        </row>
        <row r="8050">
          <cell r="W8050">
            <v>0</v>
          </cell>
          <cell r="AB8050" t="str">
            <v>line item not tagged</v>
          </cell>
        </row>
        <row r="8051">
          <cell r="W8051">
            <v>0</v>
          </cell>
          <cell r="AB8051" t="str">
            <v>line item not tagged</v>
          </cell>
        </row>
        <row r="8052">
          <cell r="W8052">
            <v>0</v>
          </cell>
          <cell r="AB8052" t="str">
            <v>line item not tagged</v>
          </cell>
        </row>
        <row r="8053">
          <cell r="W8053">
            <v>0</v>
          </cell>
          <cell r="AB8053" t="str">
            <v>line item not tagged</v>
          </cell>
        </row>
        <row r="8054">
          <cell r="W8054">
            <v>0</v>
          </cell>
          <cell r="AB8054" t="str">
            <v>line item not tagged</v>
          </cell>
        </row>
        <row r="8055">
          <cell r="W8055">
            <v>0</v>
          </cell>
          <cell r="AB8055" t="str">
            <v>line item not tagged</v>
          </cell>
        </row>
        <row r="8056">
          <cell r="W8056">
            <v>0</v>
          </cell>
          <cell r="AB8056" t="str">
            <v>line item not tagged</v>
          </cell>
        </row>
        <row r="8057">
          <cell r="W8057">
            <v>0</v>
          </cell>
          <cell r="AB8057" t="str">
            <v>line item not tagged</v>
          </cell>
        </row>
        <row r="8058">
          <cell r="W8058">
            <v>0</v>
          </cell>
          <cell r="AB8058" t="str">
            <v>line item not tagged</v>
          </cell>
        </row>
        <row r="8059">
          <cell r="W8059">
            <v>0</v>
          </cell>
          <cell r="AB8059" t="str">
            <v>line item not tagged</v>
          </cell>
        </row>
        <row r="8060">
          <cell r="W8060">
            <v>0</v>
          </cell>
          <cell r="AB8060" t="str">
            <v>line item not tagged</v>
          </cell>
        </row>
        <row r="8061">
          <cell r="W8061">
            <v>0</v>
          </cell>
          <cell r="AB8061" t="str">
            <v>line item not tagged</v>
          </cell>
        </row>
        <row r="8062">
          <cell r="W8062">
            <v>0</v>
          </cell>
          <cell r="AB8062" t="str">
            <v>line item not tagged</v>
          </cell>
        </row>
        <row r="8063">
          <cell r="W8063">
            <v>0</v>
          </cell>
          <cell r="AB8063" t="str">
            <v>line item not tagged</v>
          </cell>
        </row>
        <row r="8064">
          <cell r="W8064">
            <v>0</v>
          </cell>
          <cell r="AB8064" t="str">
            <v>line item not tagged</v>
          </cell>
        </row>
        <row r="8065">
          <cell r="W8065">
            <v>0</v>
          </cell>
          <cell r="AB8065" t="str">
            <v>line item not tagged</v>
          </cell>
        </row>
        <row r="8066">
          <cell r="W8066">
            <v>0</v>
          </cell>
          <cell r="AB8066" t="str">
            <v>line item not tagged</v>
          </cell>
        </row>
        <row r="8067">
          <cell r="W8067">
            <v>0</v>
          </cell>
          <cell r="AB8067" t="str">
            <v>line item not tagged</v>
          </cell>
        </row>
        <row r="8068">
          <cell r="W8068">
            <v>0</v>
          </cell>
          <cell r="AB8068" t="str">
            <v>line item not tagged</v>
          </cell>
        </row>
        <row r="8069">
          <cell r="W8069">
            <v>0</v>
          </cell>
          <cell r="AB8069" t="str">
            <v>line item not tagged</v>
          </cell>
        </row>
        <row r="8070">
          <cell r="W8070">
            <v>0</v>
          </cell>
          <cell r="AB8070" t="str">
            <v>line item not tagged</v>
          </cell>
        </row>
        <row r="8071">
          <cell r="W8071">
            <v>0</v>
          </cell>
          <cell r="AB8071" t="str">
            <v>line item not tagged</v>
          </cell>
        </row>
        <row r="8072">
          <cell r="W8072">
            <v>0</v>
          </cell>
          <cell r="AB8072" t="str">
            <v>line item not tagged</v>
          </cell>
        </row>
        <row r="8073">
          <cell r="W8073">
            <v>0</v>
          </cell>
          <cell r="AB8073" t="str">
            <v>line item not tagged</v>
          </cell>
        </row>
        <row r="8074">
          <cell r="W8074">
            <v>0</v>
          </cell>
          <cell r="AB8074" t="str">
            <v>line item not tagged</v>
          </cell>
        </row>
        <row r="8075">
          <cell r="W8075">
            <v>0</v>
          </cell>
          <cell r="AB8075" t="str">
            <v>line item not tagged</v>
          </cell>
        </row>
        <row r="8076">
          <cell r="W8076">
            <v>0</v>
          </cell>
          <cell r="AB8076" t="str">
            <v>line item not tagged</v>
          </cell>
        </row>
        <row r="8077">
          <cell r="W8077">
            <v>0</v>
          </cell>
          <cell r="AB8077" t="str">
            <v>line item not tagged</v>
          </cell>
        </row>
        <row r="8078">
          <cell r="W8078">
            <v>0</v>
          </cell>
          <cell r="AB8078" t="str">
            <v>line item not tagged</v>
          </cell>
        </row>
        <row r="8079">
          <cell r="W8079">
            <v>0</v>
          </cell>
          <cell r="AB8079" t="str">
            <v>line item not tagged</v>
          </cell>
        </row>
        <row r="8080">
          <cell r="W8080">
            <v>0</v>
          </cell>
          <cell r="AB8080" t="str">
            <v>line item not tagged</v>
          </cell>
        </row>
        <row r="8081">
          <cell r="W8081">
            <v>0</v>
          </cell>
          <cell r="AB8081" t="str">
            <v>line item not tagged</v>
          </cell>
        </row>
        <row r="8082">
          <cell r="W8082">
            <v>0</v>
          </cell>
          <cell r="AB8082" t="str">
            <v>line item not tagged</v>
          </cell>
        </row>
        <row r="8083">
          <cell r="W8083">
            <v>0</v>
          </cell>
          <cell r="AB8083" t="str">
            <v>line item not tagged</v>
          </cell>
        </row>
        <row r="8084">
          <cell r="W8084">
            <v>0</v>
          </cell>
          <cell r="AB8084" t="str">
            <v>line item not tagged</v>
          </cell>
        </row>
        <row r="8085">
          <cell r="W8085">
            <v>0</v>
          </cell>
          <cell r="AB8085" t="str">
            <v>line item not tagged</v>
          </cell>
        </row>
        <row r="8086">
          <cell r="W8086">
            <v>0</v>
          </cell>
          <cell r="AB8086" t="str">
            <v>line item not tagged</v>
          </cell>
        </row>
        <row r="8087">
          <cell r="W8087">
            <v>0</v>
          </cell>
          <cell r="AB8087" t="str">
            <v>line item not tagged</v>
          </cell>
        </row>
        <row r="8088">
          <cell r="W8088">
            <v>0</v>
          </cell>
          <cell r="AB8088" t="str">
            <v>line item not tagged</v>
          </cell>
        </row>
        <row r="8089">
          <cell r="W8089">
            <v>0</v>
          </cell>
          <cell r="AB8089" t="str">
            <v>line item not tagged</v>
          </cell>
        </row>
        <row r="8090">
          <cell r="W8090">
            <v>0</v>
          </cell>
          <cell r="AB8090" t="str">
            <v>line item not tagged</v>
          </cell>
        </row>
        <row r="8091">
          <cell r="W8091">
            <v>0</v>
          </cell>
          <cell r="AB8091" t="str">
            <v>line item not tagged</v>
          </cell>
        </row>
        <row r="8092">
          <cell r="W8092">
            <v>0</v>
          </cell>
          <cell r="AB8092" t="str">
            <v>line item not tagged</v>
          </cell>
        </row>
        <row r="8093">
          <cell r="W8093">
            <v>0</v>
          </cell>
          <cell r="AB8093" t="str">
            <v>line item not tagged</v>
          </cell>
        </row>
        <row r="8094">
          <cell r="W8094">
            <v>0</v>
          </cell>
          <cell r="AB8094" t="str">
            <v>line item not tagged</v>
          </cell>
        </row>
        <row r="8095">
          <cell r="W8095">
            <v>0</v>
          </cell>
          <cell r="AB8095" t="str">
            <v>line item not tagged</v>
          </cell>
        </row>
        <row r="8096">
          <cell r="W8096">
            <v>0</v>
          </cell>
          <cell r="AB8096" t="str">
            <v>line item not tagged</v>
          </cell>
        </row>
        <row r="8097">
          <cell r="W8097">
            <v>0</v>
          </cell>
          <cell r="AB8097" t="str">
            <v>line item not tagged</v>
          </cell>
        </row>
        <row r="8098">
          <cell r="W8098">
            <v>0</v>
          </cell>
          <cell r="AB8098" t="str">
            <v>line item not tagged</v>
          </cell>
        </row>
        <row r="8099">
          <cell r="W8099">
            <v>0</v>
          </cell>
          <cell r="AB8099" t="str">
            <v>line item not tagged</v>
          </cell>
        </row>
        <row r="8100">
          <cell r="W8100">
            <v>0</v>
          </cell>
          <cell r="AB8100" t="str">
            <v>line item not tagged</v>
          </cell>
        </row>
        <row r="8101">
          <cell r="W8101">
            <v>0</v>
          </cell>
          <cell r="AB8101" t="str">
            <v>line item not tagged</v>
          </cell>
        </row>
        <row r="8102">
          <cell r="W8102">
            <v>0</v>
          </cell>
          <cell r="AB8102" t="str">
            <v>line item not tagged</v>
          </cell>
        </row>
        <row r="8103">
          <cell r="W8103">
            <v>0</v>
          </cell>
          <cell r="AB8103" t="str">
            <v>line item not tagged</v>
          </cell>
        </row>
        <row r="8104">
          <cell r="W8104">
            <v>0</v>
          </cell>
          <cell r="AB8104" t="str">
            <v>line item not tagged</v>
          </cell>
        </row>
        <row r="8105">
          <cell r="W8105">
            <v>0</v>
          </cell>
          <cell r="AB8105" t="str">
            <v>line item not tagged</v>
          </cell>
        </row>
        <row r="8106">
          <cell r="W8106">
            <v>0</v>
          </cell>
          <cell r="AB8106" t="str">
            <v>line item not tagged</v>
          </cell>
        </row>
        <row r="8107">
          <cell r="W8107">
            <v>0</v>
          </cell>
          <cell r="AB8107" t="str">
            <v>line item not tagged</v>
          </cell>
        </row>
        <row r="8108">
          <cell r="W8108">
            <v>0</v>
          </cell>
          <cell r="AB8108" t="str">
            <v>line item not tagged</v>
          </cell>
        </row>
        <row r="8109">
          <cell r="W8109">
            <v>0</v>
          </cell>
          <cell r="AB8109" t="str">
            <v>line item not tagged</v>
          </cell>
        </row>
        <row r="8110">
          <cell r="W8110">
            <v>0</v>
          </cell>
          <cell r="AB8110" t="str">
            <v>line item not tagged</v>
          </cell>
        </row>
        <row r="8111">
          <cell r="W8111">
            <v>0</v>
          </cell>
          <cell r="AB8111" t="str">
            <v>line item not tagged</v>
          </cell>
        </row>
        <row r="8112">
          <cell r="W8112">
            <v>0</v>
          </cell>
          <cell r="AB8112" t="str">
            <v>line item not tagged</v>
          </cell>
        </row>
        <row r="8113">
          <cell r="W8113">
            <v>0</v>
          </cell>
          <cell r="AB8113" t="str">
            <v>line item not tagged</v>
          </cell>
        </row>
        <row r="8114">
          <cell r="W8114">
            <v>0</v>
          </cell>
          <cell r="AB8114" t="str">
            <v>line item not tagged</v>
          </cell>
        </row>
        <row r="8115">
          <cell r="W8115">
            <v>0</v>
          </cell>
          <cell r="AB8115" t="str">
            <v>line item not tagged</v>
          </cell>
        </row>
        <row r="8116">
          <cell r="W8116">
            <v>0</v>
          </cell>
          <cell r="AB8116" t="str">
            <v>line item not tagged</v>
          </cell>
        </row>
        <row r="8117">
          <cell r="W8117">
            <v>0</v>
          </cell>
          <cell r="AB8117" t="str">
            <v>line item not tagged</v>
          </cell>
        </row>
        <row r="8118">
          <cell r="W8118">
            <v>0</v>
          </cell>
          <cell r="AB8118" t="str">
            <v>line item not tagged</v>
          </cell>
        </row>
        <row r="8119">
          <cell r="W8119">
            <v>0</v>
          </cell>
          <cell r="AB8119" t="str">
            <v>line item not tagged</v>
          </cell>
        </row>
        <row r="8120">
          <cell r="W8120">
            <v>0</v>
          </cell>
          <cell r="AB8120" t="str">
            <v>line item not tagged</v>
          </cell>
        </row>
        <row r="8121">
          <cell r="W8121">
            <v>0</v>
          </cell>
          <cell r="AB8121" t="str">
            <v>line item not tagged</v>
          </cell>
        </row>
        <row r="8122">
          <cell r="W8122">
            <v>0</v>
          </cell>
          <cell r="AB8122" t="str">
            <v>line item not tagged</v>
          </cell>
        </row>
        <row r="8123">
          <cell r="W8123">
            <v>0</v>
          </cell>
          <cell r="AB8123" t="str">
            <v>line item not tagged</v>
          </cell>
        </row>
        <row r="8124">
          <cell r="W8124">
            <v>0</v>
          </cell>
          <cell r="AB8124" t="str">
            <v>line item not tagged</v>
          </cell>
        </row>
        <row r="8125">
          <cell r="W8125">
            <v>0</v>
          </cell>
          <cell r="AB8125" t="str">
            <v>line item not tagged</v>
          </cell>
        </row>
        <row r="8126">
          <cell r="W8126">
            <v>0</v>
          </cell>
          <cell r="AB8126" t="str">
            <v>line item not tagged</v>
          </cell>
        </row>
        <row r="8127">
          <cell r="W8127">
            <v>0</v>
          </cell>
          <cell r="AB8127" t="str">
            <v>line item not tagged</v>
          </cell>
        </row>
        <row r="8128">
          <cell r="W8128">
            <v>0</v>
          </cell>
          <cell r="AB8128" t="str">
            <v>line item not tagged</v>
          </cell>
        </row>
        <row r="8129">
          <cell r="W8129">
            <v>0</v>
          </cell>
          <cell r="AB8129" t="str">
            <v>line item not tagged</v>
          </cell>
        </row>
        <row r="8130">
          <cell r="W8130">
            <v>0</v>
          </cell>
          <cell r="AB8130" t="str">
            <v>line item not tagged</v>
          </cell>
        </row>
        <row r="8131">
          <cell r="W8131">
            <v>0</v>
          </cell>
          <cell r="AB8131" t="str">
            <v>line item not tagged</v>
          </cell>
        </row>
        <row r="8132">
          <cell r="W8132">
            <v>0</v>
          </cell>
          <cell r="AB8132" t="str">
            <v>line item not tagged</v>
          </cell>
        </row>
        <row r="8133">
          <cell r="W8133">
            <v>0</v>
          </cell>
          <cell r="AB8133" t="str">
            <v>line item not tagged</v>
          </cell>
        </row>
        <row r="8134">
          <cell r="W8134">
            <v>0</v>
          </cell>
          <cell r="AB8134" t="str">
            <v>line item not tagged</v>
          </cell>
        </row>
        <row r="8135">
          <cell r="W8135">
            <v>0</v>
          </cell>
          <cell r="AB8135" t="str">
            <v>line item not tagged</v>
          </cell>
        </row>
        <row r="8136">
          <cell r="W8136">
            <v>0</v>
          </cell>
          <cell r="AB8136" t="str">
            <v>line item not tagged</v>
          </cell>
        </row>
        <row r="8137">
          <cell r="W8137">
            <v>0</v>
          </cell>
          <cell r="AB8137" t="str">
            <v>line item not tagged</v>
          </cell>
        </row>
        <row r="8138">
          <cell r="W8138">
            <v>0</v>
          </cell>
          <cell r="AB8138" t="str">
            <v>line item not tagged</v>
          </cell>
        </row>
        <row r="8139">
          <cell r="W8139">
            <v>0</v>
          </cell>
          <cell r="AB8139" t="str">
            <v>line item not tagged</v>
          </cell>
        </row>
        <row r="8140">
          <cell r="W8140">
            <v>0</v>
          </cell>
          <cell r="AB8140" t="str">
            <v>line item not tagged</v>
          </cell>
        </row>
        <row r="8141">
          <cell r="W8141">
            <v>0</v>
          </cell>
          <cell r="AB8141" t="str">
            <v>line item not tagged</v>
          </cell>
        </row>
        <row r="8142">
          <cell r="W8142">
            <v>0</v>
          </cell>
          <cell r="AB8142" t="str">
            <v>line item not tagged</v>
          </cell>
        </row>
        <row r="8143">
          <cell r="W8143">
            <v>0</v>
          </cell>
          <cell r="AB8143" t="str">
            <v>line item not tagged</v>
          </cell>
        </row>
        <row r="8144">
          <cell r="W8144">
            <v>0</v>
          </cell>
          <cell r="AB8144" t="str">
            <v>line item not tagged</v>
          </cell>
        </row>
        <row r="8145">
          <cell r="W8145">
            <v>0</v>
          </cell>
          <cell r="AB8145" t="str">
            <v>line item not tagged</v>
          </cell>
        </row>
        <row r="8146">
          <cell r="W8146">
            <v>0</v>
          </cell>
          <cell r="AB8146" t="str">
            <v>line item not tagged</v>
          </cell>
        </row>
        <row r="8147">
          <cell r="W8147">
            <v>0</v>
          </cell>
          <cell r="AB8147" t="str">
            <v>line item not tagged</v>
          </cell>
        </row>
        <row r="8148">
          <cell r="W8148">
            <v>0</v>
          </cell>
          <cell r="AB8148" t="str">
            <v>line item not tagged</v>
          </cell>
        </row>
        <row r="8149">
          <cell r="W8149">
            <v>0</v>
          </cell>
          <cell r="AB8149" t="str">
            <v>line item not tagged</v>
          </cell>
        </row>
        <row r="8150">
          <cell r="W8150">
            <v>0</v>
          </cell>
          <cell r="AB8150" t="str">
            <v>line item not tagged</v>
          </cell>
        </row>
        <row r="8151">
          <cell r="W8151">
            <v>0</v>
          </cell>
          <cell r="AB8151" t="str">
            <v>line item not tagged</v>
          </cell>
        </row>
        <row r="8152">
          <cell r="W8152">
            <v>0</v>
          </cell>
          <cell r="AB8152" t="str">
            <v>line item not tagged</v>
          </cell>
        </row>
        <row r="8153">
          <cell r="W8153">
            <v>0</v>
          </cell>
          <cell r="AB8153" t="str">
            <v>line item not tagged</v>
          </cell>
        </row>
        <row r="8154">
          <cell r="W8154">
            <v>0</v>
          </cell>
          <cell r="AB8154" t="str">
            <v>line item not tagged</v>
          </cell>
        </row>
        <row r="8155">
          <cell r="W8155">
            <v>0</v>
          </cell>
          <cell r="AB8155" t="str">
            <v>line item not tagged</v>
          </cell>
        </row>
        <row r="8156">
          <cell r="W8156">
            <v>0</v>
          </cell>
          <cell r="AB8156" t="str">
            <v>line item not tagged</v>
          </cell>
        </row>
        <row r="8157">
          <cell r="W8157">
            <v>0</v>
          </cell>
          <cell r="AB8157" t="str">
            <v>line item not tagged</v>
          </cell>
        </row>
        <row r="8158">
          <cell r="W8158">
            <v>0</v>
          </cell>
          <cell r="AB8158" t="str">
            <v>line item not tagged</v>
          </cell>
        </row>
        <row r="8159">
          <cell r="W8159">
            <v>0</v>
          </cell>
          <cell r="AB8159" t="str">
            <v>line item not tagged</v>
          </cell>
        </row>
        <row r="8160">
          <cell r="W8160">
            <v>0</v>
          </cell>
          <cell r="AB8160" t="str">
            <v>line item not tagged</v>
          </cell>
        </row>
        <row r="8161">
          <cell r="W8161">
            <v>0</v>
          </cell>
          <cell r="AB8161" t="str">
            <v>line item not tagged</v>
          </cell>
        </row>
        <row r="8162">
          <cell r="W8162">
            <v>0</v>
          </cell>
          <cell r="AB8162" t="str">
            <v>line item not tagged</v>
          </cell>
        </row>
        <row r="8163">
          <cell r="W8163">
            <v>0</v>
          </cell>
          <cell r="AB8163" t="str">
            <v>line item not tagged</v>
          </cell>
        </row>
        <row r="8164">
          <cell r="W8164">
            <v>0</v>
          </cell>
          <cell r="AB8164" t="str">
            <v>line item not tagged</v>
          </cell>
        </row>
        <row r="8165">
          <cell r="W8165">
            <v>0</v>
          </cell>
          <cell r="AB8165" t="str">
            <v>line item not tagged</v>
          </cell>
        </row>
        <row r="8166">
          <cell r="W8166">
            <v>0</v>
          </cell>
          <cell r="AB8166" t="str">
            <v>line item not tagged</v>
          </cell>
        </row>
        <row r="8167">
          <cell r="W8167">
            <v>0</v>
          </cell>
          <cell r="AB8167" t="str">
            <v>line item not tagged</v>
          </cell>
        </row>
        <row r="8168">
          <cell r="W8168">
            <v>0</v>
          </cell>
          <cell r="AB8168" t="str">
            <v>line item not tagged</v>
          </cell>
        </row>
        <row r="8169">
          <cell r="W8169">
            <v>0</v>
          </cell>
          <cell r="AB8169" t="str">
            <v>line item not tagged</v>
          </cell>
        </row>
        <row r="8170">
          <cell r="W8170">
            <v>0</v>
          </cell>
          <cell r="AB8170" t="str">
            <v>line item not tagged</v>
          </cell>
        </row>
        <row r="8171">
          <cell r="W8171">
            <v>0</v>
          </cell>
          <cell r="AB8171" t="str">
            <v>line item not tagged</v>
          </cell>
        </row>
        <row r="8172">
          <cell r="W8172">
            <v>0</v>
          </cell>
          <cell r="AB8172" t="str">
            <v>line item not tagged</v>
          </cell>
        </row>
        <row r="8173">
          <cell r="W8173">
            <v>0</v>
          </cell>
          <cell r="AB8173" t="str">
            <v>line item not tagged</v>
          </cell>
        </row>
        <row r="8174">
          <cell r="W8174">
            <v>0</v>
          </cell>
          <cell r="AB8174" t="str">
            <v>line item not tagged</v>
          </cell>
        </row>
        <row r="8175">
          <cell r="W8175">
            <v>0</v>
          </cell>
          <cell r="AB8175" t="str">
            <v>line item not tagged</v>
          </cell>
        </row>
        <row r="8176">
          <cell r="W8176">
            <v>0</v>
          </cell>
          <cell r="AB8176" t="str">
            <v>line item not tagged</v>
          </cell>
        </row>
        <row r="8177">
          <cell r="W8177">
            <v>0</v>
          </cell>
          <cell r="AB8177" t="str">
            <v>line item not tagged</v>
          </cell>
        </row>
        <row r="8178">
          <cell r="W8178">
            <v>0</v>
          </cell>
          <cell r="AB8178" t="str">
            <v>line item not tagged</v>
          </cell>
        </row>
        <row r="8179">
          <cell r="W8179">
            <v>0</v>
          </cell>
          <cell r="AB8179" t="str">
            <v>line item not tagged</v>
          </cell>
        </row>
        <row r="8180">
          <cell r="W8180">
            <v>0</v>
          </cell>
          <cell r="AB8180" t="str">
            <v>line item not tagged</v>
          </cell>
        </row>
        <row r="8181">
          <cell r="W8181">
            <v>0</v>
          </cell>
          <cell r="AB8181" t="str">
            <v>line item not tagged</v>
          </cell>
        </row>
        <row r="8182">
          <cell r="W8182">
            <v>0</v>
          </cell>
          <cell r="AB8182" t="str">
            <v>line item not tagged</v>
          </cell>
        </row>
        <row r="8183">
          <cell r="W8183">
            <v>0</v>
          </cell>
          <cell r="AB8183" t="str">
            <v>line item not tagged</v>
          </cell>
        </row>
        <row r="8184">
          <cell r="W8184">
            <v>0</v>
          </cell>
          <cell r="AB8184" t="str">
            <v>line item not tagged</v>
          </cell>
        </row>
        <row r="8185">
          <cell r="W8185">
            <v>0</v>
          </cell>
          <cell r="AB8185" t="str">
            <v>line item not tagged</v>
          </cell>
        </row>
        <row r="8186">
          <cell r="W8186">
            <v>0</v>
          </cell>
          <cell r="AB8186" t="str">
            <v>line item not tagged</v>
          </cell>
        </row>
        <row r="8187">
          <cell r="W8187">
            <v>0</v>
          </cell>
          <cell r="AB8187" t="str">
            <v>line item not tagged</v>
          </cell>
        </row>
        <row r="8188">
          <cell r="W8188">
            <v>0</v>
          </cell>
          <cell r="AB8188" t="str">
            <v>line item not tagged</v>
          </cell>
        </row>
        <row r="8189">
          <cell r="W8189">
            <v>0</v>
          </cell>
          <cell r="AB8189" t="str">
            <v>line item not tagged</v>
          </cell>
        </row>
        <row r="8190">
          <cell r="W8190">
            <v>0</v>
          </cell>
          <cell r="AB8190" t="str">
            <v>line item not tagged</v>
          </cell>
        </row>
        <row r="8191">
          <cell r="W8191">
            <v>0</v>
          </cell>
          <cell r="AB8191" t="str">
            <v>line item not tagged</v>
          </cell>
        </row>
        <row r="8192">
          <cell r="W8192">
            <v>0</v>
          </cell>
          <cell r="AB8192" t="str">
            <v>line item not tagged</v>
          </cell>
        </row>
        <row r="8193">
          <cell r="W8193">
            <v>0</v>
          </cell>
          <cell r="AB8193" t="str">
            <v>line item not tagged</v>
          </cell>
        </row>
        <row r="8194">
          <cell r="W8194">
            <v>0</v>
          </cell>
          <cell r="AB8194" t="str">
            <v>line item not tagged</v>
          </cell>
        </row>
        <row r="8195">
          <cell r="W8195">
            <v>0</v>
          </cell>
          <cell r="AB8195" t="str">
            <v>line item not tagged</v>
          </cell>
        </row>
        <row r="8196">
          <cell r="W8196">
            <v>0</v>
          </cell>
          <cell r="AB8196" t="str">
            <v>line item not tagged</v>
          </cell>
        </row>
        <row r="8197">
          <cell r="W8197">
            <v>0</v>
          </cell>
          <cell r="AB8197" t="str">
            <v>line item not tagged</v>
          </cell>
        </row>
        <row r="8198">
          <cell r="W8198">
            <v>0</v>
          </cell>
          <cell r="AB8198" t="str">
            <v>line item not tagged</v>
          </cell>
        </row>
        <row r="8199">
          <cell r="W8199">
            <v>0</v>
          </cell>
          <cell r="AB8199" t="str">
            <v>line item not tagged</v>
          </cell>
        </row>
        <row r="8200">
          <cell r="W8200">
            <v>0</v>
          </cell>
          <cell r="AB8200" t="str">
            <v>line item not tagged</v>
          </cell>
        </row>
        <row r="8201">
          <cell r="W8201">
            <v>0</v>
          </cell>
          <cell r="AB8201" t="str">
            <v>line item not tagged</v>
          </cell>
        </row>
        <row r="8202">
          <cell r="W8202">
            <v>0</v>
          </cell>
          <cell r="AB8202" t="str">
            <v>line item not tagged</v>
          </cell>
        </row>
        <row r="8203">
          <cell r="W8203">
            <v>0</v>
          </cell>
          <cell r="AB8203" t="str">
            <v>line item not tagged</v>
          </cell>
        </row>
        <row r="8204">
          <cell r="W8204">
            <v>0</v>
          </cell>
          <cell r="AB8204" t="str">
            <v>line item not tagged</v>
          </cell>
        </row>
        <row r="8205">
          <cell r="W8205">
            <v>0</v>
          </cell>
          <cell r="AB8205" t="str">
            <v>line item not tagged</v>
          </cell>
        </row>
        <row r="8206">
          <cell r="W8206">
            <v>0</v>
          </cell>
          <cell r="AB8206" t="str">
            <v>line item not tagged</v>
          </cell>
        </row>
        <row r="8207">
          <cell r="W8207">
            <v>0</v>
          </cell>
          <cell r="AB8207" t="str">
            <v>line item not tagged</v>
          </cell>
        </row>
        <row r="8208">
          <cell r="W8208">
            <v>0</v>
          </cell>
          <cell r="AB8208" t="str">
            <v>line item not tagged</v>
          </cell>
        </row>
        <row r="8209">
          <cell r="W8209">
            <v>0</v>
          </cell>
          <cell r="AB8209" t="str">
            <v>line item not tagged</v>
          </cell>
        </row>
        <row r="8210">
          <cell r="W8210">
            <v>0</v>
          </cell>
          <cell r="AB8210" t="str">
            <v>line item not tagged</v>
          </cell>
        </row>
        <row r="8211">
          <cell r="W8211">
            <v>0</v>
          </cell>
          <cell r="AB8211" t="str">
            <v>line item not tagged</v>
          </cell>
        </row>
        <row r="8212">
          <cell r="W8212">
            <v>0</v>
          </cell>
          <cell r="AB8212" t="str">
            <v>line item not tagged</v>
          </cell>
        </row>
        <row r="8213">
          <cell r="W8213">
            <v>0</v>
          </cell>
          <cell r="AB8213" t="str">
            <v>line item not tagged</v>
          </cell>
        </row>
        <row r="8214">
          <cell r="W8214">
            <v>0</v>
          </cell>
          <cell r="AB8214" t="str">
            <v>line item not tagged</v>
          </cell>
        </row>
        <row r="8215">
          <cell r="W8215">
            <v>0</v>
          </cell>
          <cell r="AB8215" t="str">
            <v>line item not tagged</v>
          </cell>
        </row>
        <row r="8216">
          <cell r="W8216">
            <v>0</v>
          </cell>
          <cell r="AB8216" t="str">
            <v>line item not tagged</v>
          </cell>
        </row>
        <row r="8217">
          <cell r="W8217">
            <v>0</v>
          </cell>
          <cell r="AB8217" t="str">
            <v>line item not tagged</v>
          </cell>
        </row>
        <row r="8218">
          <cell r="W8218">
            <v>0</v>
          </cell>
          <cell r="AB8218" t="str">
            <v>line item not tagged</v>
          </cell>
        </row>
        <row r="8219">
          <cell r="W8219">
            <v>0</v>
          </cell>
          <cell r="AB8219" t="str">
            <v>line item not tagged</v>
          </cell>
        </row>
        <row r="8220">
          <cell r="W8220">
            <v>0</v>
          </cell>
          <cell r="AB8220" t="str">
            <v>line item not tagged</v>
          </cell>
        </row>
        <row r="8221">
          <cell r="W8221">
            <v>0</v>
          </cell>
          <cell r="AB8221" t="str">
            <v>line item not tagged</v>
          </cell>
        </row>
        <row r="8222">
          <cell r="W8222">
            <v>0</v>
          </cell>
          <cell r="AB8222" t="str">
            <v>line item not tagged</v>
          </cell>
        </row>
        <row r="8223">
          <cell r="W8223">
            <v>0</v>
          </cell>
          <cell r="AB8223" t="str">
            <v>line item not tagged</v>
          </cell>
        </row>
        <row r="8224">
          <cell r="W8224">
            <v>0</v>
          </cell>
          <cell r="AB8224" t="str">
            <v>line item not tagged</v>
          </cell>
        </row>
        <row r="8225">
          <cell r="W8225">
            <v>0</v>
          </cell>
          <cell r="AB8225" t="str">
            <v>line item not tagged</v>
          </cell>
        </row>
        <row r="8226">
          <cell r="W8226">
            <v>0</v>
          </cell>
          <cell r="AB8226" t="str">
            <v>line item not tagged</v>
          </cell>
        </row>
        <row r="8227">
          <cell r="W8227">
            <v>0</v>
          </cell>
          <cell r="AB8227" t="str">
            <v>line item not tagged</v>
          </cell>
        </row>
        <row r="8228">
          <cell r="W8228">
            <v>0</v>
          </cell>
          <cell r="AB8228" t="str">
            <v>line item not tagged</v>
          </cell>
        </row>
        <row r="8229">
          <cell r="W8229">
            <v>0</v>
          </cell>
          <cell r="AB8229" t="str">
            <v>line item not tagged</v>
          </cell>
        </row>
        <row r="8230">
          <cell r="W8230">
            <v>0</v>
          </cell>
          <cell r="AB8230" t="str">
            <v>line item not tagged</v>
          </cell>
        </row>
        <row r="8231">
          <cell r="W8231">
            <v>0</v>
          </cell>
          <cell r="AB8231" t="str">
            <v>line item not tagged</v>
          </cell>
        </row>
        <row r="8232">
          <cell r="W8232">
            <v>0</v>
          </cell>
          <cell r="AB8232" t="str">
            <v>line item not tagged</v>
          </cell>
        </row>
        <row r="8233">
          <cell r="W8233">
            <v>0</v>
          </cell>
          <cell r="AB8233" t="str">
            <v>line item not tagged</v>
          </cell>
        </row>
        <row r="8234">
          <cell r="W8234">
            <v>0</v>
          </cell>
          <cell r="AB8234" t="str">
            <v>line item not tagged</v>
          </cell>
        </row>
        <row r="8235">
          <cell r="W8235">
            <v>0</v>
          </cell>
          <cell r="AB8235" t="str">
            <v>line item not tagged</v>
          </cell>
        </row>
        <row r="8236">
          <cell r="W8236">
            <v>0</v>
          </cell>
          <cell r="AB8236" t="str">
            <v>line item not tagged</v>
          </cell>
        </row>
        <row r="8237">
          <cell r="W8237">
            <v>0</v>
          </cell>
          <cell r="AB8237" t="str">
            <v>line item not tagged</v>
          </cell>
        </row>
        <row r="8238">
          <cell r="W8238">
            <v>0</v>
          </cell>
          <cell r="AB8238" t="str">
            <v>line item not tagged</v>
          </cell>
        </row>
        <row r="8239">
          <cell r="W8239">
            <v>0</v>
          </cell>
          <cell r="AB8239" t="str">
            <v>line item not tagged</v>
          </cell>
        </row>
        <row r="8240">
          <cell r="W8240">
            <v>0</v>
          </cell>
          <cell r="AB8240" t="str">
            <v>line item not tagged</v>
          </cell>
        </row>
        <row r="8241">
          <cell r="W8241">
            <v>0</v>
          </cell>
          <cell r="AB8241" t="str">
            <v>line item not tagged</v>
          </cell>
        </row>
        <row r="8242">
          <cell r="W8242">
            <v>0</v>
          </cell>
          <cell r="AB8242" t="str">
            <v>line item not tagged</v>
          </cell>
        </row>
        <row r="8243">
          <cell r="W8243">
            <v>0</v>
          </cell>
          <cell r="AB8243" t="str">
            <v>line item not tagged</v>
          </cell>
        </row>
        <row r="8244">
          <cell r="W8244">
            <v>0</v>
          </cell>
          <cell r="AB8244" t="str">
            <v>line item not tagged</v>
          </cell>
        </row>
        <row r="8245">
          <cell r="W8245">
            <v>0</v>
          </cell>
          <cell r="AB8245" t="str">
            <v>line item not tagged</v>
          </cell>
        </row>
        <row r="8246">
          <cell r="W8246">
            <v>0</v>
          </cell>
          <cell r="AB8246" t="str">
            <v>line item not tagged</v>
          </cell>
        </row>
        <row r="8247">
          <cell r="W8247">
            <v>0</v>
          </cell>
          <cell r="AB8247" t="str">
            <v>line item not tagged</v>
          </cell>
        </row>
        <row r="8248">
          <cell r="W8248">
            <v>0</v>
          </cell>
          <cell r="AB8248" t="str">
            <v>line item not tagged</v>
          </cell>
        </row>
        <row r="8249">
          <cell r="W8249">
            <v>0</v>
          </cell>
          <cell r="AB8249" t="str">
            <v>line item not tagged</v>
          </cell>
        </row>
        <row r="8250">
          <cell r="W8250">
            <v>0</v>
          </cell>
          <cell r="AB8250" t="str">
            <v>line item not tagged</v>
          </cell>
        </row>
        <row r="8251">
          <cell r="W8251">
            <v>0</v>
          </cell>
          <cell r="AB8251" t="str">
            <v>line item not tagged</v>
          </cell>
        </row>
        <row r="8252">
          <cell r="W8252">
            <v>0</v>
          </cell>
          <cell r="AB8252" t="str">
            <v>line item not tagged</v>
          </cell>
        </row>
        <row r="8253">
          <cell r="W8253">
            <v>0</v>
          </cell>
          <cell r="AB8253" t="str">
            <v>line item not tagged</v>
          </cell>
        </row>
        <row r="8254">
          <cell r="W8254">
            <v>0</v>
          </cell>
          <cell r="AB8254" t="str">
            <v>line item not tagged</v>
          </cell>
        </row>
        <row r="8255">
          <cell r="W8255">
            <v>0</v>
          </cell>
          <cell r="AB8255" t="str">
            <v>line item not tagged</v>
          </cell>
        </row>
        <row r="8256">
          <cell r="W8256">
            <v>0</v>
          </cell>
          <cell r="AB8256" t="str">
            <v>line item not tagged</v>
          </cell>
        </row>
        <row r="8257">
          <cell r="W8257">
            <v>0</v>
          </cell>
          <cell r="AB8257" t="str">
            <v>line item not tagged</v>
          </cell>
        </row>
        <row r="8258">
          <cell r="W8258">
            <v>0</v>
          </cell>
          <cell r="AB8258" t="str">
            <v>line item not tagged</v>
          </cell>
        </row>
        <row r="8259">
          <cell r="W8259">
            <v>0</v>
          </cell>
          <cell r="AB8259" t="str">
            <v>line item not tagged</v>
          </cell>
        </row>
        <row r="8260">
          <cell r="W8260">
            <v>0</v>
          </cell>
          <cell r="AB8260" t="str">
            <v>line item not tagged</v>
          </cell>
        </row>
        <row r="8261">
          <cell r="W8261">
            <v>0</v>
          </cell>
          <cell r="AB8261" t="str">
            <v>line item not tagged</v>
          </cell>
        </row>
        <row r="8262">
          <cell r="W8262">
            <v>0</v>
          </cell>
          <cell r="AB8262" t="str">
            <v>line item not tagged</v>
          </cell>
        </row>
        <row r="8263">
          <cell r="W8263">
            <v>0</v>
          </cell>
          <cell r="AB8263" t="str">
            <v>line item not tagged</v>
          </cell>
        </row>
        <row r="8264">
          <cell r="W8264">
            <v>0</v>
          </cell>
          <cell r="AB8264" t="str">
            <v>line item not tagged</v>
          </cell>
        </row>
        <row r="8265">
          <cell r="W8265">
            <v>0</v>
          </cell>
          <cell r="AB8265" t="str">
            <v>line item not tagged</v>
          </cell>
        </row>
        <row r="8266">
          <cell r="W8266">
            <v>0</v>
          </cell>
          <cell r="AB8266" t="str">
            <v>line item not tagged</v>
          </cell>
        </row>
        <row r="8267">
          <cell r="W8267">
            <v>0</v>
          </cell>
          <cell r="AB8267" t="str">
            <v>line item not tagged</v>
          </cell>
        </row>
        <row r="8268">
          <cell r="W8268">
            <v>0</v>
          </cell>
          <cell r="AB8268" t="str">
            <v>line item not tagged</v>
          </cell>
        </row>
        <row r="8269">
          <cell r="W8269">
            <v>0</v>
          </cell>
          <cell r="AB8269" t="str">
            <v>line item not tagged</v>
          </cell>
        </row>
        <row r="8270">
          <cell r="W8270">
            <v>0</v>
          </cell>
          <cell r="AB8270" t="str">
            <v>line item not tagged</v>
          </cell>
        </row>
        <row r="8271">
          <cell r="W8271">
            <v>0</v>
          </cell>
          <cell r="AB8271" t="str">
            <v>line item not tagged</v>
          </cell>
        </row>
        <row r="8272">
          <cell r="W8272">
            <v>0</v>
          </cell>
          <cell r="AB8272" t="str">
            <v>line item not tagged</v>
          </cell>
        </row>
        <row r="8273">
          <cell r="W8273">
            <v>0</v>
          </cell>
          <cell r="AB8273" t="str">
            <v>line item not tagged</v>
          </cell>
        </row>
        <row r="8274">
          <cell r="W8274">
            <v>0</v>
          </cell>
          <cell r="AB8274" t="str">
            <v>line item not tagged</v>
          </cell>
        </row>
        <row r="8275">
          <cell r="W8275">
            <v>0</v>
          </cell>
          <cell r="AB8275" t="str">
            <v>line item not tagged</v>
          </cell>
        </row>
        <row r="8276">
          <cell r="W8276">
            <v>0</v>
          </cell>
          <cell r="AB8276" t="str">
            <v>line item not tagged</v>
          </cell>
        </row>
        <row r="8277">
          <cell r="W8277">
            <v>0</v>
          </cell>
          <cell r="AB8277" t="str">
            <v>line item not tagged</v>
          </cell>
        </row>
        <row r="8278">
          <cell r="W8278">
            <v>0</v>
          </cell>
          <cell r="AB8278" t="str">
            <v>line item not tagged</v>
          </cell>
        </row>
        <row r="8279">
          <cell r="W8279">
            <v>0</v>
          </cell>
          <cell r="AB8279" t="str">
            <v>line item not tagged</v>
          </cell>
        </row>
        <row r="8280">
          <cell r="W8280">
            <v>0</v>
          </cell>
          <cell r="AB8280" t="str">
            <v>line item not tagged</v>
          </cell>
        </row>
        <row r="8281">
          <cell r="W8281">
            <v>0</v>
          </cell>
          <cell r="AB8281" t="str">
            <v>line item not tagged</v>
          </cell>
        </row>
        <row r="8282">
          <cell r="W8282">
            <v>0</v>
          </cell>
          <cell r="AB8282" t="str">
            <v>line item not tagged</v>
          </cell>
        </row>
        <row r="8283">
          <cell r="W8283">
            <v>0</v>
          </cell>
          <cell r="AB8283" t="str">
            <v>line item not tagged</v>
          </cell>
        </row>
        <row r="8284">
          <cell r="W8284">
            <v>0</v>
          </cell>
          <cell r="AB8284" t="str">
            <v>line item not tagged</v>
          </cell>
        </row>
        <row r="8285">
          <cell r="W8285">
            <v>0</v>
          </cell>
          <cell r="AB8285" t="str">
            <v>line item not tagged</v>
          </cell>
        </row>
        <row r="8286">
          <cell r="W8286">
            <v>0</v>
          </cell>
          <cell r="AB8286" t="str">
            <v>line item not tagged</v>
          </cell>
        </row>
        <row r="8287">
          <cell r="W8287">
            <v>0</v>
          </cell>
          <cell r="AB8287" t="str">
            <v>line item not tagged</v>
          </cell>
        </row>
        <row r="8288">
          <cell r="W8288">
            <v>0</v>
          </cell>
          <cell r="AB8288" t="str">
            <v>line item not tagged</v>
          </cell>
        </row>
        <row r="8289">
          <cell r="W8289">
            <v>0</v>
          </cell>
          <cell r="AB8289" t="str">
            <v>line item not tagged</v>
          </cell>
        </row>
        <row r="8290">
          <cell r="W8290">
            <v>0</v>
          </cell>
          <cell r="AB8290" t="str">
            <v>line item not tagged</v>
          </cell>
        </row>
        <row r="8291">
          <cell r="W8291">
            <v>0</v>
          </cell>
          <cell r="AB8291" t="str">
            <v>line item not tagged</v>
          </cell>
        </row>
        <row r="8292">
          <cell r="W8292">
            <v>0</v>
          </cell>
          <cell r="AB8292" t="str">
            <v>line item not tagged</v>
          </cell>
        </row>
        <row r="8293">
          <cell r="W8293">
            <v>0</v>
          </cell>
          <cell r="AB8293" t="str">
            <v>line item not tagged</v>
          </cell>
        </row>
        <row r="8294">
          <cell r="W8294">
            <v>0</v>
          </cell>
          <cell r="AB8294" t="str">
            <v>line item not tagged</v>
          </cell>
        </row>
        <row r="8295">
          <cell r="W8295">
            <v>0</v>
          </cell>
          <cell r="AB8295" t="str">
            <v>line item not tagged</v>
          </cell>
        </row>
        <row r="8296">
          <cell r="W8296">
            <v>0</v>
          </cell>
          <cell r="AB8296" t="str">
            <v>line item not tagged</v>
          </cell>
        </row>
        <row r="8297">
          <cell r="W8297">
            <v>0</v>
          </cell>
          <cell r="AB8297" t="str">
            <v>line item not tagged</v>
          </cell>
        </row>
        <row r="8298">
          <cell r="W8298">
            <v>0</v>
          </cell>
          <cell r="AB8298" t="str">
            <v>line item not tagged</v>
          </cell>
        </row>
        <row r="8299">
          <cell r="W8299">
            <v>0</v>
          </cell>
          <cell r="AB8299" t="str">
            <v>line item not tagged</v>
          </cell>
        </row>
        <row r="8300">
          <cell r="W8300">
            <v>0</v>
          </cell>
          <cell r="AB8300" t="str">
            <v>line item not tagged</v>
          </cell>
        </row>
        <row r="8301">
          <cell r="W8301">
            <v>0</v>
          </cell>
          <cell r="AB8301" t="str">
            <v>line item not tagged</v>
          </cell>
        </row>
        <row r="8302">
          <cell r="W8302">
            <v>0</v>
          </cell>
          <cell r="AB8302" t="str">
            <v>line item not tagged</v>
          </cell>
        </row>
        <row r="8303">
          <cell r="W8303">
            <v>0</v>
          </cell>
          <cell r="AB8303" t="str">
            <v>line item not tagged</v>
          </cell>
        </row>
        <row r="8304">
          <cell r="W8304">
            <v>0</v>
          </cell>
          <cell r="AB8304" t="str">
            <v>line item not tagged</v>
          </cell>
        </row>
        <row r="8305">
          <cell r="W8305">
            <v>0</v>
          </cell>
          <cell r="AB8305" t="str">
            <v>line item not tagged</v>
          </cell>
        </row>
        <row r="8306">
          <cell r="W8306">
            <v>0</v>
          </cell>
          <cell r="AB8306" t="str">
            <v>line item not tagged</v>
          </cell>
        </row>
        <row r="8307">
          <cell r="W8307">
            <v>0</v>
          </cell>
          <cell r="AB8307" t="str">
            <v>line item not tagged</v>
          </cell>
        </row>
        <row r="8308">
          <cell r="W8308">
            <v>0</v>
          </cell>
          <cell r="AB8308" t="str">
            <v>line item not tagged</v>
          </cell>
        </row>
        <row r="8309">
          <cell r="W8309">
            <v>0</v>
          </cell>
          <cell r="AB8309" t="str">
            <v>line item not tagged</v>
          </cell>
        </row>
        <row r="8310">
          <cell r="W8310">
            <v>0</v>
          </cell>
          <cell r="AB8310" t="str">
            <v>line item not tagged</v>
          </cell>
        </row>
        <row r="8311">
          <cell r="W8311">
            <v>0</v>
          </cell>
          <cell r="AB8311" t="str">
            <v>line item not tagged</v>
          </cell>
        </row>
        <row r="8312">
          <cell r="W8312">
            <v>0</v>
          </cell>
          <cell r="AB8312" t="str">
            <v>line item not tagged</v>
          </cell>
        </row>
        <row r="8313">
          <cell r="W8313">
            <v>0</v>
          </cell>
          <cell r="AB8313" t="str">
            <v>line item not tagged</v>
          </cell>
        </row>
        <row r="8314">
          <cell r="W8314">
            <v>0</v>
          </cell>
          <cell r="AB8314" t="str">
            <v>line item not tagged</v>
          </cell>
        </row>
        <row r="8315">
          <cell r="W8315">
            <v>0</v>
          </cell>
          <cell r="AB8315" t="str">
            <v>line item not tagged</v>
          </cell>
        </row>
        <row r="8316">
          <cell r="W8316">
            <v>0</v>
          </cell>
          <cell r="AB8316" t="str">
            <v>line item not tagged</v>
          </cell>
        </row>
        <row r="8317">
          <cell r="W8317">
            <v>0</v>
          </cell>
          <cell r="AB8317" t="str">
            <v>line item not tagged</v>
          </cell>
        </row>
        <row r="8318">
          <cell r="W8318">
            <v>0</v>
          </cell>
          <cell r="AB8318" t="str">
            <v>line item not tagged</v>
          </cell>
        </row>
        <row r="8319">
          <cell r="W8319">
            <v>0</v>
          </cell>
          <cell r="AB8319" t="str">
            <v>line item not tagged</v>
          </cell>
        </row>
        <row r="8320">
          <cell r="W8320">
            <v>0</v>
          </cell>
          <cell r="AB8320" t="str">
            <v>line item not tagged</v>
          </cell>
        </row>
        <row r="8321">
          <cell r="W8321">
            <v>0</v>
          </cell>
          <cell r="AB8321" t="str">
            <v>line item not tagged</v>
          </cell>
        </row>
        <row r="8322">
          <cell r="W8322">
            <v>0</v>
          </cell>
          <cell r="AB8322" t="str">
            <v>line item not tagged</v>
          </cell>
        </row>
        <row r="8323">
          <cell r="W8323">
            <v>0</v>
          </cell>
          <cell r="AB8323" t="str">
            <v>line item not tagged</v>
          </cell>
        </row>
        <row r="8324">
          <cell r="W8324">
            <v>0</v>
          </cell>
          <cell r="AB8324" t="str">
            <v>line item not tagged</v>
          </cell>
        </row>
        <row r="8325">
          <cell r="W8325">
            <v>0</v>
          </cell>
          <cell r="AB8325" t="str">
            <v>line item not tagged</v>
          </cell>
        </row>
        <row r="8326">
          <cell r="W8326">
            <v>0</v>
          </cell>
          <cell r="AB8326" t="str">
            <v>line item not tagged</v>
          </cell>
        </row>
        <row r="8327">
          <cell r="W8327">
            <v>0</v>
          </cell>
          <cell r="AB8327" t="str">
            <v>line item not tagged</v>
          </cell>
        </row>
        <row r="8328">
          <cell r="W8328">
            <v>0</v>
          </cell>
          <cell r="AB8328" t="str">
            <v>line item not tagged</v>
          </cell>
        </row>
        <row r="8329">
          <cell r="W8329">
            <v>0</v>
          </cell>
          <cell r="AB8329" t="str">
            <v>line item not tagged</v>
          </cell>
        </row>
        <row r="8330">
          <cell r="W8330">
            <v>0</v>
          </cell>
          <cell r="AB8330" t="str">
            <v>line item not tagged</v>
          </cell>
        </row>
        <row r="8331">
          <cell r="W8331">
            <v>0</v>
          </cell>
          <cell r="AB8331" t="str">
            <v>line item not tagged</v>
          </cell>
        </row>
        <row r="8332">
          <cell r="W8332">
            <v>0</v>
          </cell>
          <cell r="AB8332" t="str">
            <v>line item not tagged</v>
          </cell>
        </row>
        <row r="8333">
          <cell r="W8333">
            <v>0</v>
          </cell>
          <cell r="AB8333" t="str">
            <v>line item not tagged</v>
          </cell>
        </row>
        <row r="8334">
          <cell r="W8334">
            <v>0</v>
          </cell>
          <cell r="AB8334" t="str">
            <v>line item not tagged</v>
          </cell>
        </row>
        <row r="8335">
          <cell r="W8335">
            <v>0</v>
          </cell>
          <cell r="AB8335" t="str">
            <v>line item not tagged</v>
          </cell>
        </row>
        <row r="8336">
          <cell r="W8336">
            <v>0</v>
          </cell>
          <cell r="AB8336" t="str">
            <v>line item not tagged</v>
          </cell>
        </row>
        <row r="8337">
          <cell r="W8337">
            <v>0</v>
          </cell>
          <cell r="AB8337" t="str">
            <v>line item not tagged</v>
          </cell>
        </row>
        <row r="8338">
          <cell r="W8338">
            <v>0</v>
          </cell>
          <cell r="AB8338" t="str">
            <v>line item not tagged</v>
          </cell>
        </row>
        <row r="8339">
          <cell r="W8339">
            <v>0</v>
          </cell>
          <cell r="AB8339" t="str">
            <v>line item not tagged</v>
          </cell>
        </row>
        <row r="8340">
          <cell r="W8340">
            <v>0</v>
          </cell>
          <cell r="AB8340" t="str">
            <v>line item not tagged</v>
          </cell>
        </row>
        <row r="8341">
          <cell r="W8341">
            <v>0</v>
          </cell>
          <cell r="AB8341" t="str">
            <v>line item not tagged</v>
          </cell>
        </row>
        <row r="8342">
          <cell r="W8342">
            <v>0</v>
          </cell>
          <cell r="AB8342" t="str">
            <v>line item not tagged</v>
          </cell>
        </row>
        <row r="8343">
          <cell r="W8343">
            <v>0</v>
          </cell>
          <cell r="AB8343" t="str">
            <v>line item not tagged</v>
          </cell>
        </row>
        <row r="8344">
          <cell r="W8344">
            <v>0</v>
          </cell>
          <cell r="AB8344" t="str">
            <v>line item not tagged</v>
          </cell>
        </row>
        <row r="8345">
          <cell r="W8345">
            <v>0</v>
          </cell>
          <cell r="AB8345" t="str">
            <v>line item not tagged</v>
          </cell>
        </row>
        <row r="8346">
          <cell r="W8346">
            <v>0</v>
          </cell>
          <cell r="AB8346" t="str">
            <v>line item not tagged</v>
          </cell>
        </row>
        <row r="8347">
          <cell r="W8347">
            <v>0</v>
          </cell>
          <cell r="AB8347" t="str">
            <v>line item not tagged</v>
          </cell>
        </row>
        <row r="8348">
          <cell r="W8348">
            <v>0</v>
          </cell>
          <cell r="AB8348" t="str">
            <v>line item not tagged</v>
          </cell>
        </row>
        <row r="8349">
          <cell r="W8349">
            <v>0</v>
          </cell>
          <cell r="AB8349" t="str">
            <v>line item not tagged</v>
          </cell>
        </row>
        <row r="8350">
          <cell r="W8350">
            <v>0</v>
          </cell>
          <cell r="AB8350" t="str">
            <v>line item not tagged</v>
          </cell>
        </row>
        <row r="8351">
          <cell r="W8351">
            <v>0</v>
          </cell>
          <cell r="AB8351" t="str">
            <v>line item not tagged</v>
          </cell>
        </row>
        <row r="8352">
          <cell r="W8352">
            <v>0</v>
          </cell>
          <cell r="AB8352" t="str">
            <v>line item not tagged</v>
          </cell>
        </row>
        <row r="8353">
          <cell r="W8353">
            <v>0</v>
          </cell>
          <cell r="AB8353" t="str">
            <v>line item not tagged</v>
          </cell>
        </row>
        <row r="8354">
          <cell r="W8354">
            <v>0</v>
          </cell>
          <cell r="AB8354" t="str">
            <v>line item not tagged</v>
          </cell>
        </row>
        <row r="8355">
          <cell r="W8355">
            <v>0</v>
          </cell>
          <cell r="AB8355" t="str">
            <v>line item not tagged</v>
          </cell>
        </row>
        <row r="8356">
          <cell r="W8356">
            <v>0</v>
          </cell>
          <cell r="AB8356" t="str">
            <v>line item not tagged</v>
          </cell>
        </row>
        <row r="8357">
          <cell r="W8357">
            <v>0</v>
          </cell>
          <cell r="AB8357" t="str">
            <v>line item not tagged</v>
          </cell>
        </row>
        <row r="8358">
          <cell r="W8358">
            <v>0</v>
          </cell>
          <cell r="AB8358" t="str">
            <v>line item not tagged</v>
          </cell>
        </row>
        <row r="8359">
          <cell r="W8359">
            <v>0</v>
          </cell>
          <cell r="AB8359" t="str">
            <v>line item not tagged</v>
          </cell>
        </row>
        <row r="8360">
          <cell r="W8360">
            <v>0</v>
          </cell>
          <cell r="AB8360" t="str">
            <v>line item not tagged</v>
          </cell>
        </row>
        <row r="8361">
          <cell r="W8361">
            <v>0</v>
          </cell>
          <cell r="AB8361" t="str">
            <v>line item not tagged</v>
          </cell>
        </row>
        <row r="8362">
          <cell r="W8362">
            <v>0</v>
          </cell>
          <cell r="AB8362" t="str">
            <v>line item not tagged</v>
          </cell>
        </row>
        <row r="8363">
          <cell r="W8363">
            <v>0</v>
          </cell>
          <cell r="AB8363" t="str">
            <v>line item not tagged</v>
          </cell>
        </row>
        <row r="8364">
          <cell r="W8364">
            <v>0</v>
          </cell>
          <cell r="AB8364" t="str">
            <v>line item not tagged</v>
          </cell>
        </row>
        <row r="8365">
          <cell r="W8365">
            <v>0</v>
          </cell>
          <cell r="AB8365" t="str">
            <v>line item not tagged</v>
          </cell>
        </row>
        <row r="8366">
          <cell r="W8366">
            <v>0</v>
          </cell>
          <cell r="AB8366" t="str">
            <v>line item not tagged</v>
          </cell>
        </row>
        <row r="8367">
          <cell r="W8367">
            <v>0</v>
          </cell>
          <cell r="AB8367" t="str">
            <v>line item not tagged</v>
          </cell>
        </row>
        <row r="8368">
          <cell r="W8368">
            <v>0</v>
          </cell>
          <cell r="AB8368" t="str">
            <v>line item not tagged</v>
          </cell>
        </row>
        <row r="8369">
          <cell r="W8369">
            <v>0</v>
          </cell>
          <cell r="AB8369" t="str">
            <v>line item not tagged</v>
          </cell>
        </row>
        <row r="8370">
          <cell r="W8370">
            <v>0</v>
          </cell>
          <cell r="AB8370" t="str">
            <v>line item not tagged</v>
          </cell>
        </row>
        <row r="8371">
          <cell r="W8371">
            <v>0</v>
          </cell>
          <cell r="AB8371" t="str">
            <v>line item not tagged</v>
          </cell>
        </row>
        <row r="8372">
          <cell r="W8372">
            <v>0</v>
          </cell>
          <cell r="AB8372" t="str">
            <v>line item not tagged</v>
          </cell>
        </row>
        <row r="8373">
          <cell r="W8373">
            <v>0</v>
          </cell>
          <cell r="AB8373" t="str">
            <v>line item not tagged</v>
          </cell>
        </row>
        <row r="8374">
          <cell r="W8374">
            <v>0</v>
          </cell>
          <cell r="AB8374" t="str">
            <v>line item not tagged</v>
          </cell>
        </row>
        <row r="8375">
          <cell r="W8375">
            <v>0</v>
          </cell>
          <cell r="AB8375" t="str">
            <v>line item not tagged</v>
          </cell>
        </row>
        <row r="8376">
          <cell r="W8376">
            <v>0</v>
          </cell>
          <cell r="AB8376" t="str">
            <v>line item not tagged</v>
          </cell>
        </row>
        <row r="8377">
          <cell r="W8377">
            <v>0</v>
          </cell>
          <cell r="AB8377" t="str">
            <v>line item not tagged</v>
          </cell>
        </row>
        <row r="8378">
          <cell r="W8378">
            <v>0</v>
          </cell>
          <cell r="AB8378" t="str">
            <v>line item not tagged</v>
          </cell>
        </row>
        <row r="8379">
          <cell r="W8379">
            <v>0</v>
          </cell>
          <cell r="AB8379" t="str">
            <v>line item not tagged</v>
          </cell>
        </row>
        <row r="8380">
          <cell r="W8380">
            <v>0</v>
          </cell>
          <cell r="AB8380" t="str">
            <v>line item not tagged</v>
          </cell>
        </row>
        <row r="8381">
          <cell r="W8381">
            <v>0</v>
          </cell>
          <cell r="AB8381" t="str">
            <v>line item not tagged</v>
          </cell>
        </row>
        <row r="8382">
          <cell r="W8382">
            <v>0</v>
          </cell>
          <cell r="AB8382" t="str">
            <v>line item not tagged</v>
          </cell>
        </row>
        <row r="8383">
          <cell r="W8383">
            <v>0</v>
          </cell>
          <cell r="AB8383" t="str">
            <v>line item not tagged</v>
          </cell>
        </row>
        <row r="8384">
          <cell r="W8384">
            <v>0</v>
          </cell>
          <cell r="AB8384" t="str">
            <v>line item not tagged</v>
          </cell>
        </row>
        <row r="8385">
          <cell r="W8385">
            <v>0</v>
          </cell>
          <cell r="AB8385" t="str">
            <v>line item not tagged</v>
          </cell>
        </row>
        <row r="8386">
          <cell r="W8386">
            <v>0</v>
          </cell>
          <cell r="AB8386" t="str">
            <v>line item not tagged</v>
          </cell>
        </row>
        <row r="8387">
          <cell r="W8387">
            <v>0</v>
          </cell>
          <cell r="AB8387" t="str">
            <v>line item not tagged</v>
          </cell>
        </row>
        <row r="8388">
          <cell r="W8388">
            <v>0</v>
          </cell>
          <cell r="AB8388" t="str">
            <v>line item not tagged</v>
          </cell>
        </row>
        <row r="8389">
          <cell r="W8389">
            <v>0</v>
          </cell>
          <cell r="AB8389" t="str">
            <v>line item not tagged</v>
          </cell>
        </row>
        <row r="8390">
          <cell r="W8390">
            <v>0</v>
          </cell>
          <cell r="AB8390" t="str">
            <v>line item not tagged</v>
          </cell>
        </row>
        <row r="8391">
          <cell r="W8391">
            <v>0</v>
          </cell>
          <cell r="AB8391" t="str">
            <v>line item not tagged</v>
          </cell>
        </row>
        <row r="8392">
          <cell r="W8392">
            <v>0</v>
          </cell>
          <cell r="AB8392" t="str">
            <v>line item not tagged</v>
          </cell>
        </row>
        <row r="8393">
          <cell r="W8393">
            <v>0</v>
          </cell>
          <cell r="AB8393" t="str">
            <v>line item not tagged</v>
          </cell>
        </row>
        <row r="8394">
          <cell r="W8394">
            <v>0</v>
          </cell>
          <cell r="AB8394" t="str">
            <v>line item not tagged</v>
          </cell>
        </row>
        <row r="8395">
          <cell r="W8395">
            <v>0</v>
          </cell>
          <cell r="AB8395" t="str">
            <v>line item not tagged</v>
          </cell>
        </row>
        <row r="8396">
          <cell r="W8396">
            <v>0</v>
          </cell>
          <cell r="AB8396" t="str">
            <v>line item not tagged</v>
          </cell>
        </row>
        <row r="8397">
          <cell r="W8397">
            <v>0</v>
          </cell>
          <cell r="AB8397" t="str">
            <v>line item not tagged</v>
          </cell>
        </row>
        <row r="8398">
          <cell r="W8398">
            <v>0</v>
          </cell>
          <cell r="AB8398" t="str">
            <v>line item not tagged</v>
          </cell>
        </row>
        <row r="8399">
          <cell r="W8399">
            <v>0</v>
          </cell>
          <cell r="AB8399" t="str">
            <v>line item not tagged</v>
          </cell>
        </row>
        <row r="8400">
          <cell r="W8400">
            <v>0</v>
          </cell>
          <cell r="AB8400" t="str">
            <v>line item not tagged</v>
          </cell>
        </row>
        <row r="8401">
          <cell r="W8401">
            <v>0</v>
          </cell>
          <cell r="AB8401" t="str">
            <v>line item not tagged</v>
          </cell>
        </row>
        <row r="8402">
          <cell r="W8402">
            <v>0</v>
          </cell>
          <cell r="AB8402" t="str">
            <v>line item not tagged</v>
          </cell>
        </row>
        <row r="8403">
          <cell r="W8403">
            <v>0</v>
          </cell>
          <cell r="AB8403" t="str">
            <v>line item not tagged</v>
          </cell>
        </row>
        <row r="8404">
          <cell r="W8404">
            <v>0</v>
          </cell>
          <cell r="AB8404" t="str">
            <v>line item not tagged</v>
          </cell>
        </row>
        <row r="8405">
          <cell r="W8405">
            <v>0</v>
          </cell>
          <cell r="AB8405" t="str">
            <v>line item not tagged</v>
          </cell>
        </row>
        <row r="8406">
          <cell r="W8406">
            <v>0</v>
          </cell>
          <cell r="AB8406" t="str">
            <v>line item not tagged</v>
          </cell>
        </row>
        <row r="8407">
          <cell r="W8407">
            <v>0</v>
          </cell>
          <cell r="AB8407" t="str">
            <v>line item not tagged</v>
          </cell>
        </row>
        <row r="8408">
          <cell r="W8408">
            <v>0</v>
          </cell>
          <cell r="AB8408" t="str">
            <v>line item not tagged</v>
          </cell>
        </row>
        <row r="8409">
          <cell r="W8409">
            <v>0</v>
          </cell>
          <cell r="AB8409" t="str">
            <v>line item not tagged</v>
          </cell>
        </row>
        <row r="8410">
          <cell r="W8410">
            <v>0</v>
          </cell>
          <cell r="AB8410" t="str">
            <v>line item not tagged</v>
          </cell>
        </row>
        <row r="8411">
          <cell r="W8411">
            <v>0</v>
          </cell>
          <cell r="AB8411" t="str">
            <v>line item not tagged</v>
          </cell>
        </row>
        <row r="8412">
          <cell r="W8412">
            <v>0</v>
          </cell>
          <cell r="AB8412" t="str">
            <v>line item not tagged</v>
          </cell>
        </row>
        <row r="8413">
          <cell r="W8413">
            <v>0</v>
          </cell>
          <cell r="AB8413" t="str">
            <v>line item not tagged</v>
          </cell>
        </row>
        <row r="8414">
          <cell r="W8414">
            <v>0</v>
          </cell>
          <cell r="AB8414" t="str">
            <v>line item not tagged</v>
          </cell>
        </row>
        <row r="8415">
          <cell r="W8415">
            <v>0</v>
          </cell>
          <cell r="AB8415" t="str">
            <v>line item not tagged</v>
          </cell>
        </row>
        <row r="8416">
          <cell r="W8416">
            <v>0</v>
          </cell>
          <cell r="AB8416" t="str">
            <v>line item not tagged</v>
          </cell>
        </row>
        <row r="8417">
          <cell r="W8417">
            <v>0</v>
          </cell>
          <cell r="AB8417" t="str">
            <v>line item not tagged</v>
          </cell>
        </row>
        <row r="8418">
          <cell r="W8418">
            <v>0</v>
          </cell>
          <cell r="AB8418" t="str">
            <v>line item not tagged</v>
          </cell>
        </row>
        <row r="8419">
          <cell r="W8419">
            <v>0</v>
          </cell>
          <cell r="AB8419" t="str">
            <v>line item not tagged</v>
          </cell>
        </row>
        <row r="8420">
          <cell r="W8420">
            <v>0</v>
          </cell>
          <cell r="AB8420" t="str">
            <v>line item not tagged</v>
          </cell>
        </row>
        <row r="8421">
          <cell r="W8421">
            <v>0</v>
          </cell>
          <cell r="AB8421" t="str">
            <v>line item not tagged</v>
          </cell>
        </row>
        <row r="8422">
          <cell r="W8422">
            <v>0</v>
          </cell>
          <cell r="AB8422" t="str">
            <v>line item not tagged</v>
          </cell>
        </row>
        <row r="8423">
          <cell r="W8423">
            <v>0</v>
          </cell>
          <cell r="AB8423" t="str">
            <v>line item not tagged</v>
          </cell>
        </row>
        <row r="8424">
          <cell r="W8424">
            <v>0</v>
          </cell>
          <cell r="AB8424" t="str">
            <v>line item not tagged</v>
          </cell>
        </row>
        <row r="8425">
          <cell r="W8425">
            <v>0</v>
          </cell>
          <cell r="AB8425" t="str">
            <v>line item not tagged</v>
          </cell>
        </row>
        <row r="8426">
          <cell r="W8426">
            <v>0</v>
          </cell>
          <cell r="AB8426" t="str">
            <v>line item not tagged</v>
          </cell>
        </row>
        <row r="8427">
          <cell r="W8427">
            <v>0</v>
          </cell>
          <cell r="AB8427" t="str">
            <v>line item not tagged</v>
          </cell>
        </row>
        <row r="8428">
          <cell r="W8428">
            <v>0</v>
          </cell>
          <cell r="AB8428" t="str">
            <v>line item not tagged</v>
          </cell>
        </row>
        <row r="8429">
          <cell r="W8429">
            <v>0</v>
          </cell>
          <cell r="AB8429" t="str">
            <v>line item not tagged</v>
          </cell>
        </row>
        <row r="8430">
          <cell r="W8430">
            <v>0</v>
          </cell>
          <cell r="AB8430" t="str">
            <v>line item not tagged</v>
          </cell>
        </row>
        <row r="8431">
          <cell r="W8431">
            <v>0</v>
          </cell>
          <cell r="AB8431" t="str">
            <v>line item not tagged</v>
          </cell>
        </row>
        <row r="8432">
          <cell r="W8432">
            <v>0</v>
          </cell>
          <cell r="AB8432" t="str">
            <v>line item not tagged</v>
          </cell>
        </row>
        <row r="8433">
          <cell r="W8433">
            <v>0</v>
          </cell>
          <cell r="AB8433" t="str">
            <v>line item not tagged</v>
          </cell>
        </row>
        <row r="8434">
          <cell r="W8434">
            <v>0</v>
          </cell>
          <cell r="AB8434" t="str">
            <v>line item not tagged</v>
          </cell>
        </row>
        <row r="8435">
          <cell r="W8435">
            <v>0</v>
          </cell>
          <cell r="AB8435" t="str">
            <v>line item not tagged</v>
          </cell>
        </row>
        <row r="8436">
          <cell r="W8436">
            <v>0</v>
          </cell>
          <cell r="AB8436" t="str">
            <v>line item not tagged</v>
          </cell>
        </row>
        <row r="8437">
          <cell r="W8437">
            <v>0</v>
          </cell>
          <cell r="AB8437" t="str">
            <v>line item not tagged</v>
          </cell>
        </row>
        <row r="8438">
          <cell r="W8438">
            <v>0</v>
          </cell>
          <cell r="AB8438" t="str">
            <v>line item not tagged</v>
          </cell>
        </row>
        <row r="8439">
          <cell r="W8439">
            <v>0</v>
          </cell>
          <cell r="AB8439" t="str">
            <v>line item not tagged</v>
          </cell>
        </row>
        <row r="8440">
          <cell r="W8440">
            <v>0</v>
          </cell>
          <cell r="AB8440" t="str">
            <v>line item not tagged</v>
          </cell>
        </row>
        <row r="8441">
          <cell r="W8441">
            <v>0</v>
          </cell>
          <cell r="AB8441" t="str">
            <v>line item not tagged</v>
          </cell>
        </row>
        <row r="8442">
          <cell r="W8442">
            <v>0</v>
          </cell>
          <cell r="AB8442" t="str">
            <v>line item not tagged</v>
          </cell>
        </row>
        <row r="8443">
          <cell r="W8443">
            <v>0</v>
          </cell>
          <cell r="AB8443" t="str">
            <v>line item not tagged</v>
          </cell>
        </row>
        <row r="8444">
          <cell r="W8444">
            <v>0</v>
          </cell>
          <cell r="AB8444" t="str">
            <v>line item not tagged</v>
          </cell>
        </row>
        <row r="8445">
          <cell r="W8445">
            <v>0</v>
          </cell>
          <cell r="AB8445" t="str">
            <v>line item not tagged</v>
          </cell>
        </row>
        <row r="8446">
          <cell r="W8446">
            <v>0</v>
          </cell>
          <cell r="AB8446" t="str">
            <v>line item not tagged</v>
          </cell>
        </row>
        <row r="8447">
          <cell r="W8447">
            <v>0</v>
          </cell>
          <cell r="AB8447" t="str">
            <v>line item not tagged</v>
          </cell>
        </row>
        <row r="8448">
          <cell r="W8448">
            <v>0</v>
          </cell>
          <cell r="AB8448" t="str">
            <v>line item not tagged</v>
          </cell>
        </row>
        <row r="8449">
          <cell r="W8449">
            <v>0</v>
          </cell>
          <cell r="AB8449" t="str">
            <v>line item not tagged</v>
          </cell>
        </row>
        <row r="8450">
          <cell r="W8450">
            <v>0</v>
          </cell>
          <cell r="AB8450" t="str">
            <v>line item not tagged</v>
          </cell>
        </row>
        <row r="8451">
          <cell r="W8451">
            <v>0</v>
          </cell>
          <cell r="AB8451" t="str">
            <v>line item not tagged</v>
          </cell>
        </row>
        <row r="8452">
          <cell r="W8452">
            <v>0</v>
          </cell>
          <cell r="AB8452" t="str">
            <v>line item not tagged</v>
          </cell>
        </row>
        <row r="8453">
          <cell r="W8453">
            <v>0</v>
          </cell>
          <cell r="AB8453" t="str">
            <v>line item not tagged</v>
          </cell>
        </row>
        <row r="8454">
          <cell r="W8454">
            <v>0</v>
          </cell>
          <cell r="AB8454" t="str">
            <v>line item not tagged</v>
          </cell>
        </row>
        <row r="8455">
          <cell r="W8455">
            <v>0</v>
          </cell>
          <cell r="AB8455" t="str">
            <v>line item not tagged</v>
          </cell>
        </row>
        <row r="8456">
          <cell r="W8456">
            <v>0</v>
          </cell>
          <cell r="AB8456" t="str">
            <v>line item not tagged</v>
          </cell>
        </row>
        <row r="8457">
          <cell r="W8457">
            <v>0</v>
          </cell>
          <cell r="AB8457" t="str">
            <v>line item not tagged</v>
          </cell>
        </row>
        <row r="8458">
          <cell r="W8458">
            <v>0</v>
          </cell>
          <cell r="AB8458" t="str">
            <v>line item not tagged</v>
          </cell>
        </row>
        <row r="8459">
          <cell r="W8459">
            <v>0</v>
          </cell>
          <cell r="AB8459" t="str">
            <v>line item not tagged</v>
          </cell>
        </row>
        <row r="8460">
          <cell r="W8460">
            <v>0</v>
          </cell>
          <cell r="AB8460" t="str">
            <v>line item not tagged</v>
          </cell>
        </row>
        <row r="8461">
          <cell r="W8461">
            <v>0</v>
          </cell>
          <cell r="AB8461" t="str">
            <v>line item not tagged</v>
          </cell>
        </row>
        <row r="8462">
          <cell r="W8462">
            <v>0</v>
          </cell>
          <cell r="AB8462" t="str">
            <v>line item not tagged</v>
          </cell>
        </row>
        <row r="8463">
          <cell r="W8463">
            <v>0</v>
          </cell>
          <cell r="AB8463" t="str">
            <v>line item not tagged</v>
          </cell>
        </row>
        <row r="8464">
          <cell r="W8464">
            <v>0</v>
          </cell>
          <cell r="AB8464" t="str">
            <v>line item not tagged</v>
          </cell>
        </row>
        <row r="8465">
          <cell r="W8465">
            <v>0</v>
          </cell>
          <cell r="AB8465" t="str">
            <v>line item not tagged</v>
          </cell>
        </row>
        <row r="8466">
          <cell r="W8466">
            <v>0</v>
          </cell>
          <cell r="AB8466" t="str">
            <v>line item not tagged</v>
          </cell>
        </row>
        <row r="8467">
          <cell r="W8467">
            <v>0</v>
          </cell>
          <cell r="AB8467" t="str">
            <v>line item not tagged</v>
          </cell>
        </row>
        <row r="8468">
          <cell r="W8468">
            <v>0</v>
          </cell>
          <cell r="AB8468" t="str">
            <v>line item not tagged</v>
          </cell>
        </row>
        <row r="8469">
          <cell r="W8469">
            <v>0</v>
          </cell>
          <cell r="AB8469" t="str">
            <v>line item not tagged</v>
          </cell>
        </row>
        <row r="8470">
          <cell r="W8470">
            <v>0</v>
          </cell>
          <cell r="AB8470" t="str">
            <v>line item not tagged</v>
          </cell>
        </row>
        <row r="8471">
          <cell r="W8471">
            <v>0</v>
          </cell>
          <cell r="AB8471" t="str">
            <v>line item not tagged</v>
          </cell>
        </row>
        <row r="8472">
          <cell r="W8472">
            <v>0</v>
          </cell>
          <cell r="AB8472" t="str">
            <v>line item not tagged</v>
          </cell>
        </row>
        <row r="8473">
          <cell r="W8473">
            <v>0</v>
          </cell>
          <cell r="AB8473" t="str">
            <v>line item not tagged</v>
          </cell>
        </row>
        <row r="8474">
          <cell r="W8474">
            <v>0</v>
          </cell>
          <cell r="AB8474" t="str">
            <v>line item not tagged</v>
          </cell>
        </row>
        <row r="8475">
          <cell r="W8475">
            <v>0</v>
          </cell>
          <cell r="AB8475" t="str">
            <v>line item not tagged</v>
          </cell>
        </row>
        <row r="8476">
          <cell r="W8476">
            <v>0</v>
          </cell>
          <cell r="AB8476" t="str">
            <v>line item not tagged</v>
          </cell>
        </row>
        <row r="8477">
          <cell r="W8477">
            <v>0</v>
          </cell>
          <cell r="AB8477" t="str">
            <v>line item not tagged</v>
          </cell>
        </row>
        <row r="8478">
          <cell r="W8478">
            <v>0</v>
          </cell>
          <cell r="AB8478" t="str">
            <v>line item not tagged</v>
          </cell>
        </row>
        <row r="8479">
          <cell r="W8479">
            <v>0</v>
          </cell>
          <cell r="AB8479" t="str">
            <v>line item not tagged</v>
          </cell>
        </row>
        <row r="8480">
          <cell r="W8480">
            <v>0</v>
          </cell>
          <cell r="AB8480" t="str">
            <v>line item not tagged</v>
          </cell>
        </row>
        <row r="8481">
          <cell r="W8481">
            <v>0</v>
          </cell>
          <cell r="AB8481" t="str">
            <v>line item not tagged</v>
          </cell>
        </row>
        <row r="8482">
          <cell r="W8482">
            <v>0</v>
          </cell>
          <cell r="AB8482" t="str">
            <v>line item not tagged</v>
          </cell>
        </row>
        <row r="8483">
          <cell r="W8483">
            <v>0</v>
          </cell>
          <cell r="AB8483" t="str">
            <v>line item not tagged</v>
          </cell>
        </row>
        <row r="8484">
          <cell r="W8484">
            <v>0</v>
          </cell>
          <cell r="AB8484" t="str">
            <v>line item not tagged</v>
          </cell>
        </row>
        <row r="8485">
          <cell r="W8485">
            <v>0</v>
          </cell>
          <cell r="AB8485" t="str">
            <v>line item not tagged</v>
          </cell>
        </row>
        <row r="8486">
          <cell r="W8486">
            <v>0</v>
          </cell>
          <cell r="AB8486" t="str">
            <v>line item not tagged</v>
          </cell>
        </row>
        <row r="8487">
          <cell r="W8487">
            <v>0</v>
          </cell>
          <cell r="AB8487" t="str">
            <v>line item not tagged</v>
          </cell>
        </row>
        <row r="8488">
          <cell r="W8488">
            <v>0</v>
          </cell>
          <cell r="AB8488" t="str">
            <v>line item not tagged</v>
          </cell>
        </row>
        <row r="8489">
          <cell r="W8489">
            <v>0</v>
          </cell>
          <cell r="AB8489" t="str">
            <v>line item not tagged</v>
          </cell>
        </row>
        <row r="8490">
          <cell r="W8490">
            <v>0</v>
          </cell>
          <cell r="AB8490" t="str">
            <v>line item not tagged</v>
          </cell>
        </row>
        <row r="8491">
          <cell r="W8491">
            <v>0</v>
          </cell>
          <cell r="AB8491" t="str">
            <v>line item not tagged</v>
          </cell>
        </row>
        <row r="8492">
          <cell r="W8492">
            <v>0</v>
          </cell>
          <cell r="AB8492" t="str">
            <v>line item not tagged</v>
          </cell>
        </row>
        <row r="8493">
          <cell r="W8493">
            <v>0</v>
          </cell>
          <cell r="AB8493" t="str">
            <v>line item not tagged</v>
          </cell>
        </row>
        <row r="8494">
          <cell r="W8494">
            <v>0</v>
          </cell>
          <cell r="AB8494" t="str">
            <v>line item not tagged</v>
          </cell>
        </row>
        <row r="8495">
          <cell r="W8495">
            <v>0</v>
          </cell>
          <cell r="AB8495" t="str">
            <v>line item not tagged</v>
          </cell>
        </row>
        <row r="8496">
          <cell r="W8496">
            <v>0</v>
          </cell>
          <cell r="AB8496" t="str">
            <v>line item not tagged</v>
          </cell>
        </row>
        <row r="8497">
          <cell r="W8497">
            <v>0</v>
          </cell>
          <cell r="AB8497" t="str">
            <v>line item not tagged</v>
          </cell>
        </row>
        <row r="8498">
          <cell r="W8498">
            <v>0</v>
          </cell>
          <cell r="AB8498" t="str">
            <v>line item not tagged</v>
          </cell>
        </row>
        <row r="8499">
          <cell r="W8499">
            <v>0</v>
          </cell>
          <cell r="AB8499" t="str">
            <v>line item not tagged</v>
          </cell>
        </row>
        <row r="8500">
          <cell r="W8500">
            <v>0</v>
          </cell>
          <cell r="AB8500" t="str">
            <v>line item not tagged</v>
          </cell>
        </row>
        <row r="8501">
          <cell r="W8501">
            <v>0</v>
          </cell>
          <cell r="AB8501" t="str">
            <v>line item not tagged</v>
          </cell>
        </row>
        <row r="8502">
          <cell r="W8502">
            <v>0</v>
          </cell>
          <cell r="AB8502" t="str">
            <v>line item not tagged</v>
          </cell>
        </row>
        <row r="8503">
          <cell r="W8503">
            <v>0</v>
          </cell>
          <cell r="AB8503" t="str">
            <v>line item not tagged</v>
          </cell>
        </row>
        <row r="8504">
          <cell r="W8504">
            <v>0</v>
          </cell>
          <cell r="AB8504" t="str">
            <v>line item not tagged</v>
          </cell>
        </row>
        <row r="8505">
          <cell r="W8505">
            <v>0</v>
          </cell>
          <cell r="AB8505" t="str">
            <v>line item not tagged</v>
          </cell>
        </row>
        <row r="8506">
          <cell r="W8506">
            <v>0</v>
          </cell>
          <cell r="AB8506" t="str">
            <v>line item not tagged</v>
          </cell>
        </row>
        <row r="8507">
          <cell r="W8507">
            <v>0</v>
          </cell>
          <cell r="AB8507" t="str">
            <v>line item not tagged</v>
          </cell>
        </row>
        <row r="8508">
          <cell r="W8508">
            <v>0</v>
          </cell>
          <cell r="AB8508" t="str">
            <v>line item not tagged</v>
          </cell>
        </row>
        <row r="8509">
          <cell r="W8509">
            <v>0</v>
          </cell>
          <cell r="AB8509" t="str">
            <v>line item not tagged</v>
          </cell>
        </row>
        <row r="8510">
          <cell r="W8510">
            <v>0</v>
          </cell>
          <cell r="AB8510" t="str">
            <v>line item not tagged</v>
          </cell>
        </row>
        <row r="8511">
          <cell r="W8511">
            <v>0</v>
          </cell>
          <cell r="AB8511" t="str">
            <v>line item not tagged</v>
          </cell>
        </row>
        <row r="8512">
          <cell r="W8512">
            <v>0</v>
          </cell>
          <cell r="AB8512" t="str">
            <v>line item not tagged</v>
          </cell>
        </row>
        <row r="8513">
          <cell r="W8513">
            <v>0</v>
          </cell>
          <cell r="AB8513" t="str">
            <v>line item not tagged</v>
          </cell>
        </row>
        <row r="8514">
          <cell r="W8514">
            <v>0</v>
          </cell>
          <cell r="AB8514" t="str">
            <v>line item not tagged</v>
          </cell>
        </row>
        <row r="8515">
          <cell r="W8515">
            <v>0</v>
          </cell>
          <cell r="AB8515" t="str">
            <v>line item not tagged</v>
          </cell>
        </row>
        <row r="8516">
          <cell r="W8516">
            <v>0</v>
          </cell>
          <cell r="AB8516" t="str">
            <v>line item not tagged</v>
          </cell>
        </row>
        <row r="8517">
          <cell r="W8517">
            <v>0</v>
          </cell>
          <cell r="AB8517" t="str">
            <v>line item not tagged</v>
          </cell>
        </row>
        <row r="8518">
          <cell r="W8518">
            <v>0</v>
          </cell>
          <cell r="AB8518" t="str">
            <v>line item not tagged</v>
          </cell>
        </row>
        <row r="8519">
          <cell r="W8519">
            <v>0</v>
          </cell>
          <cell r="AB8519" t="str">
            <v>line item not tagged</v>
          </cell>
        </row>
        <row r="8520">
          <cell r="W8520">
            <v>0</v>
          </cell>
          <cell r="AB8520" t="str">
            <v>line item not tagged</v>
          </cell>
        </row>
        <row r="8521">
          <cell r="W8521">
            <v>0</v>
          </cell>
          <cell r="AB8521" t="str">
            <v>line item not tagged</v>
          </cell>
        </row>
        <row r="8522">
          <cell r="W8522">
            <v>0</v>
          </cell>
          <cell r="AB8522" t="str">
            <v>line item not tagged</v>
          </cell>
        </row>
        <row r="8523">
          <cell r="W8523">
            <v>0</v>
          </cell>
          <cell r="AB8523" t="str">
            <v>line item not tagged</v>
          </cell>
        </row>
        <row r="8524">
          <cell r="W8524">
            <v>0</v>
          </cell>
          <cell r="AB8524" t="str">
            <v>line item not tagged</v>
          </cell>
        </row>
        <row r="8525">
          <cell r="W8525">
            <v>0</v>
          </cell>
          <cell r="AB8525" t="str">
            <v>line item not tagged</v>
          </cell>
        </row>
        <row r="8526">
          <cell r="W8526">
            <v>0</v>
          </cell>
          <cell r="AB8526" t="str">
            <v>line item not tagged</v>
          </cell>
        </row>
        <row r="8527">
          <cell r="W8527">
            <v>0</v>
          </cell>
          <cell r="AB8527" t="str">
            <v>line item not tagged</v>
          </cell>
        </row>
        <row r="8528">
          <cell r="W8528">
            <v>0</v>
          </cell>
          <cell r="AB8528" t="str">
            <v>line item not tagged</v>
          </cell>
        </row>
        <row r="8529">
          <cell r="W8529">
            <v>0</v>
          </cell>
          <cell r="AB8529" t="str">
            <v>line item not tagged</v>
          </cell>
        </row>
        <row r="8530">
          <cell r="W8530">
            <v>0</v>
          </cell>
          <cell r="AB8530" t="str">
            <v>line item not tagged</v>
          </cell>
        </row>
        <row r="8531">
          <cell r="W8531">
            <v>0</v>
          </cell>
          <cell r="AB8531" t="str">
            <v>line item not tagged</v>
          </cell>
        </row>
        <row r="8532">
          <cell r="W8532">
            <v>0</v>
          </cell>
          <cell r="AB8532" t="str">
            <v>line item not tagged</v>
          </cell>
        </row>
        <row r="8533">
          <cell r="W8533">
            <v>0</v>
          </cell>
          <cell r="AB8533" t="str">
            <v>line item not tagged</v>
          </cell>
        </row>
        <row r="8534">
          <cell r="W8534">
            <v>0</v>
          </cell>
          <cell r="AB8534" t="str">
            <v>line item not tagged</v>
          </cell>
        </row>
        <row r="8535">
          <cell r="W8535">
            <v>0</v>
          </cell>
          <cell r="AB8535" t="str">
            <v>line item not tagged</v>
          </cell>
        </row>
        <row r="8536">
          <cell r="W8536">
            <v>0</v>
          </cell>
          <cell r="AB8536" t="str">
            <v>line item not tagged</v>
          </cell>
        </row>
        <row r="8537">
          <cell r="W8537">
            <v>0</v>
          </cell>
          <cell r="AB8537" t="str">
            <v>line item not tagged</v>
          </cell>
        </row>
        <row r="8538">
          <cell r="W8538">
            <v>0</v>
          </cell>
          <cell r="AB8538" t="str">
            <v>line item not tagged</v>
          </cell>
        </row>
        <row r="8539">
          <cell r="W8539">
            <v>0</v>
          </cell>
          <cell r="AB8539" t="str">
            <v>line item not tagged</v>
          </cell>
        </row>
        <row r="8540">
          <cell r="W8540">
            <v>0</v>
          </cell>
          <cell r="AB8540" t="str">
            <v>line item not tagged</v>
          </cell>
        </row>
        <row r="8541">
          <cell r="W8541">
            <v>0</v>
          </cell>
          <cell r="AB8541" t="str">
            <v>line item not tagged</v>
          </cell>
        </row>
        <row r="8542">
          <cell r="W8542">
            <v>0</v>
          </cell>
          <cell r="AB8542" t="str">
            <v>line item not tagged</v>
          </cell>
        </row>
        <row r="8543">
          <cell r="W8543">
            <v>0</v>
          </cell>
          <cell r="AB8543" t="str">
            <v>line item not tagged</v>
          </cell>
        </row>
        <row r="8544">
          <cell r="W8544">
            <v>0</v>
          </cell>
          <cell r="AB8544" t="str">
            <v>line item not tagged</v>
          </cell>
        </row>
        <row r="8545">
          <cell r="W8545">
            <v>0</v>
          </cell>
          <cell r="AB8545" t="str">
            <v>line item not tagged</v>
          </cell>
        </row>
        <row r="8546">
          <cell r="W8546">
            <v>0</v>
          </cell>
          <cell r="AB8546" t="str">
            <v>line item not tagged</v>
          </cell>
        </row>
        <row r="8547">
          <cell r="W8547">
            <v>0</v>
          </cell>
          <cell r="AB8547" t="str">
            <v>line item not tagged</v>
          </cell>
        </row>
        <row r="8548">
          <cell r="W8548">
            <v>0</v>
          </cell>
          <cell r="AB8548" t="str">
            <v>line item not tagged</v>
          </cell>
        </row>
        <row r="8549">
          <cell r="W8549">
            <v>0</v>
          </cell>
          <cell r="AB8549" t="str">
            <v>line item not tagged</v>
          </cell>
        </row>
        <row r="8550">
          <cell r="W8550">
            <v>0</v>
          </cell>
          <cell r="AB8550" t="str">
            <v>line item not tagged</v>
          </cell>
        </row>
        <row r="8551">
          <cell r="W8551">
            <v>0</v>
          </cell>
          <cell r="AB8551" t="str">
            <v>line item not tagged</v>
          </cell>
        </row>
        <row r="8552">
          <cell r="W8552">
            <v>0</v>
          </cell>
          <cell r="AB8552" t="str">
            <v>line item not tagged</v>
          </cell>
        </row>
        <row r="8553">
          <cell r="W8553">
            <v>0</v>
          </cell>
          <cell r="AB8553" t="str">
            <v>line item not tagged</v>
          </cell>
        </row>
        <row r="8554">
          <cell r="W8554">
            <v>0</v>
          </cell>
          <cell r="AB8554" t="str">
            <v>line item not tagged</v>
          </cell>
        </row>
        <row r="8555">
          <cell r="W8555">
            <v>0</v>
          </cell>
          <cell r="AB8555" t="str">
            <v>line item not tagged</v>
          </cell>
        </row>
        <row r="8556">
          <cell r="W8556">
            <v>0</v>
          </cell>
          <cell r="AB8556" t="str">
            <v>line item not tagged</v>
          </cell>
        </row>
        <row r="8557">
          <cell r="W8557">
            <v>0</v>
          </cell>
          <cell r="AB8557" t="str">
            <v>line item not tagged</v>
          </cell>
        </row>
        <row r="8558">
          <cell r="W8558">
            <v>0</v>
          </cell>
          <cell r="AB8558" t="str">
            <v>line item not tagged</v>
          </cell>
        </row>
        <row r="8559">
          <cell r="W8559">
            <v>0</v>
          </cell>
          <cell r="AB8559" t="str">
            <v>line item not tagged</v>
          </cell>
        </row>
        <row r="8560">
          <cell r="W8560">
            <v>0</v>
          </cell>
          <cell r="AB8560" t="str">
            <v>line item not tagged</v>
          </cell>
        </row>
        <row r="8561">
          <cell r="W8561">
            <v>0</v>
          </cell>
          <cell r="AB8561" t="str">
            <v>line item not tagged</v>
          </cell>
        </row>
        <row r="8562">
          <cell r="W8562">
            <v>0</v>
          </cell>
          <cell r="AB8562" t="str">
            <v>line item not tagged</v>
          </cell>
        </row>
        <row r="8563">
          <cell r="W8563">
            <v>0</v>
          </cell>
          <cell r="AB8563" t="str">
            <v>line item not tagged</v>
          </cell>
        </row>
        <row r="8564">
          <cell r="W8564">
            <v>0</v>
          </cell>
          <cell r="AB8564" t="str">
            <v>line item not tagged</v>
          </cell>
        </row>
        <row r="8565">
          <cell r="W8565">
            <v>0</v>
          </cell>
          <cell r="AB8565" t="str">
            <v>line item not tagged</v>
          </cell>
        </row>
        <row r="8566">
          <cell r="W8566">
            <v>0</v>
          </cell>
          <cell r="AB8566" t="str">
            <v>line item not tagged</v>
          </cell>
        </row>
        <row r="8567">
          <cell r="W8567">
            <v>0</v>
          </cell>
          <cell r="AB8567" t="str">
            <v>line item not tagged</v>
          </cell>
        </row>
        <row r="8568">
          <cell r="W8568">
            <v>0</v>
          </cell>
          <cell r="AB8568" t="str">
            <v>line item not tagged</v>
          </cell>
        </row>
        <row r="8569">
          <cell r="W8569">
            <v>0</v>
          </cell>
          <cell r="AB8569" t="str">
            <v>line item not tagged</v>
          </cell>
        </row>
        <row r="8570">
          <cell r="W8570">
            <v>0</v>
          </cell>
          <cell r="AB8570" t="str">
            <v>line item not tagged</v>
          </cell>
        </row>
        <row r="8571">
          <cell r="W8571">
            <v>0</v>
          </cell>
          <cell r="AB8571" t="str">
            <v>line item not tagged</v>
          </cell>
        </row>
        <row r="8572">
          <cell r="W8572">
            <v>0</v>
          </cell>
          <cell r="AB8572" t="str">
            <v>line item not tagged</v>
          </cell>
        </row>
        <row r="8573">
          <cell r="W8573">
            <v>0</v>
          </cell>
          <cell r="AB8573" t="str">
            <v>line item not tagged</v>
          </cell>
        </row>
        <row r="8574">
          <cell r="W8574">
            <v>0</v>
          </cell>
          <cell r="AB8574" t="str">
            <v>line item not tagged</v>
          </cell>
        </row>
        <row r="8575">
          <cell r="W8575">
            <v>0</v>
          </cell>
          <cell r="AB8575" t="str">
            <v>line item not tagged</v>
          </cell>
        </row>
        <row r="8576">
          <cell r="W8576">
            <v>0</v>
          </cell>
          <cell r="AB8576" t="str">
            <v>line item not tagged</v>
          </cell>
        </row>
        <row r="8577">
          <cell r="W8577">
            <v>0</v>
          </cell>
          <cell r="AB8577" t="str">
            <v>line item not tagged</v>
          </cell>
        </row>
        <row r="8578">
          <cell r="W8578">
            <v>0</v>
          </cell>
          <cell r="AB8578" t="str">
            <v>line item not tagged</v>
          </cell>
        </row>
        <row r="8579">
          <cell r="W8579">
            <v>0</v>
          </cell>
          <cell r="AB8579" t="str">
            <v>line item not tagged</v>
          </cell>
        </row>
        <row r="8580">
          <cell r="W8580">
            <v>0</v>
          </cell>
          <cell r="AB8580" t="str">
            <v>line item not tagged</v>
          </cell>
        </row>
        <row r="8581">
          <cell r="W8581">
            <v>0</v>
          </cell>
          <cell r="AB8581" t="str">
            <v>line item not tagged</v>
          </cell>
        </row>
        <row r="8582">
          <cell r="W8582">
            <v>0</v>
          </cell>
          <cell r="AB8582" t="str">
            <v>line item not tagged</v>
          </cell>
        </row>
        <row r="8583">
          <cell r="W8583">
            <v>0</v>
          </cell>
          <cell r="AB8583" t="str">
            <v>line item not tagged</v>
          </cell>
        </row>
        <row r="8584">
          <cell r="W8584">
            <v>0</v>
          </cell>
          <cell r="AB8584" t="str">
            <v>line item not tagged</v>
          </cell>
        </row>
        <row r="8585">
          <cell r="W8585">
            <v>0</v>
          </cell>
          <cell r="AB8585" t="str">
            <v>line item not tagged</v>
          </cell>
        </row>
        <row r="8586">
          <cell r="W8586">
            <v>0</v>
          </cell>
          <cell r="AB8586" t="str">
            <v>line item not tagged</v>
          </cell>
        </row>
        <row r="8587">
          <cell r="W8587">
            <v>0</v>
          </cell>
          <cell r="AB8587" t="str">
            <v>line item not tagged</v>
          </cell>
        </row>
        <row r="8588">
          <cell r="W8588">
            <v>0</v>
          </cell>
          <cell r="AB8588" t="str">
            <v>line item not tagged</v>
          </cell>
        </row>
        <row r="8589">
          <cell r="W8589">
            <v>0</v>
          </cell>
          <cell r="AB8589" t="str">
            <v>line item not tagged</v>
          </cell>
        </row>
        <row r="8590">
          <cell r="W8590">
            <v>0</v>
          </cell>
          <cell r="AB8590" t="str">
            <v>line item not tagged</v>
          </cell>
        </row>
        <row r="8591">
          <cell r="W8591">
            <v>0</v>
          </cell>
          <cell r="AB8591" t="str">
            <v>line item not tagged</v>
          </cell>
        </row>
        <row r="8592">
          <cell r="W8592">
            <v>0</v>
          </cell>
          <cell r="AB8592" t="str">
            <v>line item not tagged</v>
          </cell>
        </row>
        <row r="8593">
          <cell r="W8593">
            <v>0</v>
          </cell>
          <cell r="AB8593" t="str">
            <v>line item not tagged</v>
          </cell>
        </row>
        <row r="8594">
          <cell r="W8594">
            <v>0</v>
          </cell>
          <cell r="AB8594" t="str">
            <v>line item not tagged</v>
          </cell>
        </row>
        <row r="8595">
          <cell r="W8595">
            <v>0</v>
          </cell>
          <cell r="AB8595" t="str">
            <v>line item not tagged</v>
          </cell>
        </row>
        <row r="8596">
          <cell r="W8596">
            <v>0</v>
          </cell>
          <cell r="AB8596" t="str">
            <v>line item not tagged</v>
          </cell>
        </row>
        <row r="8597">
          <cell r="W8597">
            <v>0</v>
          </cell>
          <cell r="AB8597" t="str">
            <v>line item not tagged</v>
          </cell>
        </row>
        <row r="8598">
          <cell r="W8598">
            <v>0</v>
          </cell>
          <cell r="AB8598" t="str">
            <v>line item not tagged</v>
          </cell>
        </row>
        <row r="8599">
          <cell r="W8599">
            <v>0</v>
          </cell>
          <cell r="AB8599" t="str">
            <v>line item not tagged</v>
          </cell>
        </row>
        <row r="8600">
          <cell r="W8600">
            <v>0</v>
          </cell>
          <cell r="AB8600" t="str">
            <v>line item not tagged</v>
          </cell>
        </row>
        <row r="8601">
          <cell r="W8601">
            <v>0</v>
          </cell>
          <cell r="AB8601" t="str">
            <v>line item not tagged</v>
          </cell>
        </row>
        <row r="8602">
          <cell r="W8602">
            <v>0</v>
          </cell>
          <cell r="AB8602" t="str">
            <v>line item not tagged</v>
          </cell>
        </row>
        <row r="8603">
          <cell r="W8603">
            <v>0</v>
          </cell>
          <cell r="AB8603" t="str">
            <v>line item not tagged</v>
          </cell>
        </row>
        <row r="8604">
          <cell r="W8604">
            <v>0</v>
          </cell>
          <cell r="AB8604" t="str">
            <v>line item not tagged</v>
          </cell>
        </row>
        <row r="8605">
          <cell r="W8605">
            <v>0</v>
          </cell>
          <cell r="AB8605" t="str">
            <v>line item not tagged</v>
          </cell>
        </row>
        <row r="8606">
          <cell r="W8606">
            <v>0</v>
          </cell>
          <cell r="AB8606" t="str">
            <v>line item not tagged</v>
          </cell>
        </row>
        <row r="8607">
          <cell r="W8607">
            <v>0</v>
          </cell>
          <cell r="AB8607" t="str">
            <v>line item not tagged</v>
          </cell>
        </row>
        <row r="8608">
          <cell r="W8608">
            <v>0</v>
          </cell>
          <cell r="AB8608" t="str">
            <v>line item not tagged</v>
          </cell>
        </row>
        <row r="8609">
          <cell r="W8609">
            <v>0</v>
          </cell>
          <cell r="AB8609" t="str">
            <v>line item not tagged</v>
          </cell>
        </row>
        <row r="8610">
          <cell r="W8610">
            <v>0</v>
          </cell>
          <cell r="AB8610" t="str">
            <v>line item not tagged</v>
          </cell>
        </row>
        <row r="8611">
          <cell r="W8611">
            <v>0</v>
          </cell>
          <cell r="AB8611" t="str">
            <v>line item not tagged</v>
          </cell>
        </row>
        <row r="8612">
          <cell r="W8612">
            <v>0</v>
          </cell>
          <cell r="AB8612" t="str">
            <v>line item not tagged</v>
          </cell>
        </row>
        <row r="8613">
          <cell r="W8613">
            <v>0</v>
          </cell>
          <cell r="AB8613" t="str">
            <v>line item not tagged</v>
          </cell>
        </row>
        <row r="8614">
          <cell r="W8614">
            <v>0</v>
          </cell>
          <cell r="AB8614" t="str">
            <v>line item not tagged</v>
          </cell>
        </row>
        <row r="8615">
          <cell r="W8615">
            <v>0</v>
          </cell>
          <cell r="AB8615" t="str">
            <v>line item not tagged</v>
          </cell>
        </row>
        <row r="8616">
          <cell r="W8616">
            <v>0</v>
          </cell>
          <cell r="AB8616" t="str">
            <v>line item not tagged</v>
          </cell>
        </row>
        <row r="8617">
          <cell r="W8617">
            <v>0</v>
          </cell>
          <cell r="AB8617" t="str">
            <v>line item not tagged</v>
          </cell>
        </row>
        <row r="8618">
          <cell r="W8618">
            <v>0</v>
          </cell>
          <cell r="AB8618" t="str">
            <v>line item not tagged</v>
          </cell>
        </row>
        <row r="8619">
          <cell r="W8619">
            <v>0</v>
          </cell>
          <cell r="AB8619" t="str">
            <v>line item not tagged</v>
          </cell>
        </row>
        <row r="8620">
          <cell r="W8620">
            <v>0</v>
          </cell>
          <cell r="AB8620" t="str">
            <v>line item not tagged</v>
          </cell>
        </row>
        <row r="8621">
          <cell r="W8621">
            <v>0</v>
          </cell>
          <cell r="AB8621" t="str">
            <v>line item not tagged</v>
          </cell>
        </row>
        <row r="8622">
          <cell r="W8622">
            <v>0</v>
          </cell>
          <cell r="AB8622" t="str">
            <v>line item not tagged</v>
          </cell>
        </row>
        <row r="8623">
          <cell r="W8623">
            <v>0</v>
          </cell>
          <cell r="AB8623" t="str">
            <v>line item not tagged</v>
          </cell>
        </row>
        <row r="8624">
          <cell r="W8624">
            <v>0</v>
          </cell>
          <cell r="AB8624" t="str">
            <v>line item not tagged</v>
          </cell>
        </row>
        <row r="8625">
          <cell r="W8625">
            <v>0</v>
          </cell>
          <cell r="AB8625" t="str">
            <v>line item not tagged</v>
          </cell>
        </row>
        <row r="8626">
          <cell r="W8626">
            <v>0</v>
          </cell>
          <cell r="AB8626" t="str">
            <v>line item not tagged</v>
          </cell>
        </row>
        <row r="8627">
          <cell r="W8627">
            <v>0</v>
          </cell>
          <cell r="AB8627" t="str">
            <v>line item not tagged</v>
          </cell>
        </row>
        <row r="8628">
          <cell r="W8628">
            <v>0</v>
          </cell>
          <cell r="AB8628" t="str">
            <v>line item not tagged</v>
          </cell>
        </row>
        <row r="8629">
          <cell r="W8629">
            <v>0</v>
          </cell>
          <cell r="AB8629" t="str">
            <v>line item not tagged</v>
          </cell>
        </row>
        <row r="8630">
          <cell r="W8630">
            <v>0</v>
          </cell>
          <cell r="AB8630" t="str">
            <v>line item not tagged</v>
          </cell>
        </row>
        <row r="8631">
          <cell r="W8631">
            <v>0</v>
          </cell>
          <cell r="AB8631" t="str">
            <v>line item not tagged</v>
          </cell>
        </row>
        <row r="8632">
          <cell r="W8632">
            <v>0</v>
          </cell>
          <cell r="AB8632" t="str">
            <v>line item not tagged</v>
          </cell>
        </row>
        <row r="8633">
          <cell r="W8633">
            <v>0</v>
          </cell>
          <cell r="AB8633" t="str">
            <v>line item not tagged</v>
          </cell>
        </row>
        <row r="8634">
          <cell r="W8634">
            <v>0</v>
          </cell>
          <cell r="AB8634" t="str">
            <v>line item not tagged</v>
          </cell>
        </row>
        <row r="8635">
          <cell r="W8635">
            <v>0</v>
          </cell>
          <cell r="AB8635" t="str">
            <v>line item not tagged</v>
          </cell>
        </row>
        <row r="8636">
          <cell r="W8636">
            <v>0</v>
          </cell>
          <cell r="AB8636" t="str">
            <v>line item not tagged</v>
          </cell>
        </row>
        <row r="8637">
          <cell r="W8637">
            <v>0</v>
          </cell>
          <cell r="AB8637" t="str">
            <v>line item not tagged</v>
          </cell>
        </row>
        <row r="8638">
          <cell r="W8638">
            <v>0</v>
          </cell>
          <cell r="AB8638" t="str">
            <v>line item not tagged</v>
          </cell>
        </row>
        <row r="8639">
          <cell r="W8639">
            <v>0</v>
          </cell>
          <cell r="AB8639" t="str">
            <v>line item not tagged</v>
          </cell>
        </row>
        <row r="8640">
          <cell r="W8640">
            <v>0</v>
          </cell>
          <cell r="AB8640" t="str">
            <v>line item not tagged</v>
          </cell>
        </row>
        <row r="8641">
          <cell r="W8641">
            <v>0</v>
          </cell>
          <cell r="AB8641" t="str">
            <v>line item not tagged</v>
          </cell>
        </row>
        <row r="8642">
          <cell r="W8642">
            <v>0</v>
          </cell>
          <cell r="AB8642" t="str">
            <v>line item not tagged</v>
          </cell>
        </row>
        <row r="8643">
          <cell r="W8643">
            <v>0</v>
          </cell>
          <cell r="AB8643" t="str">
            <v>line item not tagged</v>
          </cell>
        </row>
        <row r="8644">
          <cell r="W8644">
            <v>0</v>
          </cell>
          <cell r="AB8644" t="str">
            <v>line item not tagged</v>
          </cell>
        </row>
        <row r="8645">
          <cell r="W8645">
            <v>0</v>
          </cell>
          <cell r="AB8645" t="str">
            <v>line item not tagged</v>
          </cell>
        </row>
        <row r="8646">
          <cell r="W8646">
            <v>0</v>
          </cell>
          <cell r="AB8646" t="str">
            <v>line item not tagged</v>
          </cell>
        </row>
        <row r="8647">
          <cell r="W8647">
            <v>0</v>
          </cell>
          <cell r="AB8647" t="str">
            <v>line item not tagged</v>
          </cell>
        </row>
        <row r="8648">
          <cell r="W8648">
            <v>0</v>
          </cell>
          <cell r="AB8648" t="str">
            <v>line item not tagged</v>
          </cell>
        </row>
        <row r="8649">
          <cell r="W8649">
            <v>0</v>
          </cell>
          <cell r="AB8649" t="str">
            <v>line item not tagged</v>
          </cell>
        </row>
        <row r="8650">
          <cell r="W8650">
            <v>0</v>
          </cell>
          <cell r="AB8650" t="str">
            <v>line item not tagged</v>
          </cell>
        </row>
        <row r="8651">
          <cell r="W8651">
            <v>0</v>
          </cell>
          <cell r="AB8651" t="str">
            <v>line item not tagged</v>
          </cell>
        </row>
        <row r="8652">
          <cell r="W8652">
            <v>0</v>
          </cell>
          <cell r="AB8652" t="str">
            <v>line item not tagged</v>
          </cell>
        </row>
        <row r="8653">
          <cell r="W8653">
            <v>0</v>
          </cell>
          <cell r="AB8653" t="str">
            <v>line item not tagged</v>
          </cell>
        </row>
        <row r="8654">
          <cell r="W8654">
            <v>0</v>
          </cell>
          <cell r="AB8654" t="str">
            <v>line item not tagged</v>
          </cell>
        </row>
        <row r="8655">
          <cell r="W8655">
            <v>0</v>
          </cell>
          <cell r="AB8655" t="str">
            <v>line item not tagged</v>
          </cell>
        </row>
        <row r="8656">
          <cell r="W8656">
            <v>0</v>
          </cell>
          <cell r="AB8656" t="str">
            <v>line item not tagged</v>
          </cell>
        </row>
        <row r="8657">
          <cell r="W8657">
            <v>0</v>
          </cell>
          <cell r="AB8657" t="str">
            <v>line item not tagged</v>
          </cell>
        </row>
        <row r="8658">
          <cell r="W8658">
            <v>0</v>
          </cell>
          <cell r="AB8658" t="str">
            <v>line item not tagged</v>
          </cell>
        </row>
        <row r="8659">
          <cell r="W8659">
            <v>0</v>
          </cell>
          <cell r="AB8659" t="str">
            <v>line item not tagged</v>
          </cell>
        </row>
        <row r="8660">
          <cell r="W8660">
            <v>0</v>
          </cell>
          <cell r="AB8660" t="str">
            <v>line item not tagged</v>
          </cell>
        </row>
        <row r="8661">
          <cell r="W8661">
            <v>0</v>
          </cell>
          <cell r="AB8661" t="str">
            <v>line item not tagged</v>
          </cell>
        </row>
        <row r="8662">
          <cell r="W8662">
            <v>0</v>
          </cell>
          <cell r="AB8662" t="str">
            <v>line item not tagged</v>
          </cell>
        </row>
        <row r="8663">
          <cell r="W8663">
            <v>0</v>
          </cell>
          <cell r="AB8663" t="str">
            <v>line item not tagged</v>
          </cell>
        </row>
        <row r="8664">
          <cell r="W8664">
            <v>0</v>
          </cell>
          <cell r="AB8664" t="str">
            <v>line item not tagged</v>
          </cell>
        </row>
        <row r="8665">
          <cell r="W8665">
            <v>0</v>
          </cell>
          <cell r="AB8665" t="str">
            <v>line item not tagged</v>
          </cell>
        </row>
        <row r="8666">
          <cell r="W8666">
            <v>0</v>
          </cell>
          <cell r="AB8666" t="str">
            <v>line item not tagged</v>
          </cell>
        </row>
        <row r="8667">
          <cell r="W8667">
            <v>0</v>
          </cell>
          <cell r="AB8667" t="str">
            <v>line item not tagged</v>
          </cell>
        </row>
        <row r="8668">
          <cell r="W8668">
            <v>0</v>
          </cell>
          <cell r="AB8668" t="str">
            <v>line item not tagged</v>
          </cell>
        </row>
        <row r="8669">
          <cell r="W8669">
            <v>0</v>
          </cell>
          <cell r="AB8669" t="str">
            <v>line item not tagged</v>
          </cell>
        </row>
        <row r="8670">
          <cell r="W8670">
            <v>0</v>
          </cell>
          <cell r="AB8670" t="str">
            <v>line item not tagged</v>
          </cell>
        </row>
        <row r="8671">
          <cell r="W8671">
            <v>0</v>
          </cell>
          <cell r="AB8671" t="str">
            <v>line item not tagged</v>
          </cell>
        </row>
        <row r="8672">
          <cell r="W8672">
            <v>0</v>
          </cell>
          <cell r="AB8672" t="str">
            <v>line item not tagged</v>
          </cell>
        </row>
        <row r="8673">
          <cell r="W8673">
            <v>0</v>
          </cell>
          <cell r="AB8673" t="str">
            <v>line item not tagged</v>
          </cell>
        </row>
        <row r="8674">
          <cell r="W8674">
            <v>0</v>
          </cell>
          <cell r="AB8674" t="str">
            <v>line item not tagged</v>
          </cell>
        </row>
        <row r="8675">
          <cell r="W8675">
            <v>0</v>
          </cell>
          <cell r="AB8675" t="str">
            <v>line item not tagged</v>
          </cell>
        </row>
        <row r="8676">
          <cell r="W8676">
            <v>0</v>
          </cell>
          <cell r="AB8676" t="str">
            <v>line item not tagged</v>
          </cell>
        </row>
        <row r="8677">
          <cell r="W8677">
            <v>0</v>
          </cell>
          <cell r="AB8677" t="str">
            <v>line item not tagged</v>
          </cell>
        </row>
        <row r="8678">
          <cell r="W8678">
            <v>0</v>
          </cell>
          <cell r="AB8678" t="str">
            <v>line item not tagged</v>
          </cell>
        </row>
        <row r="8679">
          <cell r="W8679">
            <v>0</v>
          </cell>
          <cell r="AB8679" t="str">
            <v>line item not tagged</v>
          </cell>
        </row>
        <row r="8680">
          <cell r="W8680">
            <v>0</v>
          </cell>
          <cell r="AB8680" t="str">
            <v>line item not tagged</v>
          </cell>
        </row>
        <row r="8681">
          <cell r="W8681">
            <v>0</v>
          </cell>
          <cell r="AB8681" t="str">
            <v>line item not tagged</v>
          </cell>
        </row>
        <row r="8682">
          <cell r="W8682">
            <v>0</v>
          </cell>
          <cell r="AB8682" t="str">
            <v>line item not tagged</v>
          </cell>
        </row>
        <row r="8683">
          <cell r="W8683">
            <v>0</v>
          </cell>
          <cell r="AB8683" t="str">
            <v>line item not tagged</v>
          </cell>
        </row>
        <row r="8684">
          <cell r="W8684">
            <v>0</v>
          </cell>
          <cell r="AB8684" t="str">
            <v>line item not tagged</v>
          </cell>
        </row>
        <row r="8685">
          <cell r="W8685">
            <v>0</v>
          </cell>
          <cell r="AB8685" t="str">
            <v>line item not tagged</v>
          </cell>
        </row>
        <row r="8686">
          <cell r="W8686">
            <v>0</v>
          </cell>
          <cell r="AB8686" t="str">
            <v>line item not tagged</v>
          </cell>
        </row>
        <row r="8687">
          <cell r="W8687">
            <v>0</v>
          </cell>
          <cell r="AB8687" t="str">
            <v>line item not tagged</v>
          </cell>
        </row>
        <row r="8688">
          <cell r="W8688">
            <v>0</v>
          </cell>
          <cell r="AB8688" t="str">
            <v>line item not tagged</v>
          </cell>
        </row>
        <row r="8689">
          <cell r="W8689">
            <v>0</v>
          </cell>
          <cell r="AB8689" t="str">
            <v>line item not tagged</v>
          </cell>
        </row>
        <row r="8690">
          <cell r="W8690">
            <v>0</v>
          </cell>
          <cell r="AB8690" t="str">
            <v>line item not tagged</v>
          </cell>
        </row>
        <row r="8691">
          <cell r="W8691">
            <v>0</v>
          </cell>
          <cell r="AB8691" t="str">
            <v>line item not tagged</v>
          </cell>
        </row>
        <row r="8692">
          <cell r="W8692">
            <v>0</v>
          </cell>
          <cell r="AB8692" t="str">
            <v>line item not tagged</v>
          </cell>
        </row>
        <row r="8693">
          <cell r="W8693">
            <v>0</v>
          </cell>
          <cell r="AB8693" t="str">
            <v>line item not tagged</v>
          </cell>
        </row>
        <row r="8694">
          <cell r="W8694">
            <v>0</v>
          </cell>
          <cell r="AB8694" t="str">
            <v>line item not tagged</v>
          </cell>
        </row>
        <row r="8695">
          <cell r="W8695">
            <v>0</v>
          </cell>
          <cell r="AB8695" t="str">
            <v>line item not tagged</v>
          </cell>
        </row>
        <row r="8696">
          <cell r="W8696">
            <v>0</v>
          </cell>
          <cell r="AB8696" t="str">
            <v>line item not tagged</v>
          </cell>
        </row>
        <row r="8697">
          <cell r="W8697">
            <v>0</v>
          </cell>
          <cell r="AB8697" t="str">
            <v>line item not tagged</v>
          </cell>
        </row>
        <row r="8698">
          <cell r="W8698">
            <v>0</v>
          </cell>
          <cell r="AB8698" t="str">
            <v>line item not tagged</v>
          </cell>
        </row>
        <row r="8699">
          <cell r="W8699">
            <v>0</v>
          </cell>
          <cell r="AB8699" t="str">
            <v>line item not tagged</v>
          </cell>
        </row>
        <row r="8700">
          <cell r="W8700">
            <v>0</v>
          </cell>
          <cell r="AB8700" t="str">
            <v>line item not tagged</v>
          </cell>
        </row>
        <row r="8701">
          <cell r="W8701">
            <v>0</v>
          </cell>
          <cell r="AB8701" t="str">
            <v>line item not tagged</v>
          </cell>
        </row>
        <row r="8702">
          <cell r="W8702">
            <v>0</v>
          </cell>
          <cell r="AB8702" t="str">
            <v>line item not tagged</v>
          </cell>
        </row>
        <row r="8703">
          <cell r="W8703">
            <v>0</v>
          </cell>
          <cell r="AB8703" t="str">
            <v>line item not tagged</v>
          </cell>
        </row>
        <row r="8704">
          <cell r="W8704">
            <v>0</v>
          </cell>
          <cell r="AB8704" t="str">
            <v>line item not tagged</v>
          </cell>
        </row>
        <row r="8705">
          <cell r="W8705">
            <v>0</v>
          </cell>
          <cell r="AB8705" t="str">
            <v>line item not tagged</v>
          </cell>
        </row>
        <row r="8706">
          <cell r="W8706">
            <v>0</v>
          </cell>
          <cell r="AB8706" t="str">
            <v>line item not tagged</v>
          </cell>
        </row>
        <row r="8707">
          <cell r="W8707">
            <v>0</v>
          </cell>
          <cell r="AB8707" t="str">
            <v>line item not tagged</v>
          </cell>
        </row>
        <row r="8708">
          <cell r="W8708">
            <v>0</v>
          </cell>
          <cell r="AB8708" t="str">
            <v>line item not tagged</v>
          </cell>
        </row>
        <row r="8709">
          <cell r="W8709">
            <v>0</v>
          </cell>
          <cell r="AB8709" t="str">
            <v>line item not tagged</v>
          </cell>
        </row>
        <row r="8710">
          <cell r="W8710">
            <v>0</v>
          </cell>
          <cell r="AB8710" t="str">
            <v>line item not tagged</v>
          </cell>
        </row>
        <row r="8711">
          <cell r="W8711">
            <v>0</v>
          </cell>
          <cell r="AB8711" t="str">
            <v>line item not tagged</v>
          </cell>
        </row>
        <row r="8712">
          <cell r="W8712">
            <v>0</v>
          </cell>
          <cell r="AB8712" t="str">
            <v>line item not tagged</v>
          </cell>
        </row>
        <row r="8713">
          <cell r="W8713">
            <v>0</v>
          </cell>
          <cell r="AB8713" t="str">
            <v>line item not tagged</v>
          </cell>
        </row>
        <row r="8714">
          <cell r="W8714">
            <v>0</v>
          </cell>
          <cell r="AB8714" t="str">
            <v>line item not tagged</v>
          </cell>
        </row>
        <row r="8715">
          <cell r="W8715">
            <v>0</v>
          </cell>
          <cell r="AB8715" t="str">
            <v>line item not tagged</v>
          </cell>
        </row>
        <row r="8716">
          <cell r="W8716">
            <v>0</v>
          </cell>
          <cell r="AB8716" t="str">
            <v>line item not tagged</v>
          </cell>
        </row>
        <row r="8717">
          <cell r="W8717">
            <v>0</v>
          </cell>
          <cell r="AB8717" t="str">
            <v>line item not tagged</v>
          </cell>
        </row>
        <row r="8718">
          <cell r="W8718">
            <v>0</v>
          </cell>
          <cell r="AB8718" t="str">
            <v>line item not tagged</v>
          </cell>
        </row>
        <row r="8719">
          <cell r="W8719">
            <v>0</v>
          </cell>
          <cell r="AB8719" t="str">
            <v>line item not tagged</v>
          </cell>
        </row>
        <row r="8720">
          <cell r="W8720">
            <v>0</v>
          </cell>
          <cell r="AB8720" t="str">
            <v>line item not tagged</v>
          </cell>
        </row>
        <row r="8721">
          <cell r="W8721">
            <v>0</v>
          </cell>
          <cell r="AB8721" t="str">
            <v>line item not tagged</v>
          </cell>
        </row>
        <row r="8722">
          <cell r="W8722">
            <v>0</v>
          </cell>
          <cell r="AB8722" t="str">
            <v>line item not tagged</v>
          </cell>
        </row>
        <row r="8723">
          <cell r="W8723">
            <v>0</v>
          </cell>
          <cell r="AB8723" t="str">
            <v>line item not tagged</v>
          </cell>
        </row>
        <row r="8724">
          <cell r="W8724">
            <v>0</v>
          </cell>
          <cell r="AB8724" t="str">
            <v>line item not tagged</v>
          </cell>
        </row>
        <row r="8725">
          <cell r="W8725">
            <v>0</v>
          </cell>
          <cell r="AB8725" t="str">
            <v>line item not tagged</v>
          </cell>
        </row>
        <row r="8726">
          <cell r="W8726">
            <v>0</v>
          </cell>
          <cell r="AB8726" t="str">
            <v>line item not tagged</v>
          </cell>
        </row>
        <row r="8727">
          <cell r="W8727">
            <v>0</v>
          </cell>
          <cell r="AB8727" t="str">
            <v>line item not tagged</v>
          </cell>
        </row>
        <row r="8728">
          <cell r="W8728">
            <v>0</v>
          </cell>
          <cell r="AB8728" t="str">
            <v>line item not tagged</v>
          </cell>
        </row>
        <row r="8729">
          <cell r="W8729">
            <v>0</v>
          </cell>
          <cell r="AB8729" t="str">
            <v>line item not tagged</v>
          </cell>
        </row>
        <row r="8730">
          <cell r="W8730">
            <v>0</v>
          </cell>
          <cell r="AB8730" t="str">
            <v>line item not tagged</v>
          </cell>
        </row>
        <row r="8731">
          <cell r="W8731">
            <v>0</v>
          </cell>
          <cell r="AB8731" t="str">
            <v>line item not tagged</v>
          </cell>
        </row>
        <row r="8732">
          <cell r="W8732">
            <v>0</v>
          </cell>
          <cell r="AB8732" t="str">
            <v>line item not tagged</v>
          </cell>
        </row>
        <row r="8733">
          <cell r="W8733">
            <v>0</v>
          </cell>
          <cell r="AB8733" t="str">
            <v>line item not tagged</v>
          </cell>
        </row>
        <row r="8734">
          <cell r="W8734">
            <v>0</v>
          </cell>
          <cell r="AB8734" t="str">
            <v>line item not tagged</v>
          </cell>
        </row>
        <row r="8735">
          <cell r="W8735">
            <v>0</v>
          </cell>
          <cell r="AB8735" t="str">
            <v>line item not tagged</v>
          </cell>
        </row>
        <row r="8736">
          <cell r="W8736">
            <v>0</v>
          </cell>
          <cell r="AB8736" t="str">
            <v>line item not tagged</v>
          </cell>
        </row>
        <row r="8737">
          <cell r="W8737">
            <v>0</v>
          </cell>
          <cell r="AB8737" t="str">
            <v>line item not tagged</v>
          </cell>
        </row>
        <row r="8738">
          <cell r="W8738">
            <v>0</v>
          </cell>
          <cell r="AB8738" t="str">
            <v>line item not tagged</v>
          </cell>
        </row>
        <row r="8739">
          <cell r="W8739">
            <v>0</v>
          </cell>
          <cell r="AB8739" t="str">
            <v>line item not tagged</v>
          </cell>
        </row>
        <row r="8740">
          <cell r="W8740">
            <v>0</v>
          </cell>
          <cell r="AB8740" t="str">
            <v>line item not tagged</v>
          </cell>
        </row>
        <row r="8741">
          <cell r="W8741">
            <v>0</v>
          </cell>
          <cell r="AB8741" t="str">
            <v>line item not tagged</v>
          </cell>
        </row>
        <row r="8742">
          <cell r="W8742">
            <v>0</v>
          </cell>
          <cell r="AB8742" t="str">
            <v>line item not tagged</v>
          </cell>
        </row>
        <row r="8743">
          <cell r="W8743">
            <v>0</v>
          </cell>
          <cell r="AB8743" t="str">
            <v>line item not tagged</v>
          </cell>
        </row>
        <row r="8744">
          <cell r="W8744">
            <v>0</v>
          </cell>
          <cell r="AB8744" t="str">
            <v>line item not tagged</v>
          </cell>
        </row>
        <row r="8745">
          <cell r="W8745">
            <v>0</v>
          </cell>
          <cell r="AB8745" t="str">
            <v>line item not tagged</v>
          </cell>
        </row>
        <row r="8746">
          <cell r="W8746">
            <v>0</v>
          </cell>
          <cell r="AB8746" t="str">
            <v>line item not tagged</v>
          </cell>
        </row>
        <row r="8747">
          <cell r="W8747">
            <v>0</v>
          </cell>
          <cell r="AB8747" t="str">
            <v>line item not tagged</v>
          </cell>
        </row>
        <row r="8748">
          <cell r="W8748">
            <v>0</v>
          </cell>
          <cell r="AB8748" t="str">
            <v>line item not tagged</v>
          </cell>
        </row>
        <row r="8749">
          <cell r="W8749">
            <v>0</v>
          </cell>
          <cell r="AB8749" t="str">
            <v>line item not tagged</v>
          </cell>
        </row>
        <row r="8750">
          <cell r="W8750">
            <v>0</v>
          </cell>
          <cell r="AB8750" t="str">
            <v>line item not tagged</v>
          </cell>
        </row>
        <row r="8751">
          <cell r="W8751">
            <v>0</v>
          </cell>
          <cell r="AB8751" t="str">
            <v>line item not tagged</v>
          </cell>
        </row>
        <row r="8752">
          <cell r="W8752">
            <v>0</v>
          </cell>
          <cell r="AB8752" t="str">
            <v>line item not tagged</v>
          </cell>
        </row>
        <row r="8753">
          <cell r="W8753">
            <v>0</v>
          </cell>
          <cell r="AB8753" t="str">
            <v>line item not tagged</v>
          </cell>
        </row>
        <row r="8754">
          <cell r="W8754">
            <v>0</v>
          </cell>
          <cell r="AB8754" t="str">
            <v>line item not tagged</v>
          </cell>
        </row>
        <row r="8755">
          <cell r="W8755">
            <v>0</v>
          </cell>
          <cell r="AB8755" t="str">
            <v>line item not tagged</v>
          </cell>
        </row>
        <row r="8756">
          <cell r="W8756">
            <v>0</v>
          </cell>
          <cell r="AB8756" t="str">
            <v>line item not tagged</v>
          </cell>
        </row>
        <row r="8757">
          <cell r="W8757">
            <v>0</v>
          </cell>
          <cell r="AB8757" t="str">
            <v>line item not tagged</v>
          </cell>
        </row>
        <row r="8758">
          <cell r="W8758">
            <v>0</v>
          </cell>
          <cell r="AB8758" t="str">
            <v>line item not tagged</v>
          </cell>
        </row>
        <row r="8759">
          <cell r="W8759">
            <v>0</v>
          </cell>
          <cell r="AB8759" t="str">
            <v>line item not tagged</v>
          </cell>
        </row>
        <row r="8760">
          <cell r="W8760">
            <v>0</v>
          </cell>
          <cell r="AB8760" t="str">
            <v>line item not tagged</v>
          </cell>
        </row>
        <row r="8761">
          <cell r="W8761">
            <v>0</v>
          </cell>
          <cell r="AB8761" t="str">
            <v>line item not tagged</v>
          </cell>
        </row>
        <row r="8762">
          <cell r="W8762">
            <v>0</v>
          </cell>
          <cell r="AB8762" t="str">
            <v>line item not tagged</v>
          </cell>
        </row>
        <row r="8763">
          <cell r="W8763">
            <v>0</v>
          </cell>
          <cell r="AB8763" t="str">
            <v>line item not tagged</v>
          </cell>
        </row>
        <row r="8764">
          <cell r="W8764">
            <v>0</v>
          </cell>
          <cell r="AB8764" t="str">
            <v>line item not tagged</v>
          </cell>
        </row>
        <row r="8765">
          <cell r="W8765">
            <v>0</v>
          </cell>
          <cell r="AB8765" t="str">
            <v>line item not tagged</v>
          </cell>
        </row>
        <row r="8766">
          <cell r="W8766">
            <v>0</v>
          </cell>
          <cell r="AB8766" t="str">
            <v>line item not tagged</v>
          </cell>
        </row>
        <row r="8767">
          <cell r="W8767">
            <v>0</v>
          </cell>
          <cell r="AB8767" t="str">
            <v>line item not tagged</v>
          </cell>
        </row>
        <row r="8768">
          <cell r="W8768">
            <v>0</v>
          </cell>
          <cell r="AB8768" t="str">
            <v>line item not tagged</v>
          </cell>
        </row>
        <row r="8769">
          <cell r="W8769">
            <v>0</v>
          </cell>
          <cell r="AB8769" t="str">
            <v>line item not tagged</v>
          </cell>
        </row>
        <row r="8770">
          <cell r="W8770">
            <v>0</v>
          </cell>
          <cell r="AB8770" t="str">
            <v>line item not tagged</v>
          </cell>
        </row>
        <row r="8771">
          <cell r="W8771">
            <v>0</v>
          </cell>
          <cell r="AB8771" t="str">
            <v>line item not tagged</v>
          </cell>
        </row>
        <row r="8772">
          <cell r="W8772">
            <v>0</v>
          </cell>
          <cell r="AB8772" t="str">
            <v>line item not tagged</v>
          </cell>
        </row>
        <row r="8773">
          <cell r="W8773">
            <v>0</v>
          </cell>
          <cell r="AB8773" t="str">
            <v>line item not tagged</v>
          </cell>
        </row>
        <row r="8774">
          <cell r="W8774">
            <v>0</v>
          </cell>
          <cell r="AB8774" t="str">
            <v>line item not tagged</v>
          </cell>
        </row>
        <row r="8775">
          <cell r="W8775">
            <v>0</v>
          </cell>
          <cell r="AB8775" t="str">
            <v>line item not tagged</v>
          </cell>
        </row>
        <row r="8776">
          <cell r="W8776">
            <v>0</v>
          </cell>
          <cell r="AB8776" t="str">
            <v>line item not tagged</v>
          </cell>
        </row>
        <row r="8777">
          <cell r="W8777">
            <v>0</v>
          </cell>
          <cell r="AB8777" t="str">
            <v>line item not tagged</v>
          </cell>
        </row>
        <row r="8778">
          <cell r="W8778">
            <v>0</v>
          </cell>
          <cell r="AB8778" t="str">
            <v>line item not tagged</v>
          </cell>
        </row>
        <row r="8779">
          <cell r="W8779">
            <v>0</v>
          </cell>
          <cell r="AB8779" t="str">
            <v>line item not tagged</v>
          </cell>
        </row>
        <row r="8780">
          <cell r="W8780">
            <v>0</v>
          </cell>
          <cell r="AB8780" t="str">
            <v>line item not tagged</v>
          </cell>
        </row>
        <row r="8781">
          <cell r="W8781">
            <v>0</v>
          </cell>
          <cell r="AB8781" t="str">
            <v>line item not tagged</v>
          </cell>
        </row>
        <row r="8782">
          <cell r="W8782">
            <v>0</v>
          </cell>
          <cell r="AB8782" t="str">
            <v>line item not tagged</v>
          </cell>
        </row>
        <row r="8783">
          <cell r="W8783">
            <v>0</v>
          </cell>
          <cell r="AB8783" t="str">
            <v>line item not tagged</v>
          </cell>
        </row>
        <row r="8784">
          <cell r="W8784">
            <v>0</v>
          </cell>
          <cell r="AB8784" t="str">
            <v>line item not tagged</v>
          </cell>
        </row>
        <row r="8785">
          <cell r="W8785">
            <v>0</v>
          </cell>
          <cell r="AB8785" t="str">
            <v>line item not tagged</v>
          </cell>
        </row>
        <row r="8786">
          <cell r="W8786">
            <v>0</v>
          </cell>
          <cell r="AB8786" t="str">
            <v>line item not tagged</v>
          </cell>
        </row>
        <row r="8787">
          <cell r="W8787">
            <v>0</v>
          </cell>
          <cell r="AB8787" t="str">
            <v>line item not tagged</v>
          </cell>
        </row>
        <row r="8788">
          <cell r="W8788">
            <v>0</v>
          </cell>
          <cell r="AB8788" t="str">
            <v>line item not tagged</v>
          </cell>
        </row>
        <row r="8789">
          <cell r="W8789">
            <v>0</v>
          </cell>
          <cell r="AB8789" t="str">
            <v>line item not tagged</v>
          </cell>
        </row>
        <row r="8790">
          <cell r="W8790">
            <v>0</v>
          </cell>
          <cell r="AB8790" t="str">
            <v>line item not tagged</v>
          </cell>
        </row>
        <row r="8791">
          <cell r="W8791">
            <v>0</v>
          </cell>
          <cell r="AB8791" t="str">
            <v>line item not tagged</v>
          </cell>
        </row>
        <row r="8792">
          <cell r="W8792">
            <v>0</v>
          </cell>
          <cell r="AB8792" t="str">
            <v>line item not tagged</v>
          </cell>
        </row>
        <row r="8793">
          <cell r="W8793">
            <v>0</v>
          </cell>
          <cell r="AB8793" t="str">
            <v>line item not tagged</v>
          </cell>
        </row>
        <row r="8794">
          <cell r="W8794">
            <v>0</v>
          </cell>
          <cell r="AB8794" t="str">
            <v>line item not tagged</v>
          </cell>
        </row>
        <row r="8795">
          <cell r="W8795">
            <v>0</v>
          </cell>
          <cell r="AB8795" t="str">
            <v>line item not tagged</v>
          </cell>
        </row>
        <row r="8796">
          <cell r="W8796">
            <v>0</v>
          </cell>
          <cell r="AB8796" t="str">
            <v>line item not tagged</v>
          </cell>
        </row>
        <row r="8797">
          <cell r="W8797">
            <v>0</v>
          </cell>
          <cell r="AB8797" t="str">
            <v>line item not tagged</v>
          </cell>
        </row>
        <row r="8798">
          <cell r="W8798">
            <v>0</v>
          </cell>
          <cell r="AB8798" t="str">
            <v>line item not tagged</v>
          </cell>
        </row>
        <row r="8799">
          <cell r="W8799">
            <v>0</v>
          </cell>
          <cell r="AB8799" t="str">
            <v>line item not tagged</v>
          </cell>
        </row>
        <row r="8800">
          <cell r="W8800">
            <v>0</v>
          </cell>
          <cell r="AB8800" t="str">
            <v>line item not tagged</v>
          </cell>
        </row>
        <row r="8801">
          <cell r="W8801">
            <v>0</v>
          </cell>
          <cell r="AB8801" t="str">
            <v>line item not tagged</v>
          </cell>
        </row>
        <row r="8802">
          <cell r="W8802">
            <v>0</v>
          </cell>
          <cell r="AB8802" t="str">
            <v>line item not tagged</v>
          </cell>
        </row>
        <row r="8803">
          <cell r="W8803">
            <v>0</v>
          </cell>
          <cell r="AB8803" t="str">
            <v>line item not tagged</v>
          </cell>
        </row>
        <row r="8804">
          <cell r="W8804">
            <v>0</v>
          </cell>
          <cell r="AB8804" t="str">
            <v>line item not tagged</v>
          </cell>
        </row>
        <row r="8805">
          <cell r="W8805">
            <v>0</v>
          </cell>
          <cell r="AB8805" t="str">
            <v>line item not tagged</v>
          </cell>
        </row>
        <row r="8806">
          <cell r="W8806">
            <v>0</v>
          </cell>
          <cell r="AB8806" t="str">
            <v>line item not tagged</v>
          </cell>
        </row>
        <row r="8807">
          <cell r="W8807">
            <v>0</v>
          </cell>
          <cell r="AB8807" t="str">
            <v>line item not tagged</v>
          </cell>
        </row>
        <row r="8808">
          <cell r="W8808">
            <v>0</v>
          </cell>
          <cell r="AB8808" t="str">
            <v>line item not tagged</v>
          </cell>
        </row>
        <row r="8809">
          <cell r="W8809">
            <v>0</v>
          </cell>
          <cell r="AB8809" t="str">
            <v>line item not tagged</v>
          </cell>
        </row>
        <row r="8810">
          <cell r="W8810">
            <v>0</v>
          </cell>
          <cell r="AB8810" t="str">
            <v>line item not tagged</v>
          </cell>
        </row>
        <row r="8811">
          <cell r="W8811">
            <v>0</v>
          </cell>
          <cell r="AB8811" t="str">
            <v>line item not tagged</v>
          </cell>
        </row>
        <row r="8812">
          <cell r="W8812">
            <v>0</v>
          </cell>
          <cell r="AB8812" t="str">
            <v>line item not tagged</v>
          </cell>
        </row>
        <row r="8813">
          <cell r="W8813">
            <v>0</v>
          </cell>
          <cell r="AB8813" t="str">
            <v>line item not tagged</v>
          </cell>
        </row>
        <row r="8814">
          <cell r="W8814">
            <v>0</v>
          </cell>
          <cell r="AB8814" t="str">
            <v>line item not tagged</v>
          </cell>
        </row>
        <row r="8815">
          <cell r="W8815">
            <v>0</v>
          </cell>
          <cell r="AB8815" t="str">
            <v>line item not tagged</v>
          </cell>
        </row>
        <row r="8816">
          <cell r="W8816">
            <v>0</v>
          </cell>
          <cell r="AB8816" t="str">
            <v>line item not tagged</v>
          </cell>
        </row>
        <row r="8817">
          <cell r="W8817">
            <v>0</v>
          </cell>
          <cell r="AB8817" t="str">
            <v>line item not tagged</v>
          </cell>
        </row>
        <row r="8818">
          <cell r="W8818">
            <v>0</v>
          </cell>
          <cell r="AB8818" t="str">
            <v>line item not tagged</v>
          </cell>
        </row>
        <row r="8819">
          <cell r="W8819">
            <v>0</v>
          </cell>
          <cell r="AB8819" t="str">
            <v>line item not tagged</v>
          </cell>
        </row>
        <row r="8820">
          <cell r="W8820">
            <v>0</v>
          </cell>
          <cell r="AB8820" t="str">
            <v>line item not tagged</v>
          </cell>
        </row>
        <row r="8821">
          <cell r="W8821">
            <v>0</v>
          </cell>
          <cell r="AB8821" t="str">
            <v>line item not tagged</v>
          </cell>
        </row>
        <row r="8822">
          <cell r="W8822">
            <v>0</v>
          </cell>
          <cell r="AB8822" t="str">
            <v>line item not tagged</v>
          </cell>
        </row>
        <row r="8823">
          <cell r="W8823">
            <v>0</v>
          </cell>
          <cell r="AB8823" t="str">
            <v>line item not tagged</v>
          </cell>
        </row>
        <row r="8824">
          <cell r="W8824">
            <v>0</v>
          </cell>
          <cell r="AB8824" t="str">
            <v>line item not tagged</v>
          </cell>
        </row>
        <row r="8825">
          <cell r="W8825">
            <v>0</v>
          </cell>
          <cell r="AB8825" t="str">
            <v>line item not tagged</v>
          </cell>
        </row>
        <row r="8826">
          <cell r="W8826">
            <v>0</v>
          </cell>
          <cell r="AB8826" t="str">
            <v>line item not tagged</v>
          </cell>
        </row>
        <row r="8827">
          <cell r="W8827">
            <v>0</v>
          </cell>
          <cell r="AB8827" t="str">
            <v>line item not tagged</v>
          </cell>
        </row>
        <row r="8828">
          <cell r="W8828">
            <v>0</v>
          </cell>
          <cell r="AB8828" t="str">
            <v>line item not tagged</v>
          </cell>
        </row>
        <row r="8829">
          <cell r="W8829">
            <v>0</v>
          </cell>
          <cell r="AB8829" t="str">
            <v>line item not tagged</v>
          </cell>
        </row>
        <row r="8830">
          <cell r="W8830">
            <v>0</v>
          </cell>
          <cell r="AB8830" t="str">
            <v>line item not tagged</v>
          </cell>
        </row>
        <row r="8831">
          <cell r="W8831">
            <v>0</v>
          </cell>
          <cell r="AB8831" t="str">
            <v>line item not tagged</v>
          </cell>
        </row>
        <row r="8832">
          <cell r="W8832">
            <v>0</v>
          </cell>
          <cell r="AB8832" t="str">
            <v>line item not tagged</v>
          </cell>
        </row>
        <row r="8833">
          <cell r="W8833">
            <v>0</v>
          </cell>
          <cell r="AB8833" t="str">
            <v>line item not tagged</v>
          </cell>
        </row>
        <row r="8834">
          <cell r="W8834">
            <v>0</v>
          </cell>
          <cell r="AB8834" t="str">
            <v>line item not tagged</v>
          </cell>
        </row>
        <row r="8835">
          <cell r="W8835">
            <v>0</v>
          </cell>
          <cell r="AB8835" t="str">
            <v>line item not tagged</v>
          </cell>
        </row>
        <row r="8836">
          <cell r="W8836">
            <v>0</v>
          </cell>
          <cell r="AB8836" t="str">
            <v>line item not tagged</v>
          </cell>
        </row>
        <row r="8837">
          <cell r="W8837">
            <v>0</v>
          </cell>
          <cell r="AB8837" t="str">
            <v>line item not tagged</v>
          </cell>
        </row>
        <row r="8838">
          <cell r="W8838">
            <v>0</v>
          </cell>
          <cell r="AB8838" t="str">
            <v>line item not tagged</v>
          </cell>
        </row>
        <row r="8839">
          <cell r="W8839">
            <v>0</v>
          </cell>
          <cell r="AB8839" t="str">
            <v>line item not tagged</v>
          </cell>
        </row>
        <row r="8840">
          <cell r="W8840">
            <v>0</v>
          </cell>
          <cell r="AB8840" t="str">
            <v>line item not tagged</v>
          </cell>
        </row>
        <row r="8841">
          <cell r="W8841">
            <v>0</v>
          </cell>
          <cell r="AB8841" t="str">
            <v>line item not tagged</v>
          </cell>
        </row>
        <row r="8842">
          <cell r="W8842">
            <v>0</v>
          </cell>
          <cell r="AB8842" t="str">
            <v>line item not tagged</v>
          </cell>
        </row>
        <row r="8843">
          <cell r="W8843">
            <v>0</v>
          </cell>
          <cell r="AB8843" t="str">
            <v>line item not tagged</v>
          </cell>
        </row>
        <row r="8844">
          <cell r="W8844">
            <v>0</v>
          </cell>
          <cell r="AB8844" t="str">
            <v>line item not tagged</v>
          </cell>
        </row>
        <row r="8845">
          <cell r="W8845">
            <v>0</v>
          </cell>
          <cell r="AB8845" t="str">
            <v>line item not tagged</v>
          </cell>
        </row>
        <row r="8846">
          <cell r="W8846">
            <v>0</v>
          </cell>
          <cell r="AB8846" t="str">
            <v>line item not tagged</v>
          </cell>
        </row>
        <row r="8847">
          <cell r="W8847">
            <v>0</v>
          </cell>
          <cell r="AB8847" t="str">
            <v>line item not tagged</v>
          </cell>
        </row>
        <row r="8848">
          <cell r="W8848">
            <v>0</v>
          </cell>
          <cell r="AB8848" t="str">
            <v>line item not tagged</v>
          </cell>
        </row>
        <row r="8849">
          <cell r="W8849">
            <v>0</v>
          </cell>
          <cell r="AB8849" t="str">
            <v>line item not tagged</v>
          </cell>
        </row>
        <row r="8850">
          <cell r="W8850">
            <v>0</v>
          </cell>
          <cell r="AB8850" t="str">
            <v>line item not tagged</v>
          </cell>
        </row>
        <row r="8851">
          <cell r="W8851">
            <v>0</v>
          </cell>
          <cell r="AB8851" t="str">
            <v>line item not tagged</v>
          </cell>
        </row>
        <row r="8852">
          <cell r="W8852">
            <v>0</v>
          </cell>
          <cell r="AB8852" t="str">
            <v>line item not tagged</v>
          </cell>
        </row>
        <row r="8853">
          <cell r="W8853">
            <v>0</v>
          </cell>
          <cell r="AB8853" t="str">
            <v>line item not tagged</v>
          </cell>
        </row>
        <row r="8854">
          <cell r="W8854">
            <v>0</v>
          </cell>
          <cell r="AB8854" t="str">
            <v>line item not tagged</v>
          </cell>
        </row>
        <row r="8855">
          <cell r="W8855">
            <v>0</v>
          </cell>
          <cell r="AB8855" t="str">
            <v>line item not tagged</v>
          </cell>
        </row>
        <row r="8856">
          <cell r="W8856">
            <v>0</v>
          </cell>
          <cell r="AB8856" t="str">
            <v>line item not tagged</v>
          </cell>
        </row>
        <row r="8857">
          <cell r="W8857">
            <v>0</v>
          </cell>
          <cell r="AB8857" t="str">
            <v>line item not tagged</v>
          </cell>
        </row>
        <row r="8858">
          <cell r="W8858">
            <v>0</v>
          </cell>
          <cell r="AB8858" t="str">
            <v>line item not tagged</v>
          </cell>
        </row>
        <row r="8859">
          <cell r="W8859">
            <v>0</v>
          </cell>
          <cell r="AB8859" t="str">
            <v>line item not tagged</v>
          </cell>
        </row>
        <row r="8860">
          <cell r="W8860">
            <v>0</v>
          </cell>
          <cell r="AB8860" t="str">
            <v>line item not tagged</v>
          </cell>
        </row>
        <row r="8861">
          <cell r="W8861">
            <v>0</v>
          </cell>
          <cell r="AB8861" t="str">
            <v>line item not tagged</v>
          </cell>
        </row>
        <row r="8862">
          <cell r="W8862">
            <v>0</v>
          </cell>
          <cell r="AB8862" t="str">
            <v>line item not tagged</v>
          </cell>
        </row>
        <row r="8863">
          <cell r="W8863">
            <v>0</v>
          </cell>
          <cell r="AB8863" t="str">
            <v>line item not tagged</v>
          </cell>
        </row>
        <row r="8864">
          <cell r="W8864">
            <v>0</v>
          </cell>
          <cell r="AB8864" t="str">
            <v>line item not tagged</v>
          </cell>
        </row>
        <row r="8865">
          <cell r="W8865">
            <v>0</v>
          </cell>
          <cell r="AB8865" t="str">
            <v>line item not tagged</v>
          </cell>
        </row>
        <row r="8866">
          <cell r="W8866">
            <v>0</v>
          </cell>
          <cell r="AB8866" t="str">
            <v>line item not tagged</v>
          </cell>
        </row>
        <row r="8867">
          <cell r="W8867">
            <v>0</v>
          </cell>
          <cell r="AB8867" t="str">
            <v>line item not tagged</v>
          </cell>
        </row>
        <row r="8868">
          <cell r="W8868">
            <v>0</v>
          </cell>
          <cell r="AB8868" t="str">
            <v>line item not tagged</v>
          </cell>
        </row>
        <row r="8869">
          <cell r="W8869">
            <v>0</v>
          </cell>
          <cell r="AB8869" t="str">
            <v>line item not tagged</v>
          </cell>
        </row>
        <row r="8870">
          <cell r="W8870">
            <v>0</v>
          </cell>
          <cell r="AB8870" t="str">
            <v>line item not tagged</v>
          </cell>
        </row>
        <row r="8871">
          <cell r="W8871">
            <v>0</v>
          </cell>
          <cell r="AB8871" t="str">
            <v>line item not tagged</v>
          </cell>
        </row>
        <row r="8872">
          <cell r="W8872">
            <v>0</v>
          </cell>
          <cell r="AB8872" t="str">
            <v>line item not tagged</v>
          </cell>
        </row>
        <row r="8873">
          <cell r="W8873">
            <v>0</v>
          </cell>
          <cell r="AB8873" t="str">
            <v>line item not tagged</v>
          </cell>
        </row>
        <row r="8874">
          <cell r="W8874">
            <v>0</v>
          </cell>
          <cell r="AB8874" t="str">
            <v>line item not tagged</v>
          </cell>
        </row>
        <row r="8875">
          <cell r="W8875">
            <v>0</v>
          </cell>
          <cell r="AB8875" t="str">
            <v>line item not tagged</v>
          </cell>
        </row>
        <row r="8876">
          <cell r="W8876">
            <v>0</v>
          </cell>
          <cell r="AB8876" t="str">
            <v>line item not tagged</v>
          </cell>
        </row>
        <row r="8877">
          <cell r="W8877">
            <v>0</v>
          </cell>
          <cell r="AB8877" t="str">
            <v>line item not tagged</v>
          </cell>
        </row>
        <row r="8878">
          <cell r="W8878">
            <v>0</v>
          </cell>
          <cell r="AB8878" t="str">
            <v>line item not tagged</v>
          </cell>
        </row>
        <row r="8879">
          <cell r="W8879">
            <v>0</v>
          </cell>
          <cell r="AB8879" t="str">
            <v>line item not tagged</v>
          </cell>
        </row>
        <row r="8880">
          <cell r="W8880">
            <v>0</v>
          </cell>
          <cell r="AB8880" t="str">
            <v>line item not tagged</v>
          </cell>
        </row>
        <row r="8881">
          <cell r="W8881">
            <v>0</v>
          </cell>
          <cell r="AB8881" t="str">
            <v>line item not tagged</v>
          </cell>
        </row>
        <row r="8882">
          <cell r="W8882">
            <v>0</v>
          </cell>
          <cell r="AB8882" t="str">
            <v>line item not tagged</v>
          </cell>
        </row>
        <row r="8883">
          <cell r="W8883">
            <v>0</v>
          </cell>
          <cell r="AB8883" t="str">
            <v>line item not tagged</v>
          </cell>
        </row>
        <row r="8884">
          <cell r="W8884">
            <v>0</v>
          </cell>
          <cell r="AB8884" t="str">
            <v>line item not tagged</v>
          </cell>
        </row>
        <row r="8885">
          <cell r="W8885">
            <v>0</v>
          </cell>
          <cell r="AB8885" t="str">
            <v>line item not tagged</v>
          </cell>
        </row>
        <row r="8886">
          <cell r="W8886">
            <v>0</v>
          </cell>
          <cell r="AB8886" t="str">
            <v>line item not tagged</v>
          </cell>
        </row>
        <row r="8887">
          <cell r="W8887">
            <v>0</v>
          </cell>
          <cell r="AB8887" t="str">
            <v>line item not tagged</v>
          </cell>
        </row>
        <row r="8888">
          <cell r="W8888">
            <v>0</v>
          </cell>
          <cell r="AB8888" t="str">
            <v>line item not tagged</v>
          </cell>
        </row>
        <row r="8889">
          <cell r="W8889">
            <v>0</v>
          </cell>
          <cell r="AB8889" t="str">
            <v>line item not tagged</v>
          </cell>
        </row>
        <row r="8890">
          <cell r="W8890">
            <v>0</v>
          </cell>
          <cell r="AB8890" t="str">
            <v>line item not tagged</v>
          </cell>
        </row>
        <row r="8891">
          <cell r="W8891">
            <v>0</v>
          </cell>
          <cell r="AB8891" t="str">
            <v>line item not tagged</v>
          </cell>
        </row>
        <row r="8892">
          <cell r="W8892">
            <v>0</v>
          </cell>
          <cell r="AB8892" t="str">
            <v>line item not tagged</v>
          </cell>
        </row>
        <row r="8893">
          <cell r="W8893">
            <v>0</v>
          </cell>
          <cell r="AB8893" t="str">
            <v>line item not tagged</v>
          </cell>
        </row>
        <row r="8894">
          <cell r="W8894">
            <v>0</v>
          </cell>
          <cell r="AB8894" t="str">
            <v>line item not tagged</v>
          </cell>
        </row>
        <row r="8895">
          <cell r="W8895">
            <v>0</v>
          </cell>
          <cell r="AB8895" t="str">
            <v>line item not tagged</v>
          </cell>
        </row>
        <row r="8896">
          <cell r="W8896">
            <v>0</v>
          </cell>
          <cell r="AB8896" t="str">
            <v>line item not tagged</v>
          </cell>
        </row>
        <row r="8897">
          <cell r="W8897">
            <v>0</v>
          </cell>
          <cell r="AB8897" t="str">
            <v>line item not tagged</v>
          </cell>
        </row>
        <row r="8898">
          <cell r="W8898">
            <v>0</v>
          </cell>
          <cell r="AB8898" t="str">
            <v>line item not tagged</v>
          </cell>
        </row>
        <row r="8899">
          <cell r="W8899">
            <v>0</v>
          </cell>
          <cell r="AB8899" t="str">
            <v>line item not tagged</v>
          </cell>
        </row>
        <row r="8900">
          <cell r="W8900">
            <v>0</v>
          </cell>
          <cell r="AB8900" t="str">
            <v>line item not tagged</v>
          </cell>
        </row>
        <row r="8901">
          <cell r="W8901">
            <v>0</v>
          </cell>
          <cell r="AB8901" t="str">
            <v>line item not tagged</v>
          </cell>
        </row>
        <row r="8902">
          <cell r="W8902">
            <v>0</v>
          </cell>
          <cell r="AB8902" t="str">
            <v>line item not tagged</v>
          </cell>
        </row>
        <row r="8903">
          <cell r="W8903">
            <v>0</v>
          </cell>
          <cell r="AB8903" t="str">
            <v>line item not tagged</v>
          </cell>
        </row>
        <row r="8904">
          <cell r="W8904">
            <v>0</v>
          </cell>
          <cell r="AB8904" t="str">
            <v>line item not tagged</v>
          </cell>
        </row>
        <row r="8905">
          <cell r="W8905">
            <v>0</v>
          </cell>
          <cell r="AB8905" t="str">
            <v>line item not tagged</v>
          </cell>
        </row>
        <row r="8906">
          <cell r="W8906">
            <v>0</v>
          </cell>
          <cell r="AB8906" t="str">
            <v>line item not tagged</v>
          </cell>
        </row>
        <row r="8907">
          <cell r="W8907">
            <v>0</v>
          </cell>
          <cell r="AB8907" t="str">
            <v>line item not tagged</v>
          </cell>
        </row>
        <row r="8908">
          <cell r="W8908">
            <v>0</v>
          </cell>
          <cell r="AB8908" t="str">
            <v>line item not tagged</v>
          </cell>
        </row>
        <row r="8909">
          <cell r="W8909">
            <v>0</v>
          </cell>
          <cell r="AB8909" t="str">
            <v>line item not tagged</v>
          </cell>
        </row>
        <row r="8910">
          <cell r="W8910">
            <v>0</v>
          </cell>
          <cell r="AB8910" t="str">
            <v>line item not tagged</v>
          </cell>
        </row>
        <row r="8911">
          <cell r="W8911">
            <v>0</v>
          </cell>
          <cell r="AB8911" t="str">
            <v>line item not tagged</v>
          </cell>
        </row>
        <row r="8912">
          <cell r="W8912">
            <v>0</v>
          </cell>
          <cell r="AB8912" t="str">
            <v>line item not tagged</v>
          </cell>
        </row>
        <row r="8913">
          <cell r="W8913">
            <v>0</v>
          </cell>
          <cell r="AB8913" t="str">
            <v>line item not tagged</v>
          </cell>
        </row>
        <row r="8914">
          <cell r="W8914">
            <v>0</v>
          </cell>
          <cell r="AB8914" t="str">
            <v>line item not tagged</v>
          </cell>
        </row>
        <row r="8915">
          <cell r="W8915">
            <v>0</v>
          </cell>
          <cell r="AB8915" t="str">
            <v>line item not tagged</v>
          </cell>
        </row>
        <row r="8916">
          <cell r="W8916">
            <v>0</v>
          </cell>
          <cell r="AB8916" t="str">
            <v>line item not tagged</v>
          </cell>
        </row>
        <row r="8917">
          <cell r="W8917">
            <v>0</v>
          </cell>
          <cell r="AB8917" t="str">
            <v>line item not tagged</v>
          </cell>
        </row>
        <row r="8918">
          <cell r="W8918">
            <v>0</v>
          </cell>
          <cell r="AB8918" t="str">
            <v>line item not tagged</v>
          </cell>
        </row>
        <row r="8919">
          <cell r="W8919">
            <v>0</v>
          </cell>
          <cell r="AB8919" t="str">
            <v>line item not tagged</v>
          </cell>
        </row>
        <row r="8920">
          <cell r="W8920">
            <v>0</v>
          </cell>
          <cell r="AB8920" t="str">
            <v>line item not tagged</v>
          </cell>
        </row>
        <row r="8921">
          <cell r="W8921">
            <v>0</v>
          </cell>
          <cell r="AB8921" t="str">
            <v>line item not tagged</v>
          </cell>
        </row>
        <row r="8922">
          <cell r="W8922">
            <v>0</v>
          </cell>
          <cell r="AB8922" t="str">
            <v>line item not tagged</v>
          </cell>
        </row>
        <row r="8923">
          <cell r="W8923">
            <v>0</v>
          </cell>
          <cell r="AB8923" t="str">
            <v>line item not tagged</v>
          </cell>
        </row>
        <row r="8924">
          <cell r="W8924">
            <v>0</v>
          </cell>
          <cell r="AB8924" t="str">
            <v>line item not tagged</v>
          </cell>
        </row>
        <row r="8925">
          <cell r="W8925">
            <v>0</v>
          </cell>
          <cell r="AB8925" t="str">
            <v>line item not tagged</v>
          </cell>
        </row>
        <row r="8926">
          <cell r="W8926">
            <v>0</v>
          </cell>
          <cell r="AB8926" t="str">
            <v>line item not tagged</v>
          </cell>
        </row>
        <row r="8927">
          <cell r="W8927">
            <v>0</v>
          </cell>
          <cell r="AB8927" t="str">
            <v>line item not tagged</v>
          </cell>
        </row>
        <row r="8928">
          <cell r="W8928">
            <v>0</v>
          </cell>
          <cell r="AB8928" t="str">
            <v>line item not tagged</v>
          </cell>
        </row>
        <row r="8929">
          <cell r="W8929">
            <v>0</v>
          </cell>
          <cell r="AB8929" t="str">
            <v>line item not tagged</v>
          </cell>
        </row>
        <row r="8930">
          <cell r="W8930">
            <v>0</v>
          </cell>
          <cell r="AB8930" t="str">
            <v>line item not tagged</v>
          </cell>
        </row>
        <row r="8931">
          <cell r="W8931">
            <v>0</v>
          </cell>
          <cell r="AB8931" t="str">
            <v>line item not tagged</v>
          </cell>
        </row>
        <row r="8932">
          <cell r="W8932">
            <v>0</v>
          </cell>
          <cell r="AB8932" t="str">
            <v>line item not tagged</v>
          </cell>
        </row>
        <row r="8933">
          <cell r="W8933">
            <v>0</v>
          </cell>
          <cell r="AB8933" t="str">
            <v>line item not tagged</v>
          </cell>
        </row>
        <row r="8934">
          <cell r="W8934">
            <v>0</v>
          </cell>
          <cell r="AB8934" t="str">
            <v>line item not tagged</v>
          </cell>
        </row>
        <row r="8935">
          <cell r="W8935">
            <v>0</v>
          </cell>
          <cell r="AB8935" t="str">
            <v>line item not tagged</v>
          </cell>
        </row>
        <row r="8936">
          <cell r="W8936">
            <v>0</v>
          </cell>
          <cell r="AB8936" t="str">
            <v>line item not tagged</v>
          </cell>
        </row>
        <row r="8937">
          <cell r="W8937">
            <v>0</v>
          </cell>
          <cell r="AB8937" t="str">
            <v>line item not tagged</v>
          </cell>
        </row>
        <row r="8938">
          <cell r="W8938">
            <v>0</v>
          </cell>
          <cell r="AB8938" t="str">
            <v>line item not tagged</v>
          </cell>
        </row>
        <row r="8939">
          <cell r="W8939">
            <v>0</v>
          </cell>
          <cell r="AB8939" t="str">
            <v>line item not tagged</v>
          </cell>
        </row>
        <row r="8940">
          <cell r="W8940">
            <v>0</v>
          </cell>
          <cell r="AB8940" t="str">
            <v>line item not tagged</v>
          </cell>
        </row>
        <row r="8941">
          <cell r="W8941">
            <v>0</v>
          </cell>
          <cell r="AB8941" t="str">
            <v>line item not tagged</v>
          </cell>
        </row>
        <row r="8942">
          <cell r="W8942">
            <v>0</v>
          </cell>
          <cell r="AB8942" t="str">
            <v>line item not tagged</v>
          </cell>
        </row>
        <row r="8943">
          <cell r="W8943">
            <v>0</v>
          </cell>
          <cell r="AB8943" t="str">
            <v>line item not tagged</v>
          </cell>
        </row>
        <row r="8944">
          <cell r="W8944">
            <v>0</v>
          </cell>
          <cell r="AB8944" t="str">
            <v>line item not tagged</v>
          </cell>
        </row>
        <row r="8945">
          <cell r="W8945">
            <v>0</v>
          </cell>
          <cell r="AB8945" t="str">
            <v>line item not tagged</v>
          </cell>
        </row>
        <row r="8946">
          <cell r="W8946">
            <v>0</v>
          </cell>
          <cell r="AB8946" t="str">
            <v>line item not tagged</v>
          </cell>
        </row>
        <row r="8947">
          <cell r="W8947">
            <v>0</v>
          </cell>
          <cell r="AB8947" t="str">
            <v>line item not tagged</v>
          </cell>
        </row>
        <row r="8948">
          <cell r="W8948">
            <v>0</v>
          </cell>
          <cell r="AB8948" t="str">
            <v>line item not tagged</v>
          </cell>
        </row>
        <row r="8949">
          <cell r="W8949">
            <v>0</v>
          </cell>
          <cell r="AB8949" t="str">
            <v>line item not tagged</v>
          </cell>
        </row>
        <row r="8950">
          <cell r="W8950">
            <v>0</v>
          </cell>
          <cell r="AB8950" t="str">
            <v>line item not tagged</v>
          </cell>
        </row>
        <row r="8951">
          <cell r="W8951">
            <v>0</v>
          </cell>
          <cell r="AB8951" t="str">
            <v>line item not tagged</v>
          </cell>
        </row>
        <row r="8952">
          <cell r="W8952">
            <v>0</v>
          </cell>
          <cell r="AB8952" t="str">
            <v>line item not tagged</v>
          </cell>
        </row>
        <row r="8953">
          <cell r="W8953">
            <v>0</v>
          </cell>
          <cell r="AB8953" t="str">
            <v>line item not tagged</v>
          </cell>
        </row>
        <row r="8954">
          <cell r="W8954">
            <v>0</v>
          </cell>
          <cell r="AB8954" t="str">
            <v>line item not tagged</v>
          </cell>
        </row>
        <row r="8955">
          <cell r="W8955">
            <v>0</v>
          </cell>
          <cell r="AB8955" t="str">
            <v>line item not tagged</v>
          </cell>
        </row>
        <row r="8956">
          <cell r="W8956">
            <v>0</v>
          </cell>
          <cell r="AB8956" t="str">
            <v>line item not tagged</v>
          </cell>
        </row>
        <row r="8957">
          <cell r="W8957">
            <v>0</v>
          </cell>
          <cell r="AB8957" t="str">
            <v>line item not tagged</v>
          </cell>
        </row>
        <row r="8958">
          <cell r="W8958">
            <v>0</v>
          </cell>
          <cell r="AB8958" t="str">
            <v>line item not tagged</v>
          </cell>
        </row>
        <row r="8959">
          <cell r="W8959">
            <v>0</v>
          </cell>
          <cell r="AB8959" t="str">
            <v>line item not tagged</v>
          </cell>
        </row>
        <row r="8960">
          <cell r="W8960">
            <v>0</v>
          </cell>
          <cell r="AB8960" t="str">
            <v>line item not tagged</v>
          </cell>
        </row>
        <row r="8961">
          <cell r="W8961">
            <v>0</v>
          </cell>
          <cell r="AB8961" t="str">
            <v>line item not tagged</v>
          </cell>
        </row>
        <row r="8962">
          <cell r="W8962">
            <v>0</v>
          </cell>
          <cell r="AB8962" t="str">
            <v>line item not tagged</v>
          </cell>
        </row>
        <row r="8963">
          <cell r="W8963">
            <v>0</v>
          </cell>
          <cell r="AB8963" t="str">
            <v>line item not tagged</v>
          </cell>
        </row>
        <row r="8964">
          <cell r="W8964">
            <v>0</v>
          </cell>
          <cell r="AB8964" t="str">
            <v>line item not tagged</v>
          </cell>
        </row>
        <row r="8965">
          <cell r="W8965">
            <v>0</v>
          </cell>
          <cell r="AB8965" t="str">
            <v>line item not tagged</v>
          </cell>
        </row>
        <row r="8966">
          <cell r="W8966">
            <v>0</v>
          </cell>
          <cell r="AB8966" t="str">
            <v>line item not tagged</v>
          </cell>
        </row>
        <row r="8967">
          <cell r="W8967">
            <v>0</v>
          </cell>
          <cell r="AB8967" t="str">
            <v>line item not tagged</v>
          </cell>
        </row>
        <row r="8968">
          <cell r="W8968">
            <v>0</v>
          </cell>
          <cell r="AB8968" t="str">
            <v>line item not tagged</v>
          </cell>
        </row>
        <row r="8969">
          <cell r="W8969">
            <v>0</v>
          </cell>
          <cell r="AB8969" t="str">
            <v>line item not tagged</v>
          </cell>
        </row>
        <row r="8970">
          <cell r="W8970">
            <v>0</v>
          </cell>
          <cell r="AB8970" t="str">
            <v>line item not tagged</v>
          </cell>
        </row>
        <row r="8971">
          <cell r="W8971">
            <v>0</v>
          </cell>
          <cell r="AB8971" t="str">
            <v>line item not tagged</v>
          </cell>
        </row>
        <row r="8972">
          <cell r="W8972">
            <v>0</v>
          </cell>
          <cell r="AB8972" t="str">
            <v>line item not tagged</v>
          </cell>
        </row>
        <row r="8973">
          <cell r="W8973">
            <v>0</v>
          </cell>
          <cell r="AB8973" t="str">
            <v>line item not tagged</v>
          </cell>
        </row>
        <row r="8974">
          <cell r="W8974">
            <v>0</v>
          </cell>
          <cell r="AB8974" t="str">
            <v>line item not tagged</v>
          </cell>
        </row>
        <row r="8975">
          <cell r="W8975">
            <v>0</v>
          </cell>
          <cell r="AB8975" t="str">
            <v>line item not tagged</v>
          </cell>
        </row>
        <row r="8976">
          <cell r="W8976">
            <v>0</v>
          </cell>
          <cell r="AB8976" t="str">
            <v>line item not tagged</v>
          </cell>
        </row>
        <row r="8977">
          <cell r="W8977">
            <v>0</v>
          </cell>
          <cell r="AB8977" t="str">
            <v>line item not tagged</v>
          </cell>
        </row>
        <row r="8978">
          <cell r="W8978">
            <v>0</v>
          </cell>
          <cell r="AB8978" t="str">
            <v>line item not tagged</v>
          </cell>
        </row>
        <row r="8979">
          <cell r="W8979">
            <v>0</v>
          </cell>
          <cell r="AB8979" t="str">
            <v>line item not tagged</v>
          </cell>
        </row>
        <row r="8980">
          <cell r="W8980">
            <v>0</v>
          </cell>
          <cell r="AB8980" t="str">
            <v>line item not tagged</v>
          </cell>
        </row>
        <row r="8981">
          <cell r="W8981">
            <v>0</v>
          </cell>
          <cell r="AB8981" t="str">
            <v>line item not tagged</v>
          </cell>
        </row>
        <row r="8982">
          <cell r="W8982">
            <v>0</v>
          </cell>
          <cell r="AB8982" t="str">
            <v>line item not tagged</v>
          </cell>
        </row>
        <row r="8983">
          <cell r="W8983">
            <v>0</v>
          </cell>
          <cell r="AB8983" t="str">
            <v>line item not tagged</v>
          </cell>
        </row>
        <row r="8984">
          <cell r="W8984">
            <v>0</v>
          </cell>
          <cell r="AB8984" t="str">
            <v>line item not tagged</v>
          </cell>
        </row>
        <row r="8985">
          <cell r="W8985">
            <v>0</v>
          </cell>
          <cell r="AB8985" t="str">
            <v>line item not tagged</v>
          </cell>
        </row>
        <row r="8986">
          <cell r="W8986">
            <v>0</v>
          </cell>
          <cell r="AB8986" t="str">
            <v>line item not tagged</v>
          </cell>
        </row>
        <row r="8987">
          <cell r="W8987">
            <v>0</v>
          </cell>
          <cell r="AB8987" t="str">
            <v>line item not tagged</v>
          </cell>
        </row>
        <row r="8988">
          <cell r="W8988">
            <v>0</v>
          </cell>
          <cell r="AB8988" t="str">
            <v>line item not tagged</v>
          </cell>
        </row>
        <row r="8989">
          <cell r="W8989">
            <v>0</v>
          </cell>
          <cell r="AB8989" t="str">
            <v>line item not tagged</v>
          </cell>
        </row>
        <row r="8990">
          <cell r="W8990">
            <v>0</v>
          </cell>
          <cell r="AB8990" t="str">
            <v>line item not tagged</v>
          </cell>
        </row>
        <row r="8991">
          <cell r="W8991">
            <v>0</v>
          </cell>
          <cell r="AB8991" t="str">
            <v>line item not tagged</v>
          </cell>
        </row>
        <row r="8992">
          <cell r="W8992">
            <v>0</v>
          </cell>
          <cell r="AB8992" t="str">
            <v>line item not tagged</v>
          </cell>
        </row>
        <row r="8993">
          <cell r="W8993">
            <v>0</v>
          </cell>
          <cell r="AB8993" t="str">
            <v>line item not tagged</v>
          </cell>
        </row>
        <row r="8994">
          <cell r="W8994">
            <v>0</v>
          </cell>
          <cell r="AB8994" t="str">
            <v>line item not tagged</v>
          </cell>
        </row>
        <row r="8995">
          <cell r="W8995">
            <v>0</v>
          </cell>
          <cell r="AB8995" t="str">
            <v>line item not tagged</v>
          </cell>
        </row>
        <row r="8996">
          <cell r="W8996">
            <v>0</v>
          </cell>
          <cell r="AB8996" t="str">
            <v>line item not tagged</v>
          </cell>
        </row>
        <row r="8997">
          <cell r="W8997">
            <v>0</v>
          </cell>
          <cell r="AB8997" t="str">
            <v>line item not tagged</v>
          </cell>
        </row>
        <row r="8998">
          <cell r="W8998">
            <v>0</v>
          </cell>
          <cell r="AB8998" t="str">
            <v>line item not tagged</v>
          </cell>
        </row>
        <row r="8999">
          <cell r="W8999">
            <v>0</v>
          </cell>
          <cell r="AB8999" t="str">
            <v>line item not tagged</v>
          </cell>
        </row>
        <row r="9000">
          <cell r="W9000">
            <v>0</v>
          </cell>
          <cell r="AB9000" t="str">
            <v>line item not tagged</v>
          </cell>
        </row>
        <row r="9001">
          <cell r="W9001">
            <v>0</v>
          </cell>
          <cell r="AB9001" t="str">
            <v>line item not tagged</v>
          </cell>
        </row>
        <row r="9002">
          <cell r="W9002">
            <v>0</v>
          </cell>
          <cell r="AB9002" t="str">
            <v>line item not tagged</v>
          </cell>
        </row>
        <row r="9003">
          <cell r="W9003">
            <v>0</v>
          </cell>
          <cell r="AB9003" t="str">
            <v>line item not tagged</v>
          </cell>
        </row>
        <row r="9004">
          <cell r="W9004">
            <v>0</v>
          </cell>
          <cell r="AB9004" t="str">
            <v>line item not tagged</v>
          </cell>
        </row>
        <row r="9005">
          <cell r="W9005">
            <v>0</v>
          </cell>
          <cell r="AB9005" t="str">
            <v>line item not tagged</v>
          </cell>
        </row>
        <row r="9006">
          <cell r="W9006">
            <v>0</v>
          </cell>
          <cell r="AB9006" t="str">
            <v>line item not tagged</v>
          </cell>
        </row>
        <row r="9007">
          <cell r="W9007">
            <v>0</v>
          </cell>
          <cell r="AB9007" t="str">
            <v>line item not tagged</v>
          </cell>
        </row>
        <row r="9008">
          <cell r="W9008">
            <v>0</v>
          </cell>
          <cell r="AB9008" t="str">
            <v>line item not tagged</v>
          </cell>
        </row>
        <row r="9009">
          <cell r="W9009">
            <v>0</v>
          </cell>
          <cell r="AB9009" t="str">
            <v>line item not tagged</v>
          </cell>
        </row>
        <row r="9010">
          <cell r="W9010">
            <v>0</v>
          </cell>
          <cell r="AB9010" t="str">
            <v>line item not tagged</v>
          </cell>
        </row>
        <row r="9011">
          <cell r="W9011">
            <v>0</v>
          </cell>
          <cell r="AB9011" t="str">
            <v>line item not tagged</v>
          </cell>
        </row>
        <row r="9012">
          <cell r="W9012">
            <v>0</v>
          </cell>
          <cell r="AB9012" t="str">
            <v>line item not tagged</v>
          </cell>
        </row>
        <row r="9013">
          <cell r="W9013">
            <v>0</v>
          </cell>
          <cell r="AB9013" t="str">
            <v>line item not tagged</v>
          </cell>
        </row>
        <row r="9014">
          <cell r="W9014">
            <v>0</v>
          </cell>
          <cell r="AB9014" t="str">
            <v>line item not tagged</v>
          </cell>
        </row>
        <row r="9015">
          <cell r="W9015">
            <v>0</v>
          </cell>
          <cell r="AB9015" t="str">
            <v>line item not tagged</v>
          </cell>
        </row>
        <row r="9016">
          <cell r="W9016">
            <v>0</v>
          </cell>
          <cell r="AB9016" t="str">
            <v>line item not tagged</v>
          </cell>
        </row>
        <row r="9017">
          <cell r="W9017">
            <v>0</v>
          </cell>
          <cell r="AB9017" t="str">
            <v>line item not tagged</v>
          </cell>
        </row>
        <row r="9018">
          <cell r="W9018">
            <v>0</v>
          </cell>
          <cell r="AB9018" t="str">
            <v>line item not tagged</v>
          </cell>
        </row>
        <row r="9019">
          <cell r="W9019">
            <v>0</v>
          </cell>
          <cell r="AB9019" t="str">
            <v>line item not tagged</v>
          </cell>
        </row>
        <row r="9020">
          <cell r="W9020">
            <v>0</v>
          </cell>
          <cell r="AB9020" t="str">
            <v>line item not tagged</v>
          </cell>
        </row>
        <row r="9021">
          <cell r="W9021">
            <v>0</v>
          </cell>
          <cell r="AB9021" t="str">
            <v>line item not tagged</v>
          </cell>
        </row>
        <row r="9022">
          <cell r="W9022">
            <v>0</v>
          </cell>
          <cell r="AB9022" t="str">
            <v>line item not tagged</v>
          </cell>
        </row>
        <row r="9023">
          <cell r="W9023">
            <v>0</v>
          </cell>
          <cell r="AB9023" t="str">
            <v>line item not tagged</v>
          </cell>
        </row>
        <row r="9024">
          <cell r="W9024">
            <v>0</v>
          </cell>
          <cell r="AB9024" t="str">
            <v>line item not tagged</v>
          </cell>
        </row>
        <row r="9025">
          <cell r="W9025">
            <v>0</v>
          </cell>
          <cell r="AB9025" t="str">
            <v>line item not tagged</v>
          </cell>
        </row>
        <row r="9026">
          <cell r="W9026">
            <v>0</v>
          </cell>
          <cell r="AB9026" t="str">
            <v>line item not tagged</v>
          </cell>
        </row>
        <row r="9027">
          <cell r="W9027">
            <v>0</v>
          </cell>
          <cell r="AB9027" t="str">
            <v>line item not tagged</v>
          </cell>
        </row>
        <row r="9028">
          <cell r="W9028">
            <v>0</v>
          </cell>
          <cell r="AB9028" t="str">
            <v>line item not tagged</v>
          </cell>
        </row>
        <row r="9029">
          <cell r="W9029">
            <v>0</v>
          </cell>
          <cell r="AB9029" t="str">
            <v>line item not tagged</v>
          </cell>
        </row>
        <row r="9030">
          <cell r="W9030">
            <v>0</v>
          </cell>
          <cell r="AB9030" t="str">
            <v>line item not tagged</v>
          </cell>
        </row>
        <row r="9031">
          <cell r="W9031">
            <v>0</v>
          </cell>
          <cell r="AB9031" t="str">
            <v>line item not tagged</v>
          </cell>
        </row>
        <row r="9032">
          <cell r="W9032">
            <v>0</v>
          </cell>
          <cell r="AB9032" t="str">
            <v>line item not tagged</v>
          </cell>
        </row>
        <row r="9033">
          <cell r="W9033">
            <v>0</v>
          </cell>
          <cell r="AB9033" t="str">
            <v>line item not tagged</v>
          </cell>
        </row>
        <row r="9034">
          <cell r="W9034">
            <v>0</v>
          </cell>
          <cell r="AB9034" t="str">
            <v>line item not tagged</v>
          </cell>
        </row>
        <row r="9035">
          <cell r="W9035">
            <v>0</v>
          </cell>
          <cell r="AB9035" t="str">
            <v>line item not tagged</v>
          </cell>
        </row>
        <row r="9036">
          <cell r="W9036">
            <v>0</v>
          </cell>
          <cell r="AB9036" t="str">
            <v>line item not tagged</v>
          </cell>
        </row>
        <row r="9037">
          <cell r="W9037">
            <v>0</v>
          </cell>
          <cell r="AB9037" t="str">
            <v>line item not tagged</v>
          </cell>
        </row>
        <row r="9038">
          <cell r="W9038">
            <v>0</v>
          </cell>
          <cell r="AB9038" t="str">
            <v>line item not tagged</v>
          </cell>
        </row>
        <row r="9039">
          <cell r="W9039">
            <v>0</v>
          </cell>
          <cell r="AB9039" t="str">
            <v>line item not tagged</v>
          </cell>
        </row>
        <row r="9040">
          <cell r="W9040">
            <v>0</v>
          </cell>
          <cell r="AB9040" t="str">
            <v>line item not tagged</v>
          </cell>
        </row>
        <row r="9041">
          <cell r="W9041">
            <v>0</v>
          </cell>
          <cell r="AB9041" t="str">
            <v>line item not tagged</v>
          </cell>
        </row>
        <row r="9042">
          <cell r="W9042">
            <v>0</v>
          </cell>
          <cell r="AB9042" t="str">
            <v>line item not tagged</v>
          </cell>
        </row>
        <row r="9043">
          <cell r="W9043">
            <v>0</v>
          </cell>
          <cell r="AB9043" t="str">
            <v>line item not tagged</v>
          </cell>
        </row>
        <row r="9044">
          <cell r="W9044">
            <v>0</v>
          </cell>
          <cell r="AB9044" t="str">
            <v>line item not tagged</v>
          </cell>
        </row>
        <row r="9045">
          <cell r="W9045">
            <v>0</v>
          </cell>
          <cell r="AB9045" t="str">
            <v>line item not tagged</v>
          </cell>
        </row>
        <row r="9046">
          <cell r="W9046">
            <v>0</v>
          </cell>
          <cell r="AB9046" t="str">
            <v>line item not tagged</v>
          </cell>
        </row>
        <row r="9047">
          <cell r="W9047">
            <v>0</v>
          </cell>
          <cell r="AB9047" t="str">
            <v>line item not tagged</v>
          </cell>
        </row>
        <row r="9048">
          <cell r="W9048">
            <v>0</v>
          </cell>
          <cell r="AB9048" t="str">
            <v>line item not tagged</v>
          </cell>
        </row>
        <row r="9049">
          <cell r="W9049">
            <v>0</v>
          </cell>
          <cell r="AB9049" t="str">
            <v>line item not tagged</v>
          </cell>
        </row>
        <row r="9050">
          <cell r="W9050">
            <v>0</v>
          </cell>
          <cell r="AB9050" t="str">
            <v>line item not tagged</v>
          </cell>
        </row>
        <row r="9051">
          <cell r="W9051">
            <v>0</v>
          </cell>
          <cell r="AB9051" t="str">
            <v>line item not tagged</v>
          </cell>
        </row>
        <row r="9052">
          <cell r="W9052">
            <v>0</v>
          </cell>
          <cell r="AB9052" t="str">
            <v>line item not tagged</v>
          </cell>
        </row>
        <row r="9053">
          <cell r="W9053">
            <v>0</v>
          </cell>
          <cell r="AB9053" t="str">
            <v>line item not tagged</v>
          </cell>
        </row>
        <row r="9054">
          <cell r="W9054">
            <v>0</v>
          </cell>
          <cell r="AB9054" t="str">
            <v>line item not tagged</v>
          </cell>
        </row>
        <row r="9055">
          <cell r="W9055">
            <v>0</v>
          </cell>
          <cell r="AB9055" t="str">
            <v>line item not tagged</v>
          </cell>
        </row>
        <row r="9056">
          <cell r="W9056">
            <v>0</v>
          </cell>
          <cell r="AB9056" t="str">
            <v>line item not tagged</v>
          </cell>
        </row>
        <row r="9057">
          <cell r="W9057">
            <v>0</v>
          </cell>
          <cell r="AB9057" t="str">
            <v>line item not tagged</v>
          </cell>
        </row>
        <row r="9058">
          <cell r="W9058">
            <v>0</v>
          </cell>
          <cell r="AB9058" t="str">
            <v>line item not tagged</v>
          </cell>
        </row>
        <row r="9059">
          <cell r="W9059">
            <v>0</v>
          </cell>
          <cell r="AB9059" t="str">
            <v>line item not tagged</v>
          </cell>
        </row>
        <row r="9060">
          <cell r="W9060">
            <v>0</v>
          </cell>
          <cell r="AB9060" t="str">
            <v>line item not tagged</v>
          </cell>
        </row>
        <row r="9061">
          <cell r="W9061">
            <v>0</v>
          </cell>
          <cell r="AB9061" t="str">
            <v>line item not tagged</v>
          </cell>
        </row>
        <row r="9062">
          <cell r="W9062">
            <v>0</v>
          </cell>
          <cell r="AB9062" t="str">
            <v>line item not tagged</v>
          </cell>
        </row>
        <row r="9063">
          <cell r="W9063">
            <v>0</v>
          </cell>
          <cell r="AB9063" t="str">
            <v>line item not tagged</v>
          </cell>
        </row>
        <row r="9064">
          <cell r="W9064">
            <v>0</v>
          </cell>
          <cell r="AB9064" t="str">
            <v>line item not tagged</v>
          </cell>
        </row>
        <row r="9065">
          <cell r="W9065">
            <v>0</v>
          </cell>
          <cell r="AB9065" t="str">
            <v>line item not tagged</v>
          </cell>
        </row>
        <row r="9066">
          <cell r="W9066">
            <v>0</v>
          </cell>
          <cell r="AB9066" t="str">
            <v>line item not tagged</v>
          </cell>
        </row>
        <row r="9067">
          <cell r="W9067">
            <v>0</v>
          </cell>
          <cell r="AB9067" t="str">
            <v>line item not tagged</v>
          </cell>
        </row>
        <row r="9068">
          <cell r="W9068">
            <v>0</v>
          </cell>
          <cell r="AB9068" t="str">
            <v>line item not tagged</v>
          </cell>
        </row>
        <row r="9069">
          <cell r="W9069">
            <v>0</v>
          </cell>
          <cell r="AB9069" t="str">
            <v>line item not tagged</v>
          </cell>
        </row>
        <row r="9070">
          <cell r="W9070">
            <v>0</v>
          </cell>
          <cell r="AB9070" t="str">
            <v>line item not tagged</v>
          </cell>
        </row>
        <row r="9071">
          <cell r="W9071">
            <v>0</v>
          </cell>
          <cell r="AB9071" t="str">
            <v>line item not tagged</v>
          </cell>
        </row>
        <row r="9072">
          <cell r="W9072">
            <v>0</v>
          </cell>
          <cell r="AB9072" t="str">
            <v>line item not tagged</v>
          </cell>
        </row>
        <row r="9073">
          <cell r="W9073">
            <v>0</v>
          </cell>
          <cell r="AB9073" t="str">
            <v>line item not tagged</v>
          </cell>
        </row>
        <row r="9074">
          <cell r="W9074">
            <v>0</v>
          </cell>
          <cell r="AB9074" t="str">
            <v>line item not tagged</v>
          </cell>
        </row>
        <row r="9075">
          <cell r="W9075">
            <v>0</v>
          </cell>
          <cell r="AB9075" t="str">
            <v>line item not tagged</v>
          </cell>
        </row>
        <row r="9076">
          <cell r="W9076">
            <v>0</v>
          </cell>
          <cell r="AB9076" t="str">
            <v>line item not tagged</v>
          </cell>
        </row>
        <row r="9077">
          <cell r="W9077">
            <v>0</v>
          </cell>
          <cell r="AB9077" t="str">
            <v>line item not tagged</v>
          </cell>
        </row>
        <row r="9078">
          <cell r="W9078">
            <v>0</v>
          </cell>
          <cell r="AB9078" t="str">
            <v>line item not tagged</v>
          </cell>
        </row>
        <row r="9079">
          <cell r="W9079">
            <v>0</v>
          </cell>
          <cell r="AB9079" t="str">
            <v>line item not tagged</v>
          </cell>
        </row>
        <row r="9080">
          <cell r="W9080">
            <v>0</v>
          </cell>
          <cell r="AB9080" t="str">
            <v>line item not tagged</v>
          </cell>
        </row>
        <row r="9081">
          <cell r="W9081">
            <v>0</v>
          </cell>
          <cell r="AB9081" t="str">
            <v>line item not tagged</v>
          </cell>
        </row>
        <row r="9082">
          <cell r="W9082">
            <v>0</v>
          </cell>
          <cell r="AB9082" t="str">
            <v>line item not tagged</v>
          </cell>
        </row>
        <row r="9083">
          <cell r="W9083">
            <v>0</v>
          </cell>
          <cell r="AB9083" t="str">
            <v>line item not tagged</v>
          </cell>
        </row>
        <row r="9084">
          <cell r="W9084">
            <v>0</v>
          </cell>
          <cell r="AB9084" t="str">
            <v>line item not tagged</v>
          </cell>
        </row>
        <row r="9085">
          <cell r="W9085">
            <v>0</v>
          </cell>
          <cell r="AB9085" t="str">
            <v>line item not tagged</v>
          </cell>
        </row>
        <row r="9086">
          <cell r="W9086">
            <v>0</v>
          </cell>
          <cell r="AB9086" t="str">
            <v>line item not tagged</v>
          </cell>
        </row>
        <row r="9087">
          <cell r="W9087">
            <v>0</v>
          </cell>
          <cell r="AB9087" t="str">
            <v>line item not tagged</v>
          </cell>
        </row>
        <row r="9088">
          <cell r="W9088">
            <v>0</v>
          </cell>
          <cell r="AB9088" t="str">
            <v>line item not tagged</v>
          </cell>
        </row>
        <row r="9089">
          <cell r="W9089">
            <v>0</v>
          </cell>
          <cell r="AB9089" t="str">
            <v>line item not tagged</v>
          </cell>
        </row>
        <row r="9090">
          <cell r="W9090">
            <v>0</v>
          </cell>
          <cell r="AB9090" t="str">
            <v>line item not tagged</v>
          </cell>
        </row>
        <row r="9091">
          <cell r="W9091">
            <v>0</v>
          </cell>
          <cell r="AB9091" t="str">
            <v>line item not tagged</v>
          </cell>
        </row>
        <row r="9092">
          <cell r="W9092">
            <v>0</v>
          </cell>
          <cell r="AB9092" t="str">
            <v>line item not tagged</v>
          </cell>
        </row>
        <row r="9093">
          <cell r="W9093">
            <v>0</v>
          </cell>
          <cell r="AB9093" t="str">
            <v>line item not tagged</v>
          </cell>
        </row>
        <row r="9094">
          <cell r="W9094">
            <v>0</v>
          </cell>
          <cell r="AB9094" t="str">
            <v>line item not tagged</v>
          </cell>
        </row>
        <row r="9095">
          <cell r="W9095">
            <v>0</v>
          </cell>
          <cell r="AB9095" t="str">
            <v>line item not tagged</v>
          </cell>
        </row>
        <row r="9096">
          <cell r="W9096">
            <v>0</v>
          </cell>
          <cell r="AB9096" t="str">
            <v>line item not tagged</v>
          </cell>
        </row>
        <row r="9097">
          <cell r="W9097">
            <v>0</v>
          </cell>
          <cell r="AB9097" t="str">
            <v>line item not tagged</v>
          </cell>
        </row>
        <row r="9098">
          <cell r="W9098">
            <v>0</v>
          </cell>
          <cell r="AB9098" t="str">
            <v>line item not tagged</v>
          </cell>
        </row>
        <row r="9099">
          <cell r="W9099">
            <v>0</v>
          </cell>
          <cell r="AB9099" t="str">
            <v>line item not tagged</v>
          </cell>
        </row>
        <row r="9100">
          <cell r="W9100">
            <v>0</v>
          </cell>
          <cell r="AB9100" t="str">
            <v>line item not tagged</v>
          </cell>
        </row>
        <row r="9101">
          <cell r="W9101">
            <v>0</v>
          </cell>
          <cell r="AB9101" t="str">
            <v>line item not tagged</v>
          </cell>
        </row>
        <row r="9102">
          <cell r="W9102">
            <v>0</v>
          </cell>
          <cell r="AB9102" t="str">
            <v>line item not tagged</v>
          </cell>
        </row>
        <row r="9103">
          <cell r="W9103">
            <v>0</v>
          </cell>
          <cell r="AB9103" t="str">
            <v>line item not tagged</v>
          </cell>
        </row>
        <row r="9104">
          <cell r="W9104">
            <v>0</v>
          </cell>
          <cell r="AB9104" t="str">
            <v>line item not tagged</v>
          </cell>
        </row>
        <row r="9105">
          <cell r="W9105">
            <v>0</v>
          </cell>
          <cell r="AB9105" t="str">
            <v>line item not tagged</v>
          </cell>
        </row>
        <row r="9106">
          <cell r="W9106">
            <v>0</v>
          </cell>
          <cell r="AB9106" t="str">
            <v>line item not tagged</v>
          </cell>
        </row>
        <row r="9107">
          <cell r="W9107">
            <v>0</v>
          </cell>
          <cell r="AB9107" t="str">
            <v>line item not tagged</v>
          </cell>
        </row>
        <row r="9108">
          <cell r="W9108">
            <v>0</v>
          </cell>
          <cell r="AB9108" t="str">
            <v>line item not tagged</v>
          </cell>
        </row>
        <row r="9109">
          <cell r="W9109">
            <v>0</v>
          </cell>
          <cell r="AB9109" t="str">
            <v>line item not tagged</v>
          </cell>
        </row>
        <row r="9110">
          <cell r="W9110">
            <v>0</v>
          </cell>
          <cell r="AB9110" t="str">
            <v>line item not tagged</v>
          </cell>
        </row>
        <row r="9111">
          <cell r="W9111">
            <v>0</v>
          </cell>
          <cell r="AB9111" t="str">
            <v>line item not tagged</v>
          </cell>
        </row>
        <row r="9112">
          <cell r="W9112">
            <v>0</v>
          </cell>
          <cell r="AB9112" t="str">
            <v>line item not tagged</v>
          </cell>
        </row>
        <row r="9113">
          <cell r="W9113">
            <v>0</v>
          </cell>
          <cell r="AB9113" t="str">
            <v>line item not tagged</v>
          </cell>
        </row>
        <row r="9114">
          <cell r="W9114">
            <v>0</v>
          </cell>
          <cell r="AB9114" t="str">
            <v>line item not tagged</v>
          </cell>
        </row>
        <row r="9115">
          <cell r="W9115">
            <v>0</v>
          </cell>
          <cell r="AB9115" t="str">
            <v>line item not tagged</v>
          </cell>
        </row>
        <row r="9116">
          <cell r="W9116">
            <v>0</v>
          </cell>
          <cell r="AB9116" t="str">
            <v>line item not tagged</v>
          </cell>
        </row>
        <row r="9117">
          <cell r="W9117">
            <v>0</v>
          </cell>
          <cell r="AB9117" t="str">
            <v>line item not tagged</v>
          </cell>
        </row>
        <row r="9118">
          <cell r="W9118">
            <v>0</v>
          </cell>
          <cell r="AB9118" t="str">
            <v>line item not tagged</v>
          </cell>
        </row>
        <row r="9119">
          <cell r="W9119">
            <v>0</v>
          </cell>
          <cell r="AB9119" t="str">
            <v>line item not tagged</v>
          </cell>
        </row>
        <row r="9120">
          <cell r="W9120">
            <v>0</v>
          </cell>
          <cell r="AB9120" t="str">
            <v>line item not tagged</v>
          </cell>
        </row>
        <row r="9121">
          <cell r="W9121">
            <v>0</v>
          </cell>
          <cell r="AB9121" t="str">
            <v>line item not tagged</v>
          </cell>
        </row>
        <row r="9122">
          <cell r="W9122">
            <v>0</v>
          </cell>
          <cell r="AB9122" t="str">
            <v>line item not tagged</v>
          </cell>
        </row>
        <row r="9123">
          <cell r="W9123">
            <v>0</v>
          </cell>
          <cell r="AB9123" t="str">
            <v>line item not tagged</v>
          </cell>
        </row>
        <row r="9124">
          <cell r="W9124">
            <v>0</v>
          </cell>
          <cell r="AB9124" t="str">
            <v>line item not tagged</v>
          </cell>
        </row>
        <row r="9125">
          <cell r="W9125">
            <v>0</v>
          </cell>
          <cell r="AB9125" t="str">
            <v>line item not tagged</v>
          </cell>
        </row>
        <row r="9126">
          <cell r="W9126">
            <v>0</v>
          </cell>
          <cell r="AB9126" t="str">
            <v>line item not tagged</v>
          </cell>
        </row>
        <row r="9127">
          <cell r="W9127">
            <v>0</v>
          </cell>
          <cell r="AB9127" t="str">
            <v>line item not tagged</v>
          </cell>
        </row>
        <row r="9128">
          <cell r="W9128">
            <v>0</v>
          </cell>
          <cell r="AB9128" t="str">
            <v>line item not tagged</v>
          </cell>
        </row>
        <row r="9129">
          <cell r="W9129">
            <v>0</v>
          </cell>
          <cell r="AB9129" t="str">
            <v>line item not tagged</v>
          </cell>
        </row>
        <row r="9130">
          <cell r="W9130">
            <v>0</v>
          </cell>
          <cell r="AB9130" t="str">
            <v>line item not tagged</v>
          </cell>
        </row>
        <row r="9131">
          <cell r="W9131">
            <v>0</v>
          </cell>
          <cell r="AB9131" t="str">
            <v>line item not tagged</v>
          </cell>
        </row>
        <row r="9132">
          <cell r="W9132">
            <v>0</v>
          </cell>
          <cell r="AB9132" t="str">
            <v>line item not tagged</v>
          </cell>
        </row>
        <row r="9133">
          <cell r="W9133">
            <v>0</v>
          </cell>
          <cell r="AB9133" t="str">
            <v>line item not tagged</v>
          </cell>
        </row>
        <row r="9134">
          <cell r="W9134">
            <v>0</v>
          </cell>
          <cell r="AB9134" t="str">
            <v>line item not tagged</v>
          </cell>
        </row>
        <row r="9135">
          <cell r="W9135">
            <v>0</v>
          </cell>
          <cell r="AB9135" t="str">
            <v>line item not tagged</v>
          </cell>
        </row>
        <row r="9136">
          <cell r="W9136">
            <v>0</v>
          </cell>
          <cell r="AB9136" t="str">
            <v>line item not tagged</v>
          </cell>
        </row>
        <row r="9137">
          <cell r="W9137">
            <v>0</v>
          </cell>
          <cell r="AB9137" t="str">
            <v>line item not tagged</v>
          </cell>
        </row>
        <row r="9138">
          <cell r="W9138">
            <v>0</v>
          </cell>
          <cell r="AB9138" t="str">
            <v>line item not tagged</v>
          </cell>
        </row>
        <row r="9139">
          <cell r="W9139">
            <v>0</v>
          </cell>
          <cell r="AB9139" t="str">
            <v>line item not tagged</v>
          </cell>
        </row>
        <row r="9140">
          <cell r="W9140">
            <v>0</v>
          </cell>
          <cell r="AB9140" t="str">
            <v>line item not tagged</v>
          </cell>
        </row>
        <row r="9141">
          <cell r="W9141">
            <v>0</v>
          </cell>
          <cell r="AB9141" t="str">
            <v>line item not tagged</v>
          </cell>
        </row>
        <row r="9142">
          <cell r="W9142">
            <v>0</v>
          </cell>
          <cell r="AB9142" t="str">
            <v>line item not tagged</v>
          </cell>
        </row>
        <row r="9143">
          <cell r="W9143">
            <v>0</v>
          </cell>
          <cell r="AB9143" t="str">
            <v>line item not tagged</v>
          </cell>
        </row>
        <row r="9144">
          <cell r="W9144">
            <v>0</v>
          </cell>
          <cell r="AB9144" t="str">
            <v>line item not tagged</v>
          </cell>
        </row>
        <row r="9145">
          <cell r="W9145">
            <v>0</v>
          </cell>
          <cell r="AB9145" t="str">
            <v>line item not tagged</v>
          </cell>
        </row>
        <row r="9146">
          <cell r="W9146">
            <v>0</v>
          </cell>
          <cell r="AB9146" t="str">
            <v>line item not tagged</v>
          </cell>
        </row>
        <row r="9147">
          <cell r="W9147">
            <v>0</v>
          </cell>
          <cell r="AB9147" t="str">
            <v>line item not tagged</v>
          </cell>
        </row>
        <row r="9148">
          <cell r="W9148">
            <v>0</v>
          </cell>
          <cell r="AB9148" t="str">
            <v>line item not tagged</v>
          </cell>
        </row>
        <row r="9149">
          <cell r="W9149">
            <v>0</v>
          </cell>
          <cell r="AB9149" t="str">
            <v>line item not tagged</v>
          </cell>
        </row>
        <row r="9150">
          <cell r="W9150">
            <v>0</v>
          </cell>
          <cell r="AB9150" t="str">
            <v>line item not tagged</v>
          </cell>
        </row>
        <row r="9151">
          <cell r="W9151">
            <v>0</v>
          </cell>
          <cell r="AB9151" t="str">
            <v>line item not tagged</v>
          </cell>
        </row>
        <row r="9152">
          <cell r="W9152">
            <v>0</v>
          </cell>
          <cell r="AB9152" t="str">
            <v>line item not tagged</v>
          </cell>
        </row>
        <row r="9153">
          <cell r="W9153">
            <v>0</v>
          </cell>
          <cell r="AB9153" t="str">
            <v>line item not tagged</v>
          </cell>
        </row>
        <row r="9154">
          <cell r="W9154">
            <v>0</v>
          </cell>
          <cell r="AB9154" t="str">
            <v>line item not tagged</v>
          </cell>
        </row>
        <row r="9155">
          <cell r="W9155">
            <v>0</v>
          </cell>
          <cell r="AB9155" t="str">
            <v>line item not tagged</v>
          </cell>
        </row>
        <row r="9156">
          <cell r="W9156">
            <v>0</v>
          </cell>
          <cell r="AB9156" t="str">
            <v>line item not tagged</v>
          </cell>
        </row>
        <row r="9157">
          <cell r="W9157">
            <v>0</v>
          </cell>
          <cell r="AB9157" t="str">
            <v>line item not tagged</v>
          </cell>
        </row>
        <row r="9158">
          <cell r="W9158">
            <v>0</v>
          </cell>
          <cell r="AB9158" t="str">
            <v>line item not tagged</v>
          </cell>
        </row>
        <row r="9159">
          <cell r="W9159">
            <v>0</v>
          </cell>
          <cell r="AB9159" t="str">
            <v>line item not tagged</v>
          </cell>
        </row>
        <row r="9160">
          <cell r="W9160">
            <v>0</v>
          </cell>
          <cell r="AB9160" t="str">
            <v>line item not tagged</v>
          </cell>
        </row>
        <row r="9161">
          <cell r="W9161">
            <v>0</v>
          </cell>
          <cell r="AB9161" t="str">
            <v>line item not tagged</v>
          </cell>
        </row>
        <row r="9162">
          <cell r="W9162">
            <v>0</v>
          </cell>
          <cell r="AB9162" t="str">
            <v>line item not tagged</v>
          </cell>
        </row>
        <row r="9163">
          <cell r="W9163">
            <v>0</v>
          </cell>
          <cell r="AB9163" t="str">
            <v>line item not tagged</v>
          </cell>
        </row>
        <row r="9164">
          <cell r="W9164">
            <v>0</v>
          </cell>
          <cell r="AB9164" t="str">
            <v>line item not tagged</v>
          </cell>
        </row>
        <row r="9165">
          <cell r="W9165">
            <v>0</v>
          </cell>
          <cell r="AB9165" t="str">
            <v>line item not tagged</v>
          </cell>
        </row>
        <row r="9166">
          <cell r="W9166">
            <v>0</v>
          </cell>
          <cell r="AB9166" t="str">
            <v>line item not tagged</v>
          </cell>
        </row>
        <row r="9167">
          <cell r="W9167">
            <v>0</v>
          </cell>
          <cell r="AB9167" t="str">
            <v>line item not tagged</v>
          </cell>
        </row>
        <row r="9168">
          <cell r="W9168">
            <v>0</v>
          </cell>
          <cell r="AB9168" t="str">
            <v>line item not tagged</v>
          </cell>
        </row>
        <row r="9169">
          <cell r="W9169">
            <v>0</v>
          </cell>
          <cell r="AB9169" t="str">
            <v>line item not tagged</v>
          </cell>
        </row>
        <row r="9170">
          <cell r="W9170">
            <v>0</v>
          </cell>
          <cell r="AB9170" t="str">
            <v>line item not tagged</v>
          </cell>
        </row>
        <row r="9171">
          <cell r="W9171">
            <v>0</v>
          </cell>
          <cell r="AB9171" t="str">
            <v>line item not tagged</v>
          </cell>
        </row>
        <row r="9172">
          <cell r="W9172">
            <v>0</v>
          </cell>
          <cell r="AB9172" t="str">
            <v>line item not tagged</v>
          </cell>
        </row>
        <row r="9173">
          <cell r="W9173">
            <v>0</v>
          </cell>
          <cell r="AB9173" t="str">
            <v>line item not tagged</v>
          </cell>
        </row>
        <row r="9174">
          <cell r="W9174">
            <v>0</v>
          </cell>
          <cell r="AB9174" t="str">
            <v>line item not tagged</v>
          </cell>
        </row>
        <row r="9175">
          <cell r="W9175">
            <v>0</v>
          </cell>
          <cell r="AB9175" t="str">
            <v>line item not tagged</v>
          </cell>
        </row>
        <row r="9176">
          <cell r="W9176">
            <v>0</v>
          </cell>
          <cell r="AB9176" t="str">
            <v>line item not tagged</v>
          </cell>
        </row>
        <row r="9177">
          <cell r="W9177">
            <v>0</v>
          </cell>
          <cell r="AB9177" t="str">
            <v>line item not tagged</v>
          </cell>
        </row>
        <row r="9178">
          <cell r="W9178">
            <v>0</v>
          </cell>
          <cell r="AB9178" t="str">
            <v>line item not tagged</v>
          </cell>
        </row>
        <row r="9179">
          <cell r="W9179">
            <v>0</v>
          </cell>
          <cell r="AB9179" t="str">
            <v>line item not tagged</v>
          </cell>
        </row>
        <row r="9180">
          <cell r="W9180">
            <v>0</v>
          </cell>
          <cell r="AB9180" t="str">
            <v>line item not tagged</v>
          </cell>
        </row>
        <row r="9181">
          <cell r="W9181">
            <v>0</v>
          </cell>
          <cell r="AB9181" t="str">
            <v>line item not tagged</v>
          </cell>
        </row>
        <row r="9182">
          <cell r="W9182">
            <v>0</v>
          </cell>
          <cell r="AB9182" t="str">
            <v>line item not tagged</v>
          </cell>
        </row>
        <row r="9183">
          <cell r="W9183">
            <v>0</v>
          </cell>
          <cell r="AB9183" t="str">
            <v>line item not tagged</v>
          </cell>
        </row>
        <row r="9184">
          <cell r="W9184">
            <v>0</v>
          </cell>
          <cell r="AB9184" t="str">
            <v>line item not tagged</v>
          </cell>
        </row>
        <row r="9185">
          <cell r="W9185">
            <v>0</v>
          </cell>
          <cell r="AB9185" t="str">
            <v>line item not tagged</v>
          </cell>
        </row>
        <row r="9186">
          <cell r="W9186">
            <v>0</v>
          </cell>
          <cell r="AB9186" t="str">
            <v>line item not tagged</v>
          </cell>
        </row>
        <row r="9187">
          <cell r="W9187">
            <v>0</v>
          </cell>
          <cell r="AB9187" t="str">
            <v>line item not tagged</v>
          </cell>
        </row>
        <row r="9188">
          <cell r="W9188">
            <v>0</v>
          </cell>
          <cell r="AB9188" t="str">
            <v>line item not tagged</v>
          </cell>
        </row>
        <row r="9189">
          <cell r="W9189">
            <v>0</v>
          </cell>
          <cell r="AB9189" t="str">
            <v>line item not tagged</v>
          </cell>
        </row>
        <row r="9190">
          <cell r="W9190">
            <v>0</v>
          </cell>
          <cell r="AB9190" t="str">
            <v>line item not tagged</v>
          </cell>
        </row>
        <row r="9191">
          <cell r="W9191">
            <v>0</v>
          </cell>
          <cell r="AB9191" t="str">
            <v>line item not tagged</v>
          </cell>
        </row>
        <row r="9192">
          <cell r="W9192">
            <v>0</v>
          </cell>
          <cell r="AB9192" t="str">
            <v>line item not tagged</v>
          </cell>
        </row>
        <row r="9193">
          <cell r="W9193">
            <v>0</v>
          </cell>
          <cell r="AB9193" t="str">
            <v>line item not tagged</v>
          </cell>
        </row>
        <row r="9194">
          <cell r="W9194">
            <v>0</v>
          </cell>
          <cell r="AB9194" t="str">
            <v>line item not tagged</v>
          </cell>
        </row>
        <row r="9195">
          <cell r="W9195">
            <v>0</v>
          </cell>
          <cell r="AB9195" t="str">
            <v>line item not tagged</v>
          </cell>
        </row>
        <row r="9196">
          <cell r="W9196">
            <v>0</v>
          </cell>
          <cell r="AB9196" t="str">
            <v>line item not tagged</v>
          </cell>
        </row>
        <row r="9197">
          <cell r="W9197">
            <v>0</v>
          </cell>
          <cell r="AB9197" t="str">
            <v>line item not tagged</v>
          </cell>
        </row>
        <row r="9198">
          <cell r="W9198">
            <v>0</v>
          </cell>
          <cell r="AB9198" t="str">
            <v>line item not tagged</v>
          </cell>
        </row>
        <row r="9199">
          <cell r="W9199">
            <v>0</v>
          </cell>
          <cell r="AB9199" t="str">
            <v>line item not tagged</v>
          </cell>
        </row>
        <row r="9200">
          <cell r="W9200">
            <v>0</v>
          </cell>
          <cell r="AB9200" t="str">
            <v>line item not tagged</v>
          </cell>
        </row>
        <row r="9201">
          <cell r="W9201">
            <v>0</v>
          </cell>
          <cell r="AB9201" t="str">
            <v>line item not tagged</v>
          </cell>
        </row>
        <row r="9202">
          <cell r="W9202">
            <v>0</v>
          </cell>
          <cell r="AB9202" t="str">
            <v>line item not tagged</v>
          </cell>
        </row>
        <row r="9203">
          <cell r="W9203">
            <v>0</v>
          </cell>
          <cell r="AB9203" t="str">
            <v>line item not tagged</v>
          </cell>
        </row>
        <row r="9204">
          <cell r="W9204">
            <v>0</v>
          </cell>
          <cell r="AB9204" t="str">
            <v>line item not tagged</v>
          </cell>
        </row>
        <row r="9205">
          <cell r="W9205">
            <v>0</v>
          </cell>
          <cell r="AB9205" t="str">
            <v>line item not tagged</v>
          </cell>
        </row>
        <row r="9206">
          <cell r="W9206">
            <v>0</v>
          </cell>
          <cell r="AB9206" t="str">
            <v>line item not tagged</v>
          </cell>
        </row>
        <row r="9207">
          <cell r="W9207">
            <v>0</v>
          </cell>
          <cell r="AB9207" t="str">
            <v>line item not tagged</v>
          </cell>
        </row>
        <row r="9208">
          <cell r="W9208">
            <v>0</v>
          </cell>
          <cell r="AB9208" t="str">
            <v>line item not tagged</v>
          </cell>
        </row>
        <row r="9209">
          <cell r="W9209">
            <v>0</v>
          </cell>
          <cell r="AB9209" t="str">
            <v>line item not tagged</v>
          </cell>
        </row>
        <row r="9210">
          <cell r="W9210">
            <v>0</v>
          </cell>
          <cell r="AB9210" t="str">
            <v>line item not tagged</v>
          </cell>
        </row>
        <row r="9211">
          <cell r="W9211">
            <v>0</v>
          </cell>
          <cell r="AB9211" t="str">
            <v>line item not tagged</v>
          </cell>
        </row>
        <row r="9212">
          <cell r="W9212">
            <v>0</v>
          </cell>
          <cell r="AB9212" t="str">
            <v>line item not tagged</v>
          </cell>
        </row>
        <row r="9213">
          <cell r="W9213">
            <v>0</v>
          </cell>
          <cell r="AB9213" t="str">
            <v>line item not tagged</v>
          </cell>
        </row>
        <row r="9214">
          <cell r="W9214">
            <v>0</v>
          </cell>
          <cell r="AB9214" t="str">
            <v>line item not tagged</v>
          </cell>
        </row>
        <row r="9215">
          <cell r="W9215">
            <v>0</v>
          </cell>
          <cell r="AB9215" t="str">
            <v>line item not tagged</v>
          </cell>
        </row>
        <row r="9216">
          <cell r="W9216">
            <v>0</v>
          </cell>
          <cell r="AB9216" t="str">
            <v>line item not tagged</v>
          </cell>
        </row>
        <row r="9217">
          <cell r="W9217">
            <v>0</v>
          </cell>
          <cell r="AB9217" t="str">
            <v>line item not tagged</v>
          </cell>
        </row>
        <row r="9218">
          <cell r="W9218">
            <v>0</v>
          </cell>
          <cell r="AB9218" t="str">
            <v>line item not tagged</v>
          </cell>
        </row>
        <row r="9219">
          <cell r="W9219">
            <v>0</v>
          </cell>
          <cell r="AB9219" t="str">
            <v>line item not tagged</v>
          </cell>
        </row>
        <row r="9220">
          <cell r="W9220">
            <v>0</v>
          </cell>
          <cell r="AB9220" t="str">
            <v>line item not tagged</v>
          </cell>
        </row>
        <row r="9221">
          <cell r="W9221">
            <v>0</v>
          </cell>
          <cell r="AB9221" t="str">
            <v>line item not tagged</v>
          </cell>
        </row>
        <row r="9222">
          <cell r="W9222">
            <v>0</v>
          </cell>
          <cell r="AB9222" t="str">
            <v>line item not tagged</v>
          </cell>
        </row>
        <row r="9223">
          <cell r="W9223">
            <v>0</v>
          </cell>
          <cell r="AB9223" t="str">
            <v>line item not tagged</v>
          </cell>
        </row>
        <row r="9224">
          <cell r="W9224">
            <v>0</v>
          </cell>
          <cell r="AB9224" t="str">
            <v>line item not tagged</v>
          </cell>
        </row>
        <row r="9225">
          <cell r="W9225">
            <v>0</v>
          </cell>
          <cell r="AB9225" t="str">
            <v>line item not tagged</v>
          </cell>
        </row>
        <row r="9226">
          <cell r="W9226">
            <v>0</v>
          </cell>
          <cell r="AB9226" t="str">
            <v>line item not tagged</v>
          </cell>
        </row>
        <row r="9227">
          <cell r="W9227">
            <v>0</v>
          </cell>
          <cell r="AB9227" t="str">
            <v>line item not tagged</v>
          </cell>
        </row>
        <row r="9228">
          <cell r="W9228">
            <v>0</v>
          </cell>
          <cell r="AB9228" t="str">
            <v>line item not tagged</v>
          </cell>
        </row>
        <row r="9229">
          <cell r="W9229">
            <v>0</v>
          </cell>
          <cell r="AB9229" t="str">
            <v>line item not tagged</v>
          </cell>
        </row>
        <row r="9230">
          <cell r="W9230">
            <v>0</v>
          </cell>
          <cell r="AB9230" t="str">
            <v>line item not tagged</v>
          </cell>
        </row>
        <row r="9231">
          <cell r="W9231">
            <v>0</v>
          </cell>
          <cell r="AB9231" t="str">
            <v>line item not tagged</v>
          </cell>
        </row>
        <row r="9232">
          <cell r="W9232">
            <v>0</v>
          </cell>
          <cell r="AB9232" t="str">
            <v>line item not tagged</v>
          </cell>
        </row>
        <row r="9233">
          <cell r="W9233">
            <v>0</v>
          </cell>
          <cell r="AB9233" t="str">
            <v>line item not tagged</v>
          </cell>
        </row>
        <row r="9234">
          <cell r="W9234">
            <v>0</v>
          </cell>
          <cell r="AB9234" t="str">
            <v>line item not tagged</v>
          </cell>
        </row>
        <row r="9235">
          <cell r="W9235">
            <v>0</v>
          </cell>
          <cell r="AB9235" t="str">
            <v>line item not tagged</v>
          </cell>
        </row>
        <row r="9236">
          <cell r="W9236">
            <v>0</v>
          </cell>
          <cell r="AB9236" t="str">
            <v>line item not tagged</v>
          </cell>
        </row>
        <row r="9237">
          <cell r="W9237">
            <v>0</v>
          </cell>
          <cell r="AB9237" t="str">
            <v>line item not tagged</v>
          </cell>
        </row>
        <row r="9238">
          <cell r="W9238">
            <v>0</v>
          </cell>
          <cell r="AB9238" t="str">
            <v>line item not tagged</v>
          </cell>
        </row>
        <row r="9239">
          <cell r="W9239">
            <v>0</v>
          </cell>
          <cell r="AB9239" t="str">
            <v>line item not tagged</v>
          </cell>
        </row>
        <row r="9240">
          <cell r="W9240">
            <v>0</v>
          </cell>
          <cell r="AB9240" t="str">
            <v>line item not tagged</v>
          </cell>
        </row>
        <row r="9241">
          <cell r="W9241">
            <v>0</v>
          </cell>
          <cell r="AB9241" t="str">
            <v>line item not tagged</v>
          </cell>
        </row>
        <row r="9242">
          <cell r="W9242">
            <v>0</v>
          </cell>
          <cell r="AB9242" t="str">
            <v>line item not tagged</v>
          </cell>
        </row>
        <row r="9243">
          <cell r="W9243">
            <v>0</v>
          </cell>
          <cell r="AB9243" t="str">
            <v>line item not tagged</v>
          </cell>
        </row>
        <row r="9244">
          <cell r="W9244">
            <v>0</v>
          </cell>
          <cell r="AB9244" t="str">
            <v>line item not tagged</v>
          </cell>
        </row>
        <row r="9245">
          <cell r="W9245">
            <v>0</v>
          </cell>
          <cell r="AB9245" t="str">
            <v>line item not tagged</v>
          </cell>
        </row>
        <row r="9246">
          <cell r="W9246">
            <v>0</v>
          </cell>
          <cell r="AB9246" t="str">
            <v>line item not tagged</v>
          </cell>
        </row>
        <row r="9247">
          <cell r="W9247">
            <v>0</v>
          </cell>
          <cell r="AB9247" t="str">
            <v>line item not tagged</v>
          </cell>
        </row>
        <row r="9248">
          <cell r="W9248">
            <v>0</v>
          </cell>
          <cell r="AB9248" t="str">
            <v>line item not tagged</v>
          </cell>
        </row>
        <row r="9249">
          <cell r="W9249">
            <v>0</v>
          </cell>
          <cell r="AB9249" t="str">
            <v>line item not tagged</v>
          </cell>
        </row>
        <row r="9250">
          <cell r="W9250">
            <v>0</v>
          </cell>
          <cell r="AB9250" t="str">
            <v>line item not tagged</v>
          </cell>
        </row>
        <row r="9251">
          <cell r="W9251">
            <v>0</v>
          </cell>
          <cell r="AB9251" t="str">
            <v>line item not tagged</v>
          </cell>
        </row>
        <row r="9252">
          <cell r="W9252">
            <v>0</v>
          </cell>
          <cell r="AB9252" t="str">
            <v>line item not tagged</v>
          </cell>
        </row>
        <row r="9253">
          <cell r="W9253">
            <v>0</v>
          </cell>
          <cell r="AB9253" t="str">
            <v>line item not tagged</v>
          </cell>
        </row>
        <row r="9254">
          <cell r="W9254">
            <v>0</v>
          </cell>
          <cell r="AB9254" t="str">
            <v>line item not tagged</v>
          </cell>
        </row>
        <row r="9255">
          <cell r="W9255">
            <v>0</v>
          </cell>
          <cell r="AB9255" t="str">
            <v>line item not tagged</v>
          </cell>
        </row>
        <row r="9256">
          <cell r="W9256">
            <v>0</v>
          </cell>
          <cell r="AB9256" t="str">
            <v>line item not tagged</v>
          </cell>
        </row>
        <row r="9257">
          <cell r="W9257">
            <v>0</v>
          </cell>
          <cell r="AB9257" t="str">
            <v>line item not tagged</v>
          </cell>
        </row>
        <row r="9258">
          <cell r="W9258">
            <v>0</v>
          </cell>
          <cell r="AB9258" t="str">
            <v>line item not tagged</v>
          </cell>
        </row>
        <row r="9259">
          <cell r="W9259">
            <v>0</v>
          </cell>
          <cell r="AB9259" t="str">
            <v>line item not tagged</v>
          </cell>
        </row>
        <row r="9260">
          <cell r="W9260">
            <v>0</v>
          </cell>
          <cell r="AB9260" t="str">
            <v>line item not tagged</v>
          </cell>
        </row>
        <row r="9261">
          <cell r="W9261">
            <v>0</v>
          </cell>
          <cell r="AB9261" t="str">
            <v>line item not tagged</v>
          </cell>
        </row>
        <row r="9262">
          <cell r="W9262">
            <v>0</v>
          </cell>
          <cell r="AB9262" t="str">
            <v>line item not tagged</v>
          </cell>
        </row>
        <row r="9263">
          <cell r="W9263">
            <v>0</v>
          </cell>
          <cell r="AB9263" t="str">
            <v>line item not tagged</v>
          </cell>
        </row>
        <row r="9264">
          <cell r="W9264">
            <v>0</v>
          </cell>
          <cell r="AB9264" t="str">
            <v>line item not tagged</v>
          </cell>
        </row>
        <row r="9265">
          <cell r="W9265">
            <v>0</v>
          </cell>
          <cell r="AB9265" t="str">
            <v>line item not tagged</v>
          </cell>
        </row>
        <row r="9266">
          <cell r="W9266">
            <v>0</v>
          </cell>
          <cell r="AB9266" t="str">
            <v>line item not tagged</v>
          </cell>
        </row>
        <row r="9267">
          <cell r="W9267">
            <v>0</v>
          </cell>
          <cell r="AB9267" t="str">
            <v>line item not tagged</v>
          </cell>
        </row>
        <row r="9268">
          <cell r="W9268">
            <v>0</v>
          </cell>
          <cell r="AB9268" t="str">
            <v>line item not tagged</v>
          </cell>
        </row>
        <row r="9269">
          <cell r="W9269">
            <v>0</v>
          </cell>
          <cell r="AB9269" t="str">
            <v>line item not tagged</v>
          </cell>
        </row>
        <row r="9270">
          <cell r="W9270">
            <v>0</v>
          </cell>
          <cell r="AB9270" t="str">
            <v>line item not tagged</v>
          </cell>
        </row>
        <row r="9271">
          <cell r="W9271">
            <v>0</v>
          </cell>
          <cell r="AB9271" t="str">
            <v>line item not tagged</v>
          </cell>
        </row>
        <row r="9272">
          <cell r="W9272">
            <v>0</v>
          </cell>
          <cell r="AB9272" t="str">
            <v>line item not tagged</v>
          </cell>
        </row>
        <row r="9273">
          <cell r="W9273">
            <v>0</v>
          </cell>
          <cell r="AB9273" t="str">
            <v>line item not tagged</v>
          </cell>
        </row>
        <row r="9274">
          <cell r="W9274">
            <v>0</v>
          </cell>
          <cell r="AB9274" t="str">
            <v>line item not tagged</v>
          </cell>
        </row>
        <row r="9275">
          <cell r="W9275">
            <v>0</v>
          </cell>
          <cell r="AB9275" t="str">
            <v>line item not tagged</v>
          </cell>
        </row>
        <row r="9276">
          <cell r="W9276">
            <v>0</v>
          </cell>
          <cell r="AB9276" t="str">
            <v>line item not tagged</v>
          </cell>
        </row>
        <row r="9277">
          <cell r="W9277">
            <v>0</v>
          </cell>
          <cell r="AB9277" t="str">
            <v>line item not tagged</v>
          </cell>
        </row>
        <row r="9278">
          <cell r="W9278">
            <v>0</v>
          </cell>
          <cell r="AB9278" t="str">
            <v>line item not tagged</v>
          </cell>
        </row>
        <row r="9279">
          <cell r="W9279">
            <v>0</v>
          </cell>
          <cell r="AB9279" t="str">
            <v>line item not tagged</v>
          </cell>
        </row>
        <row r="9280">
          <cell r="W9280">
            <v>0</v>
          </cell>
          <cell r="AB9280" t="str">
            <v>line item not tagged</v>
          </cell>
        </row>
        <row r="9281">
          <cell r="W9281">
            <v>0</v>
          </cell>
          <cell r="AB9281" t="str">
            <v>line item not tagged</v>
          </cell>
        </row>
        <row r="9282">
          <cell r="W9282">
            <v>0</v>
          </cell>
          <cell r="AB9282" t="str">
            <v>line item not tagged</v>
          </cell>
        </row>
        <row r="9283">
          <cell r="W9283">
            <v>0</v>
          </cell>
          <cell r="AB9283" t="str">
            <v>line item not tagged</v>
          </cell>
        </row>
        <row r="9284">
          <cell r="W9284">
            <v>0</v>
          </cell>
          <cell r="AB9284" t="str">
            <v>line item not tagged</v>
          </cell>
        </row>
        <row r="9285">
          <cell r="W9285">
            <v>0</v>
          </cell>
          <cell r="AB9285" t="str">
            <v>line item not tagged</v>
          </cell>
        </row>
        <row r="9286">
          <cell r="W9286">
            <v>0</v>
          </cell>
          <cell r="AB9286" t="str">
            <v>line item not tagged</v>
          </cell>
        </row>
        <row r="9287">
          <cell r="W9287">
            <v>0</v>
          </cell>
          <cell r="AB9287" t="str">
            <v>line item not tagged</v>
          </cell>
        </row>
        <row r="9288">
          <cell r="W9288">
            <v>0</v>
          </cell>
          <cell r="AB9288" t="str">
            <v>line item not tagged</v>
          </cell>
        </row>
        <row r="9289">
          <cell r="W9289">
            <v>0</v>
          </cell>
          <cell r="AB9289" t="str">
            <v>line item not tagged</v>
          </cell>
        </row>
        <row r="9290">
          <cell r="W9290">
            <v>0</v>
          </cell>
          <cell r="AB9290" t="str">
            <v>line item not tagged</v>
          </cell>
        </row>
        <row r="9291">
          <cell r="W9291">
            <v>0</v>
          </cell>
          <cell r="AB9291" t="str">
            <v>line item not tagged</v>
          </cell>
        </row>
        <row r="9292">
          <cell r="W9292">
            <v>0</v>
          </cell>
          <cell r="AB9292" t="str">
            <v>line item not tagged</v>
          </cell>
        </row>
        <row r="9293">
          <cell r="W9293">
            <v>0</v>
          </cell>
          <cell r="AB9293" t="str">
            <v>line item not tagged</v>
          </cell>
        </row>
        <row r="9294">
          <cell r="W9294">
            <v>0</v>
          </cell>
          <cell r="AB9294" t="str">
            <v>line item not tagged</v>
          </cell>
        </row>
        <row r="9295">
          <cell r="W9295">
            <v>0</v>
          </cell>
          <cell r="AB9295" t="str">
            <v>line item not tagged</v>
          </cell>
        </row>
        <row r="9296">
          <cell r="W9296">
            <v>0</v>
          </cell>
          <cell r="AB9296" t="str">
            <v>line item not tagged</v>
          </cell>
        </row>
        <row r="9297">
          <cell r="W9297">
            <v>0</v>
          </cell>
          <cell r="AB9297" t="str">
            <v>line item not tagged</v>
          </cell>
        </row>
        <row r="9298">
          <cell r="W9298">
            <v>0</v>
          </cell>
          <cell r="AB9298" t="str">
            <v>line item not tagged</v>
          </cell>
        </row>
        <row r="9299">
          <cell r="W9299">
            <v>0</v>
          </cell>
          <cell r="AB9299" t="str">
            <v>line item not tagged</v>
          </cell>
        </row>
        <row r="9300">
          <cell r="W9300">
            <v>0</v>
          </cell>
          <cell r="AB9300" t="str">
            <v>line item not tagged</v>
          </cell>
        </row>
        <row r="9301">
          <cell r="W9301">
            <v>0</v>
          </cell>
          <cell r="AB9301" t="str">
            <v>line item not tagged</v>
          </cell>
        </row>
        <row r="9302">
          <cell r="W9302">
            <v>0</v>
          </cell>
          <cell r="AB9302" t="str">
            <v>line item not tagged</v>
          </cell>
        </row>
        <row r="9303">
          <cell r="W9303">
            <v>0</v>
          </cell>
          <cell r="AB9303" t="str">
            <v>line item not tagged</v>
          </cell>
        </row>
        <row r="9304">
          <cell r="W9304">
            <v>0</v>
          </cell>
          <cell r="AB9304" t="str">
            <v>line item not tagged</v>
          </cell>
        </row>
        <row r="9305">
          <cell r="W9305">
            <v>0</v>
          </cell>
          <cell r="AB9305" t="str">
            <v>line item not tagged</v>
          </cell>
        </row>
        <row r="9306">
          <cell r="W9306">
            <v>0</v>
          </cell>
          <cell r="AB9306" t="str">
            <v>line item not tagged</v>
          </cell>
        </row>
        <row r="9307">
          <cell r="W9307">
            <v>0</v>
          </cell>
          <cell r="AB9307" t="str">
            <v>line item not tagged</v>
          </cell>
        </row>
        <row r="9308">
          <cell r="W9308">
            <v>0</v>
          </cell>
          <cell r="AB9308" t="str">
            <v>line item not tagged</v>
          </cell>
        </row>
        <row r="9309">
          <cell r="W9309">
            <v>0</v>
          </cell>
          <cell r="AB9309" t="str">
            <v>line item not tagged</v>
          </cell>
        </row>
        <row r="9310">
          <cell r="W9310">
            <v>0</v>
          </cell>
          <cell r="AB9310" t="str">
            <v>line item not tagged</v>
          </cell>
        </row>
        <row r="9311">
          <cell r="W9311">
            <v>0</v>
          </cell>
          <cell r="AB9311" t="str">
            <v>line item not tagged</v>
          </cell>
        </row>
        <row r="9312">
          <cell r="W9312">
            <v>0</v>
          </cell>
          <cell r="AB9312" t="str">
            <v>line item not tagged</v>
          </cell>
        </row>
        <row r="9313">
          <cell r="W9313">
            <v>0</v>
          </cell>
          <cell r="AB9313" t="str">
            <v>line item not tagged</v>
          </cell>
        </row>
        <row r="9314">
          <cell r="W9314">
            <v>0</v>
          </cell>
          <cell r="AB9314" t="str">
            <v>line item not tagged</v>
          </cell>
        </row>
        <row r="9315">
          <cell r="W9315">
            <v>0</v>
          </cell>
          <cell r="AB9315" t="str">
            <v>line item not tagged</v>
          </cell>
        </row>
        <row r="9316">
          <cell r="W9316">
            <v>0</v>
          </cell>
          <cell r="AB9316" t="str">
            <v>line item not tagged</v>
          </cell>
        </row>
        <row r="9317">
          <cell r="W9317">
            <v>0</v>
          </cell>
          <cell r="AB9317" t="str">
            <v>line item not tagged</v>
          </cell>
        </row>
        <row r="9318">
          <cell r="W9318">
            <v>0</v>
          </cell>
          <cell r="AB9318" t="str">
            <v>line item not tagged</v>
          </cell>
        </row>
        <row r="9319">
          <cell r="W9319">
            <v>0</v>
          </cell>
          <cell r="AB9319" t="str">
            <v>line item not tagged</v>
          </cell>
        </row>
        <row r="9320">
          <cell r="W9320">
            <v>0</v>
          </cell>
          <cell r="AB9320" t="str">
            <v>line item not tagged</v>
          </cell>
        </row>
        <row r="9321">
          <cell r="W9321">
            <v>0</v>
          </cell>
          <cell r="AB9321" t="str">
            <v>line item not tagged</v>
          </cell>
        </row>
        <row r="9322">
          <cell r="W9322">
            <v>0</v>
          </cell>
          <cell r="AB9322" t="str">
            <v>line item not tagged</v>
          </cell>
        </row>
        <row r="9323">
          <cell r="W9323">
            <v>0</v>
          </cell>
          <cell r="AB9323" t="str">
            <v>line item not tagged</v>
          </cell>
        </row>
        <row r="9324">
          <cell r="W9324">
            <v>0</v>
          </cell>
          <cell r="AB9324" t="str">
            <v>line item not tagged</v>
          </cell>
        </row>
        <row r="9325">
          <cell r="W9325">
            <v>0</v>
          </cell>
          <cell r="AB9325" t="str">
            <v>line item not tagged</v>
          </cell>
        </row>
        <row r="9326">
          <cell r="W9326">
            <v>0</v>
          </cell>
          <cell r="AB9326" t="str">
            <v>line item not tagged</v>
          </cell>
        </row>
        <row r="9327">
          <cell r="W9327">
            <v>0</v>
          </cell>
          <cell r="AB9327" t="str">
            <v>line item not tagged</v>
          </cell>
        </row>
        <row r="9328">
          <cell r="W9328">
            <v>0</v>
          </cell>
          <cell r="AB9328" t="str">
            <v>line item not tagged</v>
          </cell>
        </row>
        <row r="9329">
          <cell r="W9329">
            <v>0</v>
          </cell>
          <cell r="AB9329" t="str">
            <v>line item not tagged</v>
          </cell>
        </row>
        <row r="9330">
          <cell r="W9330">
            <v>0</v>
          </cell>
          <cell r="AB9330" t="str">
            <v>line item not tagged</v>
          </cell>
        </row>
        <row r="9331">
          <cell r="W9331">
            <v>0</v>
          </cell>
          <cell r="AB9331" t="str">
            <v>line item not tagged</v>
          </cell>
        </row>
        <row r="9332">
          <cell r="W9332">
            <v>0</v>
          </cell>
          <cell r="AB9332" t="str">
            <v>line item not tagged</v>
          </cell>
        </row>
        <row r="9333">
          <cell r="W9333">
            <v>0</v>
          </cell>
          <cell r="AB9333" t="str">
            <v>line item not tagged</v>
          </cell>
        </row>
        <row r="9334">
          <cell r="W9334">
            <v>0</v>
          </cell>
          <cell r="AB9334" t="str">
            <v>line item not tagged</v>
          </cell>
        </row>
        <row r="9335">
          <cell r="W9335">
            <v>0</v>
          </cell>
          <cell r="AB9335" t="str">
            <v>line item not tagged</v>
          </cell>
        </row>
        <row r="9336">
          <cell r="W9336">
            <v>0</v>
          </cell>
          <cell r="AB9336" t="str">
            <v>line item not tagged</v>
          </cell>
        </row>
        <row r="9337">
          <cell r="W9337">
            <v>0</v>
          </cell>
          <cell r="AB9337" t="str">
            <v>line item not tagged</v>
          </cell>
        </row>
        <row r="9338">
          <cell r="W9338">
            <v>0</v>
          </cell>
          <cell r="AB9338" t="str">
            <v>line item not tagged</v>
          </cell>
        </row>
        <row r="9339">
          <cell r="W9339">
            <v>0</v>
          </cell>
          <cell r="AB9339" t="str">
            <v>line item not tagged</v>
          </cell>
        </row>
        <row r="9340">
          <cell r="W9340">
            <v>0</v>
          </cell>
          <cell r="AB9340" t="str">
            <v>line item not tagged</v>
          </cell>
        </row>
        <row r="9341">
          <cell r="W9341">
            <v>0</v>
          </cell>
          <cell r="AB9341" t="str">
            <v>line item not tagged</v>
          </cell>
        </row>
        <row r="9342">
          <cell r="W9342">
            <v>0</v>
          </cell>
          <cell r="AB9342" t="str">
            <v>line item not tagged</v>
          </cell>
        </row>
        <row r="9343">
          <cell r="W9343">
            <v>0</v>
          </cell>
          <cell r="AB9343" t="str">
            <v>line item not tagged</v>
          </cell>
        </row>
        <row r="9344">
          <cell r="W9344">
            <v>0</v>
          </cell>
          <cell r="AB9344" t="str">
            <v>line item not tagged</v>
          </cell>
        </row>
        <row r="9345">
          <cell r="W9345">
            <v>0</v>
          </cell>
          <cell r="AB9345" t="str">
            <v>line item not tagged</v>
          </cell>
        </row>
        <row r="9346">
          <cell r="W9346">
            <v>0</v>
          </cell>
          <cell r="AB9346" t="str">
            <v>line item not tagged</v>
          </cell>
        </row>
        <row r="9347">
          <cell r="W9347">
            <v>0</v>
          </cell>
          <cell r="AB9347" t="str">
            <v>line item not tagged</v>
          </cell>
        </row>
        <row r="9348">
          <cell r="W9348">
            <v>0</v>
          </cell>
          <cell r="AB9348" t="str">
            <v>line item not tagged</v>
          </cell>
        </row>
        <row r="9349">
          <cell r="W9349">
            <v>0</v>
          </cell>
          <cell r="AB9349" t="str">
            <v>line item not tagged</v>
          </cell>
        </row>
        <row r="9350">
          <cell r="W9350">
            <v>0</v>
          </cell>
          <cell r="AB9350" t="str">
            <v>line item not tagged</v>
          </cell>
        </row>
        <row r="9351">
          <cell r="W9351">
            <v>0</v>
          </cell>
          <cell r="AB9351" t="str">
            <v>line item not tagged</v>
          </cell>
        </row>
        <row r="9352">
          <cell r="W9352">
            <v>0</v>
          </cell>
          <cell r="AB9352" t="str">
            <v>line item not tagged</v>
          </cell>
        </row>
        <row r="9353">
          <cell r="W9353">
            <v>0</v>
          </cell>
          <cell r="AB9353" t="str">
            <v>line item not tagged</v>
          </cell>
        </row>
        <row r="9354">
          <cell r="W9354">
            <v>0</v>
          </cell>
          <cell r="AB9354" t="str">
            <v>line item not tagged</v>
          </cell>
        </row>
        <row r="9355">
          <cell r="W9355">
            <v>0</v>
          </cell>
          <cell r="AB9355" t="str">
            <v>line item not tagged</v>
          </cell>
        </row>
        <row r="9356">
          <cell r="W9356">
            <v>0</v>
          </cell>
          <cell r="AB9356" t="str">
            <v>line item not tagged</v>
          </cell>
        </row>
        <row r="9357">
          <cell r="W9357">
            <v>0</v>
          </cell>
          <cell r="AB9357" t="str">
            <v>line item not tagged</v>
          </cell>
        </row>
        <row r="9358">
          <cell r="W9358">
            <v>0</v>
          </cell>
          <cell r="AB9358" t="str">
            <v>line item not tagged</v>
          </cell>
        </row>
        <row r="9359">
          <cell r="W9359">
            <v>0</v>
          </cell>
          <cell r="AB9359" t="str">
            <v>line item not tagged</v>
          </cell>
        </row>
        <row r="9360">
          <cell r="W9360">
            <v>0</v>
          </cell>
          <cell r="AB9360" t="str">
            <v>line item not tagged</v>
          </cell>
        </row>
        <row r="9361">
          <cell r="W9361">
            <v>0</v>
          </cell>
          <cell r="AB9361" t="str">
            <v>line item not tagged</v>
          </cell>
        </row>
        <row r="9362">
          <cell r="W9362">
            <v>0</v>
          </cell>
          <cell r="AB9362" t="str">
            <v>line item not tagged</v>
          </cell>
        </row>
        <row r="9363">
          <cell r="W9363">
            <v>0</v>
          </cell>
          <cell r="AB9363" t="str">
            <v>line item not tagged</v>
          </cell>
        </row>
        <row r="9364">
          <cell r="W9364">
            <v>0</v>
          </cell>
          <cell r="AB9364" t="str">
            <v>line item not tagged</v>
          </cell>
        </row>
        <row r="9365">
          <cell r="W9365">
            <v>0</v>
          </cell>
          <cell r="AB9365" t="str">
            <v>line item not tagged</v>
          </cell>
        </row>
        <row r="9366">
          <cell r="W9366">
            <v>0</v>
          </cell>
          <cell r="AB9366" t="str">
            <v>line item not tagged</v>
          </cell>
        </row>
        <row r="9367">
          <cell r="W9367">
            <v>0</v>
          </cell>
          <cell r="AB9367" t="str">
            <v>line item not tagged</v>
          </cell>
        </row>
        <row r="9368">
          <cell r="W9368">
            <v>0</v>
          </cell>
          <cell r="AB9368" t="str">
            <v>line item not tagged</v>
          </cell>
        </row>
        <row r="9369">
          <cell r="W9369">
            <v>0</v>
          </cell>
          <cell r="AB9369" t="str">
            <v>line item not tagged</v>
          </cell>
        </row>
        <row r="9370">
          <cell r="W9370">
            <v>0</v>
          </cell>
          <cell r="AB9370" t="str">
            <v>line item not tagged</v>
          </cell>
        </row>
        <row r="9371">
          <cell r="W9371">
            <v>0</v>
          </cell>
          <cell r="AB9371" t="str">
            <v>line item not tagged</v>
          </cell>
        </row>
        <row r="9372">
          <cell r="W9372">
            <v>0</v>
          </cell>
          <cell r="AB9372" t="str">
            <v>line item not tagged</v>
          </cell>
        </row>
        <row r="9373">
          <cell r="W9373">
            <v>0</v>
          </cell>
          <cell r="AB9373" t="str">
            <v>line item not tagged</v>
          </cell>
        </row>
        <row r="9374">
          <cell r="W9374">
            <v>0</v>
          </cell>
          <cell r="AB9374" t="str">
            <v>line item not tagged</v>
          </cell>
        </row>
        <row r="9375">
          <cell r="W9375">
            <v>0</v>
          </cell>
          <cell r="AB9375" t="str">
            <v>line item not tagged</v>
          </cell>
        </row>
        <row r="9376">
          <cell r="W9376">
            <v>0</v>
          </cell>
          <cell r="AB9376" t="str">
            <v>line item not tagged</v>
          </cell>
        </row>
        <row r="9377">
          <cell r="W9377">
            <v>0</v>
          </cell>
          <cell r="AB9377" t="str">
            <v>line item not tagged</v>
          </cell>
        </row>
        <row r="9378">
          <cell r="W9378">
            <v>0</v>
          </cell>
          <cell r="AB9378" t="str">
            <v>line item not tagged</v>
          </cell>
        </row>
        <row r="9379">
          <cell r="W9379">
            <v>0</v>
          </cell>
          <cell r="AB9379" t="str">
            <v>line item not tagged</v>
          </cell>
        </row>
        <row r="9380">
          <cell r="W9380">
            <v>0</v>
          </cell>
          <cell r="AB9380" t="str">
            <v>line item not tagged</v>
          </cell>
        </row>
        <row r="9381">
          <cell r="W9381">
            <v>0</v>
          </cell>
          <cell r="AB9381" t="str">
            <v>line item not tagged</v>
          </cell>
        </row>
        <row r="9382">
          <cell r="W9382">
            <v>0</v>
          </cell>
          <cell r="AB9382" t="str">
            <v>line item not tagged</v>
          </cell>
        </row>
        <row r="9383">
          <cell r="W9383">
            <v>0</v>
          </cell>
          <cell r="AB9383" t="str">
            <v>line item not tagged</v>
          </cell>
        </row>
        <row r="9384">
          <cell r="W9384">
            <v>0</v>
          </cell>
          <cell r="AB9384" t="str">
            <v>line item not tagged</v>
          </cell>
        </row>
        <row r="9385">
          <cell r="W9385">
            <v>0</v>
          </cell>
          <cell r="AB9385" t="str">
            <v>line item not tagged</v>
          </cell>
        </row>
        <row r="9386">
          <cell r="W9386">
            <v>0</v>
          </cell>
          <cell r="AB9386" t="str">
            <v>line item not tagged</v>
          </cell>
        </row>
        <row r="9387">
          <cell r="W9387">
            <v>0</v>
          </cell>
          <cell r="AB9387" t="str">
            <v>line item not tagged</v>
          </cell>
        </row>
        <row r="9388">
          <cell r="W9388">
            <v>0</v>
          </cell>
          <cell r="AB9388" t="str">
            <v>line item not tagged</v>
          </cell>
        </row>
        <row r="9389">
          <cell r="W9389">
            <v>0</v>
          </cell>
          <cell r="AB9389" t="str">
            <v>line item not tagged</v>
          </cell>
        </row>
        <row r="9390">
          <cell r="W9390">
            <v>0</v>
          </cell>
          <cell r="AB9390" t="str">
            <v>line item not tagged</v>
          </cell>
        </row>
        <row r="9391">
          <cell r="W9391">
            <v>0</v>
          </cell>
          <cell r="AB9391" t="str">
            <v>line item not tagged</v>
          </cell>
        </row>
        <row r="9392">
          <cell r="W9392">
            <v>0</v>
          </cell>
          <cell r="AB9392" t="str">
            <v>line item not tagged</v>
          </cell>
        </row>
        <row r="9393">
          <cell r="W9393">
            <v>0</v>
          </cell>
          <cell r="AB9393" t="str">
            <v>line item not tagged</v>
          </cell>
        </row>
        <row r="9394">
          <cell r="W9394">
            <v>0</v>
          </cell>
          <cell r="AB9394" t="str">
            <v>line item not tagged</v>
          </cell>
        </row>
        <row r="9395">
          <cell r="W9395">
            <v>0</v>
          </cell>
          <cell r="AB9395" t="str">
            <v>line item not tagged</v>
          </cell>
        </row>
        <row r="9396">
          <cell r="W9396">
            <v>0</v>
          </cell>
          <cell r="AB9396" t="str">
            <v>line item not tagged</v>
          </cell>
        </row>
        <row r="9397">
          <cell r="W9397">
            <v>0</v>
          </cell>
          <cell r="AB9397" t="str">
            <v>line item not tagged</v>
          </cell>
        </row>
        <row r="9398">
          <cell r="W9398">
            <v>0</v>
          </cell>
          <cell r="AB9398" t="str">
            <v>line item not tagged</v>
          </cell>
        </row>
        <row r="9399">
          <cell r="W9399">
            <v>0</v>
          </cell>
          <cell r="AB9399" t="str">
            <v>line item not tagged</v>
          </cell>
        </row>
        <row r="9400">
          <cell r="W9400">
            <v>0</v>
          </cell>
          <cell r="AB9400" t="str">
            <v>line item not tagged</v>
          </cell>
        </row>
        <row r="9401">
          <cell r="W9401">
            <v>0</v>
          </cell>
          <cell r="AB9401" t="str">
            <v>line item not tagged</v>
          </cell>
        </row>
        <row r="9402">
          <cell r="W9402">
            <v>0</v>
          </cell>
          <cell r="AB9402" t="str">
            <v>line item not tagged</v>
          </cell>
        </row>
        <row r="9403">
          <cell r="W9403">
            <v>0</v>
          </cell>
          <cell r="AB9403" t="str">
            <v>line item not tagged</v>
          </cell>
        </row>
        <row r="9404">
          <cell r="W9404">
            <v>0</v>
          </cell>
          <cell r="AB9404" t="str">
            <v>line item not tagged</v>
          </cell>
        </row>
        <row r="9405">
          <cell r="W9405">
            <v>0</v>
          </cell>
          <cell r="AB9405" t="str">
            <v>line item not tagged</v>
          </cell>
        </row>
        <row r="9406">
          <cell r="W9406">
            <v>0</v>
          </cell>
          <cell r="AB9406" t="str">
            <v>line item not tagged</v>
          </cell>
        </row>
        <row r="9407">
          <cell r="W9407">
            <v>0</v>
          </cell>
          <cell r="AB9407" t="str">
            <v>line item not tagged</v>
          </cell>
        </row>
        <row r="9408">
          <cell r="W9408">
            <v>0</v>
          </cell>
          <cell r="AB9408" t="str">
            <v>line item not tagged</v>
          </cell>
        </row>
        <row r="9409">
          <cell r="W9409">
            <v>0</v>
          </cell>
          <cell r="AB9409" t="str">
            <v>line item not tagged</v>
          </cell>
        </row>
        <row r="9410">
          <cell r="W9410">
            <v>0</v>
          </cell>
          <cell r="AB9410" t="str">
            <v>line item not tagged</v>
          </cell>
        </row>
        <row r="9411">
          <cell r="W9411">
            <v>0</v>
          </cell>
          <cell r="AB9411" t="str">
            <v>line item not tagged</v>
          </cell>
        </row>
        <row r="9412">
          <cell r="W9412">
            <v>0</v>
          </cell>
          <cell r="AB9412" t="str">
            <v>line item not tagged</v>
          </cell>
        </row>
        <row r="9413">
          <cell r="W9413">
            <v>0</v>
          </cell>
          <cell r="AB9413" t="str">
            <v>line item not tagged</v>
          </cell>
        </row>
        <row r="9414">
          <cell r="W9414">
            <v>0</v>
          </cell>
          <cell r="AB9414" t="str">
            <v>line item not tagged</v>
          </cell>
        </row>
        <row r="9415">
          <cell r="W9415">
            <v>0</v>
          </cell>
          <cell r="AB9415" t="str">
            <v>line item not tagged</v>
          </cell>
        </row>
        <row r="9416">
          <cell r="W9416">
            <v>0</v>
          </cell>
          <cell r="AB9416" t="str">
            <v>line item not tagged</v>
          </cell>
        </row>
        <row r="9417">
          <cell r="W9417">
            <v>0</v>
          </cell>
          <cell r="AB9417" t="str">
            <v>line item not tagged</v>
          </cell>
        </row>
        <row r="9418">
          <cell r="W9418">
            <v>0</v>
          </cell>
          <cell r="AB9418" t="str">
            <v>line item not tagged</v>
          </cell>
        </row>
        <row r="9419">
          <cell r="W9419">
            <v>0</v>
          </cell>
          <cell r="AB9419" t="str">
            <v>line item not tagged</v>
          </cell>
        </row>
        <row r="9420">
          <cell r="W9420">
            <v>0</v>
          </cell>
          <cell r="AB9420" t="str">
            <v>line item not tagged</v>
          </cell>
        </row>
        <row r="9421">
          <cell r="W9421">
            <v>0</v>
          </cell>
          <cell r="AB9421" t="str">
            <v>line item not tagged</v>
          </cell>
        </row>
        <row r="9422">
          <cell r="W9422">
            <v>0</v>
          </cell>
          <cell r="AB9422" t="str">
            <v>line item not tagged</v>
          </cell>
        </row>
        <row r="9423">
          <cell r="W9423">
            <v>0</v>
          </cell>
          <cell r="AB9423" t="str">
            <v>line item not tagged</v>
          </cell>
        </row>
        <row r="9424">
          <cell r="W9424">
            <v>0</v>
          </cell>
          <cell r="AB9424" t="str">
            <v>line item not tagged</v>
          </cell>
        </row>
        <row r="9425">
          <cell r="W9425">
            <v>0</v>
          </cell>
          <cell r="AB9425" t="str">
            <v>line item not tagged</v>
          </cell>
        </row>
        <row r="9426">
          <cell r="W9426">
            <v>0</v>
          </cell>
          <cell r="AB9426" t="str">
            <v>line item not tagged</v>
          </cell>
        </row>
        <row r="9427">
          <cell r="W9427">
            <v>0</v>
          </cell>
          <cell r="AB9427" t="str">
            <v>line item not tagged</v>
          </cell>
        </row>
        <row r="9428">
          <cell r="W9428">
            <v>0</v>
          </cell>
          <cell r="AB9428" t="str">
            <v>line item not tagged</v>
          </cell>
        </row>
        <row r="9429">
          <cell r="W9429">
            <v>0</v>
          </cell>
          <cell r="AB9429" t="str">
            <v>line item not tagged</v>
          </cell>
        </row>
        <row r="9430">
          <cell r="W9430">
            <v>0</v>
          </cell>
          <cell r="AB9430" t="str">
            <v>line item not tagged</v>
          </cell>
        </row>
        <row r="9431">
          <cell r="W9431">
            <v>0</v>
          </cell>
          <cell r="AB9431" t="str">
            <v>line item not tagged</v>
          </cell>
        </row>
        <row r="9432">
          <cell r="W9432">
            <v>0</v>
          </cell>
          <cell r="AB9432" t="str">
            <v>line item not tagged</v>
          </cell>
        </row>
        <row r="9433">
          <cell r="W9433">
            <v>0</v>
          </cell>
          <cell r="AB9433" t="str">
            <v>line item not tagged</v>
          </cell>
        </row>
        <row r="9434">
          <cell r="W9434">
            <v>0</v>
          </cell>
          <cell r="AB9434" t="str">
            <v>line item not tagged</v>
          </cell>
        </row>
        <row r="9435">
          <cell r="W9435">
            <v>0</v>
          </cell>
          <cell r="AB9435" t="str">
            <v>line item not tagged</v>
          </cell>
        </row>
        <row r="9436">
          <cell r="W9436">
            <v>0</v>
          </cell>
          <cell r="AB9436" t="str">
            <v>line item not tagged</v>
          </cell>
        </row>
        <row r="9437">
          <cell r="W9437">
            <v>0</v>
          </cell>
          <cell r="AB9437" t="str">
            <v>line item not tagged</v>
          </cell>
        </row>
        <row r="9438">
          <cell r="W9438">
            <v>0</v>
          </cell>
          <cell r="AB9438" t="str">
            <v>line item not tagged</v>
          </cell>
        </row>
        <row r="9439">
          <cell r="W9439">
            <v>0</v>
          </cell>
          <cell r="AB9439" t="str">
            <v>line item not tagged</v>
          </cell>
        </row>
        <row r="9440">
          <cell r="W9440">
            <v>0</v>
          </cell>
          <cell r="AB9440" t="str">
            <v>line item not tagged</v>
          </cell>
        </row>
        <row r="9441">
          <cell r="W9441">
            <v>0</v>
          </cell>
          <cell r="AB9441" t="str">
            <v>line item not tagged</v>
          </cell>
        </row>
        <row r="9442">
          <cell r="W9442">
            <v>0</v>
          </cell>
          <cell r="AB9442" t="str">
            <v>line item not tagged</v>
          </cell>
        </row>
        <row r="9443">
          <cell r="W9443">
            <v>0</v>
          </cell>
          <cell r="AB9443" t="str">
            <v>line item not tagged</v>
          </cell>
        </row>
        <row r="9444">
          <cell r="W9444">
            <v>0</v>
          </cell>
          <cell r="AB9444" t="str">
            <v>line item not tagged</v>
          </cell>
        </row>
        <row r="9445">
          <cell r="W9445">
            <v>0</v>
          </cell>
          <cell r="AB9445" t="str">
            <v>line item not tagged</v>
          </cell>
        </row>
        <row r="9446">
          <cell r="W9446">
            <v>0</v>
          </cell>
          <cell r="AB9446" t="str">
            <v>line item not tagged</v>
          </cell>
        </row>
        <row r="9447">
          <cell r="W9447">
            <v>0</v>
          </cell>
          <cell r="AB9447" t="str">
            <v>line item not tagged</v>
          </cell>
        </row>
        <row r="9448">
          <cell r="W9448">
            <v>0</v>
          </cell>
          <cell r="AB9448" t="str">
            <v>line item not tagged</v>
          </cell>
        </row>
        <row r="9449">
          <cell r="W9449">
            <v>0</v>
          </cell>
          <cell r="AB9449" t="str">
            <v>line item not tagged</v>
          </cell>
        </row>
        <row r="9450">
          <cell r="W9450">
            <v>0</v>
          </cell>
          <cell r="AB9450" t="str">
            <v>line item not tagged</v>
          </cell>
        </row>
        <row r="9451">
          <cell r="W9451">
            <v>0</v>
          </cell>
          <cell r="AB9451" t="str">
            <v>line item not tagged</v>
          </cell>
        </row>
        <row r="9452">
          <cell r="W9452">
            <v>0</v>
          </cell>
          <cell r="AB9452" t="str">
            <v>line item not tagged</v>
          </cell>
        </row>
        <row r="9453">
          <cell r="W9453">
            <v>0</v>
          </cell>
          <cell r="AB9453" t="str">
            <v>line item not tagged</v>
          </cell>
        </row>
        <row r="9454">
          <cell r="W9454">
            <v>0</v>
          </cell>
          <cell r="AB9454" t="str">
            <v>line item not tagged</v>
          </cell>
        </row>
        <row r="9455">
          <cell r="W9455">
            <v>0</v>
          </cell>
          <cell r="AB9455" t="str">
            <v>line item not tagged</v>
          </cell>
        </row>
        <row r="9456">
          <cell r="W9456">
            <v>0</v>
          </cell>
          <cell r="AB9456" t="str">
            <v>line item not tagged</v>
          </cell>
        </row>
        <row r="9457">
          <cell r="W9457">
            <v>0</v>
          </cell>
          <cell r="AB9457" t="str">
            <v>line item not tagged</v>
          </cell>
        </row>
        <row r="9458">
          <cell r="W9458">
            <v>0</v>
          </cell>
          <cell r="AB9458" t="str">
            <v>line item not tagged</v>
          </cell>
        </row>
        <row r="9459">
          <cell r="W9459">
            <v>0</v>
          </cell>
          <cell r="AB9459" t="str">
            <v>line item not tagged</v>
          </cell>
        </row>
        <row r="9460">
          <cell r="W9460">
            <v>0</v>
          </cell>
          <cell r="AB9460" t="str">
            <v>line item not tagged</v>
          </cell>
        </row>
        <row r="9461">
          <cell r="W9461">
            <v>0</v>
          </cell>
          <cell r="AB9461" t="str">
            <v>line item not tagged</v>
          </cell>
        </row>
        <row r="9462">
          <cell r="W9462">
            <v>0</v>
          </cell>
          <cell r="AB9462" t="str">
            <v>line item not tagged</v>
          </cell>
        </row>
        <row r="9463">
          <cell r="W9463">
            <v>0</v>
          </cell>
          <cell r="AB9463" t="str">
            <v>line item not tagged</v>
          </cell>
        </row>
        <row r="9464">
          <cell r="W9464">
            <v>0</v>
          </cell>
          <cell r="AB9464" t="str">
            <v>line item not tagged</v>
          </cell>
        </row>
        <row r="9465">
          <cell r="W9465">
            <v>0</v>
          </cell>
          <cell r="AB9465" t="str">
            <v>line item not tagged</v>
          </cell>
        </row>
        <row r="9466">
          <cell r="W9466">
            <v>0</v>
          </cell>
          <cell r="AB9466" t="str">
            <v>line item not tagged</v>
          </cell>
        </row>
        <row r="9467">
          <cell r="W9467">
            <v>0</v>
          </cell>
          <cell r="AB9467" t="str">
            <v>line item not tagged</v>
          </cell>
        </row>
        <row r="9468">
          <cell r="W9468">
            <v>0</v>
          </cell>
          <cell r="AB9468" t="str">
            <v>line item not tagged</v>
          </cell>
        </row>
        <row r="9469">
          <cell r="W9469">
            <v>0</v>
          </cell>
          <cell r="AB9469" t="str">
            <v>line item not tagged</v>
          </cell>
        </row>
        <row r="9470">
          <cell r="W9470">
            <v>0</v>
          </cell>
          <cell r="AB9470" t="str">
            <v>line item not tagged</v>
          </cell>
        </row>
        <row r="9471">
          <cell r="W9471">
            <v>0</v>
          </cell>
          <cell r="AB9471" t="str">
            <v>line item not tagged</v>
          </cell>
        </row>
        <row r="9472">
          <cell r="W9472">
            <v>0</v>
          </cell>
          <cell r="AB9472" t="str">
            <v>line item not tagged</v>
          </cell>
        </row>
        <row r="9473">
          <cell r="W9473">
            <v>0</v>
          </cell>
          <cell r="AB9473" t="str">
            <v>line item not tagged</v>
          </cell>
        </row>
        <row r="9474">
          <cell r="W9474">
            <v>0</v>
          </cell>
          <cell r="AB9474" t="str">
            <v>line item not tagged</v>
          </cell>
        </row>
        <row r="9475">
          <cell r="W9475">
            <v>0</v>
          </cell>
          <cell r="AB9475" t="str">
            <v>line item not tagged</v>
          </cell>
        </row>
        <row r="9476">
          <cell r="W9476">
            <v>0</v>
          </cell>
          <cell r="AB9476" t="str">
            <v>line item not tagged</v>
          </cell>
        </row>
        <row r="9477">
          <cell r="W9477">
            <v>0</v>
          </cell>
          <cell r="AB9477" t="str">
            <v>line item not tagged</v>
          </cell>
        </row>
        <row r="9478">
          <cell r="W9478">
            <v>0</v>
          </cell>
          <cell r="AB9478" t="str">
            <v>line item not tagged</v>
          </cell>
        </row>
        <row r="9479">
          <cell r="W9479">
            <v>0</v>
          </cell>
          <cell r="AB9479" t="str">
            <v>line item not tagged</v>
          </cell>
        </row>
        <row r="9480">
          <cell r="W9480">
            <v>0</v>
          </cell>
          <cell r="AB9480" t="str">
            <v>line item not tagged</v>
          </cell>
        </row>
        <row r="9481">
          <cell r="W9481">
            <v>0</v>
          </cell>
          <cell r="AB9481" t="str">
            <v>line item not tagged</v>
          </cell>
        </row>
        <row r="9482">
          <cell r="W9482">
            <v>0</v>
          </cell>
          <cell r="AB9482" t="str">
            <v>line item not tagged</v>
          </cell>
        </row>
        <row r="9483">
          <cell r="W9483">
            <v>0</v>
          </cell>
          <cell r="AB9483" t="str">
            <v>line item not tagged</v>
          </cell>
        </row>
        <row r="9484">
          <cell r="W9484">
            <v>0</v>
          </cell>
          <cell r="AB9484" t="str">
            <v>line item not tagged</v>
          </cell>
        </row>
        <row r="9485">
          <cell r="W9485">
            <v>0</v>
          </cell>
          <cell r="AB9485" t="str">
            <v>line item not tagged</v>
          </cell>
        </row>
        <row r="9486">
          <cell r="W9486">
            <v>0</v>
          </cell>
          <cell r="AB9486" t="str">
            <v>line item not tagged</v>
          </cell>
        </row>
        <row r="9487">
          <cell r="W9487">
            <v>0</v>
          </cell>
          <cell r="AB9487" t="str">
            <v>line item not tagged</v>
          </cell>
        </row>
        <row r="9488">
          <cell r="W9488">
            <v>0</v>
          </cell>
          <cell r="AB9488" t="str">
            <v>line item not tagged</v>
          </cell>
        </row>
        <row r="9489">
          <cell r="W9489">
            <v>0</v>
          </cell>
          <cell r="AB9489" t="str">
            <v>line item not tagged</v>
          </cell>
        </row>
        <row r="9490">
          <cell r="W9490">
            <v>0</v>
          </cell>
          <cell r="AB9490" t="str">
            <v>line item not tagged</v>
          </cell>
        </row>
        <row r="9491">
          <cell r="W9491">
            <v>0</v>
          </cell>
          <cell r="AB9491" t="str">
            <v>line item not tagged</v>
          </cell>
        </row>
        <row r="9492">
          <cell r="W9492">
            <v>0</v>
          </cell>
          <cell r="AB9492" t="str">
            <v>line item not tagged</v>
          </cell>
        </row>
        <row r="9493">
          <cell r="W9493">
            <v>0</v>
          </cell>
          <cell r="AB9493" t="str">
            <v>line item not tagged</v>
          </cell>
        </row>
        <row r="9494">
          <cell r="W9494">
            <v>0</v>
          </cell>
          <cell r="AB9494" t="str">
            <v>line item not tagged</v>
          </cell>
        </row>
        <row r="9495">
          <cell r="W9495">
            <v>0</v>
          </cell>
          <cell r="AB9495" t="str">
            <v>line item not tagged</v>
          </cell>
        </row>
        <row r="9496">
          <cell r="W9496">
            <v>0</v>
          </cell>
          <cell r="AB9496" t="str">
            <v>line item not tagged</v>
          </cell>
        </row>
        <row r="9497">
          <cell r="W9497">
            <v>0</v>
          </cell>
          <cell r="AB9497" t="str">
            <v>line item not tagged</v>
          </cell>
        </row>
        <row r="9498">
          <cell r="W9498">
            <v>0</v>
          </cell>
          <cell r="AB9498" t="str">
            <v>line item not tagged</v>
          </cell>
        </row>
        <row r="9499">
          <cell r="W9499">
            <v>0</v>
          </cell>
          <cell r="AB9499" t="str">
            <v>line item not tagged</v>
          </cell>
        </row>
        <row r="9500">
          <cell r="W9500">
            <v>0</v>
          </cell>
          <cell r="AB9500" t="str">
            <v>line item not tagged</v>
          </cell>
        </row>
        <row r="9501">
          <cell r="W9501">
            <v>0</v>
          </cell>
          <cell r="AB9501" t="str">
            <v>line item not tagged</v>
          </cell>
        </row>
        <row r="9502">
          <cell r="W9502">
            <v>0</v>
          </cell>
          <cell r="AB9502" t="str">
            <v>line item not tagged</v>
          </cell>
        </row>
        <row r="9503">
          <cell r="W9503">
            <v>0</v>
          </cell>
          <cell r="AB9503" t="str">
            <v>line item not tagged</v>
          </cell>
        </row>
        <row r="9504">
          <cell r="W9504">
            <v>0</v>
          </cell>
          <cell r="AB9504" t="str">
            <v>line item not tagged</v>
          </cell>
        </row>
        <row r="9505">
          <cell r="W9505">
            <v>0</v>
          </cell>
          <cell r="AB9505" t="str">
            <v>line item not tagged</v>
          </cell>
        </row>
        <row r="9506">
          <cell r="W9506">
            <v>0</v>
          </cell>
          <cell r="AB9506" t="str">
            <v>line item not tagged</v>
          </cell>
        </row>
        <row r="9507">
          <cell r="W9507">
            <v>0</v>
          </cell>
          <cell r="AB9507" t="str">
            <v>line item not tagged</v>
          </cell>
        </row>
        <row r="9508">
          <cell r="W9508">
            <v>0</v>
          </cell>
          <cell r="AB9508" t="str">
            <v>line item not tagged</v>
          </cell>
        </row>
        <row r="9509">
          <cell r="W9509">
            <v>0</v>
          </cell>
          <cell r="AB9509" t="str">
            <v>line item not tagged</v>
          </cell>
        </row>
        <row r="9510">
          <cell r="W9510">
            <v>0</v>
          </cell>
          <cell r="AB9510" t="str">
            <v>line item not tagged</v>
          </cell>
        </row>
        <row r="9511">
          <cell r="W9511">
            <v>0</v>
          </cell>
          <cell r="AB9511" t="str">
            <v>line item not tagged</v>
          </cell>
        </row>
        <row r="9512">
          <cell r="W9512">
            <v>0</v>
          </cell>
          <cell r="AB9512" t="str">
            <v>line item not tagged</v>
          </cell>
        </row>
        <row r="9513">
          <cell r="W9513">
            <v>0</v>
          </cell>
          <cell r="AB9513" t="str">
            <v>line item not tagged</v>
          </cell>
        </row>
        <row r="9514">
          <cell r="W9514">
            <v>0</v>
          </cell>
          <cell r="AB9514" t="str">
            <v>line item not tagged</v>
          </cell>
        </row>
        <row r="9515">
          <cell r="W9515">
            <v>0</v>
          </cell>
          <cell r="AB9515" t="str">
            <v>line item not tagged</v>
          </cell>
        </row>
        <row r="9516">
          <cell r="W9516">
            <v>0</v>
          </cell>
          <cell r="AB9516" t="str">
            <v>line item not tagged</v>
          </cell>
        </row>
        <row r="9517">
          <cell r="W9517">
            <v>0</v>
          </cell>
          <cell r="AB9517" t="str">
            <v>line item not tagged</v>
          </cell>
        </row>
        <row r="9518">
          <cell r="W9518">
            <v>0</v>
          </cell>
          <cell r="AB9518" t="str">
            <v>line item not tagged</v>
          </cell>
        </row>
        <row r="9519">
          <cell r="W9519">
            <v>0</v>
          </cell>
          <cell r="AB9519" t="str">
            <v>line item not tagged</v>
          </cell>
        </row>
        <row r="9520">
          <cell r="W9520">
            <v>0</v>
          </cell>
          <cell r="AB9520" t="str">
            <v>line item not tagged</v>
          </cell>
        </row>
        <row r="9521">
          <cell r="W9521">
            <v>0</v>
          </cell>
          <cell r="AB9521" t="str">
            <v>line item not tagged</v>
          </cell>
        </row>
        <row r="9522">
          <cell r="W9522">
            <v>0</v>
          </cell>
          <cell r="AB9522" t="str">
            <v>line item not tagged</v>
          </cell>
        </row>
        <row r="9523">
          <cell r="W9523">
            <v>0</v>
          </cell>
          <cell r="AB9523" t="str">
            <v>line item not tagged</v>
          </cell>
        </row>
        <row r="9524">
          <cell r="W9524">
            <v>0</v>
          </cell>
          <cell r="AB9524" t="str">
            <v>line item not tagged</v>
          </cell>
        </row>
        <row r="9525">
          <cell r="W9525">
            <v>0</v>
          </cell>
          <cell r="AB9525" t="str">
            <v>line item not tagged</v>
          </cell>
        </row>
        <row r="9526">
          <cell r="W9526">
            <v>0</v>
          </cell>
          <cell r="AB9526" t="str">
            <v>line item not tagged</v>
          </cell>
        </row>
        <row r="9527">
          <cell r="W9527">
            <v>0</v>
          </cell>
          <cell r="AB9527" t="str">
            <v>line item not tagged</v>
          </cell>
        </row>
        <row r="9528">
          <cell r="W9528">
            <v>0</v>
          </cell>
          <cell r="AB9528" t="str">
            <v>line item not tagged</v>
          </cell>
        </row>
        <row r="9529">
          <cell r="W9529">
            <v>0</v>
          </cell>
          <cell r="AB9529" t="str">
            <v>line item not tagged</v>
          </cell>
        </row>
        <row r="9530">
          <cell r="W9530">
            <v>0</v>
          </cell>
          <cell r="AB9530" t="str">
            <v>line item not tagged</v>
          </cell>
        </row>
        <row r="9531">
          <cell r="W9531">
            <v>0</v>
          </cell>
          <cell r="AB9531" t="str">
            <v>line item not tagged</v>
          </cell>
        </row>
        <row r="9532">
          <cell r="W9532">
            <v>0</v>
          </cell>
          <cell r="AB9532" t="str">
            <v>line item not tagged</v>
          </cell>
        </row>
        <row r="9533">
          <cell r="W9533">
            <v>0</v>
          </cell>
          <cell r="AB9533" t="str">
            <v>line item not tagged</v>
          </cell>
        </row>
        <row r="9534">
          <cell r="W9534">
            <v>0</v>
          </cell>
          <cell r="AB9534" t="str">
            <v>line item not tagged</v>
          </cell>
        </row>
        <row r="9535">
          <cell r="W9535">
            <v>0</v>
          </cell>
          <cell r="AB9535" t="str">
            <v>line item not tagged</v>
          </cell>
        </row>
        <row r="9536">
          <cell r="W9536">
            <v>0</v>
          </cell>
          <cell r="AB9536" t="str">
            <v>line item not tagged</v>
          </cell>
        </row>
        <row r="9537">
          <cell r="W9537">
            <v>0</v>
          </cell>
          <cell r="AB9537" t="str">
            <v>line item not tagged</v>
          </cell>
        </row>
        <row r="9538">
          <cell r="W9538">
            <v>0</v>
          </cell>
          <cell r="AB9538" t="str">
            <v>line item not tagged</v>
          </cell>
        </row>
        <row r="9539">
          <cell r="W9539">
            <v>0</v>
          </cell>
          <cell r="AB9539" t="str">
            <v>line item not tagged</v>
          </cell>
        </row>
        <row r="9540">
          <cell r="W9540">
            <v>0</v>
          </cell>
          <cell r="AB9540" t="str">
            <v>line item not tagged</v>
          </cell>
        </row>
        <row r="9541">
          <cell r="W9541">
            <v>0</v>
          </cell>
          <cell r="AB9541" t="str">
            <v>line item not tagged</v>
          </cell>
        </row>
        <row r="9542">
          <cell r="W9542">
            <v>0</v>
          </cell>
          <cell r="AB9542" t="str">
            <v>line item not tagged</v>
          </cell>
        </row>
        <row r="9543">
          <cell r="W9543">
            <v>0</v>
          </cell>
          <cell r="AB9543" t="str">
            <v>line item not tagged</v>
          </cell>
        </row>
        <row r="9544">
          <cell r="W9544">
            <v>0</v>
          </cell>
          <cell r="AB9544" t="str">
            <v>line item not tagged</v>
          </cell>
        </row>
        <row r="9545">
          <cell r="W9545">
            <v>0</v>
          </cell>
          <cell r="AB9545" t="str">
            <v>line item not tagged</v>
          </cell>
        </row>
        <row r="9546">
          <cell r="W9546">
            <v>0</v>
          </cell>
          <cell r="AB9546" t="str">
            <v>line item not tagged</v>
          </cell>
        </row>
        <row r="9547">
          <cell r="W9547">
            <v>0</v>
          </cell>
          <cell r="AB9547" t="str">
            <v>line item not tagged</v>
          </cell>
        </row>
        <row r="9548">
          <cell r="W9548">
            <v>0</v>
          </cell>
          <cell r="AB9548" t="str">
            <v>line item not tagged</v>
          </cell>
        </row>
        <row r="9549">
          <cell r="W9549">
            <v>0</v>
          </cell>
          <cell r="AB9549" t="str">
            <v>line item not tagged</v>
          </cell>
        </row>
        <row r="9550">
          <cell r="W9550">
            <v>0</v>
          </cell>
          <cell r="AB9550" t="str">
            <v>line item not tagged</v>
          </cell>
        </row>
        <row r="9551">
          <cell r="W9551">
            <v>0</v>
          </cell>
          <cell r="AB9551" t="str">
            <v>line item not tagged</v>
          </cell>
        </row>
        <row r="9552">
          <cell r="W9552">
            <v>0</v>
          </cell>
          <cell r="AB9552" t="str">
            <v>line item not tagged</v>
          </cell>
        </row>
        <row r="9553">
          <cell r="W9553">
            <v>0</v>
          </cell>
          <cell r="AB9553" t="str">
            <v>line item not tagged</v>
          </cell>
        </row>
        <row r="9554">
          <cell r="W9554">
            <v>0</v>
          </cell>
          <cell r="AB9554" t="str">
            <v>line item not tagged</v>
          </cell>
        </row>
        <row r="9555">
          <cell r="W9555">
            <v>0</v>
          </cell>
          <cell r="AB9555" t="str">
            <v>line item not tagged</v>
          </cell>
        </row>
        <row r="9556">
          <cell r="W9556">
            <v>0</v>
          </cell>
          <cell r="AB9556" t="str">
            <v>line item not tagged</v>
          </cell>
        </row>
        <row r="9557">
          <cell r="W9557">
            <v>0</v>
          </cell>
          <cell r="AB9557" t="str">
            <v>line item not tagged</v>
          </cell>
        </row>
        <row r="9558">
          <cell r="W9558">
            <v>0</v>
          </cell>
          <cell r="AB9558" t="str">
            <v>line item not tagged</v>
          </cell>
        </row>
        <row r="9559">
          <cell r="W9559">
            <v>0</v>
          </cell>
          <cell r="AB9559" t="str">
            <v>line item not tagged</v>
          </cell>
        </row>
        <row r="9560">
          <cell r="W9560">
            <v>0</v>
          </cell>
          <cell r="AB9560" t="str">
            <v>line item not tagged</v>
          </cell>
        </row>
        <row r="9561">
          <cell r="W9561">
            <v>0</v>
          </cell>
          <cell r="AB9561" t="str">
            <v>line item not tagged</v>
          </cell>
        </row>
        <row r="9562">
          <cell r="W9562">
            <v>0</v>
          </cell>
          <cell r="AB9562" t="str">
            <v>line item not tagged</v>
          </cell>
        </row>
        <row r="9563">
          <cell r="W9563">
            <v>0</v>
          </cell>
          <cell r="AB9563" t="str">
            <v>line item not tagged</v>
          </cell>
        </row>
        <row r="9564">
          <cell r="W9564">
            <v>0</v>
          </cell>
          <cell r="AB9564" t="str">
            <v>line item not tagged</v>
          </cell>
        </row>
        <row r="9565">
          <cell r="W9565">
            <v>0</v>
          </cell>
          <cell r="AB9565" t="str">
            <v>line item not tagged</v>
          </cell>
        </row>
        <row r="9566">
          <cell r="W9566">
            <v>0</v>
          </cell>
          <cell r="AB9566" t="str">
            <v>line item not tagged</v>
          </cell>
        </row>
        <row r="9567">
          <cell r="W9567">
            <v>0</v>
          </cell>
          <cell r="AB9567" t="str">
            <v>line item not tagged</v>
          </cell>
        </row>
        <row r="9568">
          <cell r="W9568">
            <v>0</v>
          </cell>
          <cell r="AB9568" t="str">
            <v>line item not tagged</v>
          </cell>
        </row>
        <row r="9569">
          <cell r="W9569">
            <v>0</v>
          </cell>
          <cell r="AB9569" t="str">
            <v>line item not tagged</v>
          </cell>
        </row>
        <row r="9570">
          <cell r="W9570">
            <v>0</v>
          </cell>
          <cell r="AB9570" t="str">
            <v>line item not tagged</v>
          </cell>
        </row>
        <row r="9571">
          <cell r="W9571">
            <v>0</v>
          </cell>
          <cell r="AB9571" t="str">
            <v>line item not tagged</v>
          </cell>
        </row>
        <row r="9572">
          <cell r="W9572">
            <v>0</v>
          </cell>
          <cell r="AB9572" t="str">
            <v>line item not tagged</v>
          </cell>
        </row>
        <row r="9573">
          <cell r="W9573">
            <v>0</v>
          </cell>
          <cell r="AB9573" t="str">
            <v>line item not tagged</v>
          </cell>
        </row>
        <row r="9574">
          <cell r="W9574">
            <v>0</v>
          </cell>
          <cell r="AB9574" t="str">
            <v>line item not tagged</v>
          </cell>
        </row>
        <row r="9575">
          <cell r="W9575">
            <v>0</v>
          </cell>
          <cell r="AB9575" t="str">
            <v>line item not tagged</v>
          </cell>
        </row>
        <row r="9576">
          <cell r="W9576">
            <v>0</v>
          </cell>
          <cell r="AB9576" t="str">
            <v>line item not tagged</v>
          </cell>
        </row>
        <row r="9577">
          <cell r="W9577">
            <v>0</v>
          </cell>
          <cell r="AB9577" t="str">
            <v>line item not tagged</v>
          </cell>
        </row>
        <row r="9578">
          <cell r="W9578">
            <v>0</v>
          </cell>
          <cell r="AB9578" t="str">
            <v>line item not tagged</v>
          </cell>
        </row>
        <row r="9579">
          <cell r="W9579">
            <v>0</v>
          </cell>
          <cell r="AB9579" t="str">
            <v>line item not tagged</v>
          </cell>
        </row>
        <row r="9580">
          <cell r="W9580">
            <v>0</v>
          </cell>
          <cell r="AB9580" t="str">
            <v>line item not tagged</v>
          </cell>
        </row>
        <row r="9581">
          <cell r="W9581">
            <v>0</v>
          </cell>
          <cell r="AB9581" t="str">
            <v>line item not tagged</v>
          </cell>
        </row>
        <row r="9582">
          <cell r="W9582">
            <v>0</v>
          </cell>
          <cell r="AB9582" t="str">
            <v>line item not tagged</v>
          </cell>
        </row>
        <row r="9583">
          <cell r="W9583">
            <v>0</v>
          </cell>
          <cell r="AB9583" t="str">
            <v>line item not tagged</v>
          </cell>
        </row>
        <row r="9584">
          <cell r="W9584">
            <v>0</v>
          </cell>
          <cell r="AB9584" t="str">
            <v>line item not tagged</v>
          </cell>
        </row>
        <row r="9585">
          <cell r="W9585">
            <v>0</v>
          </cell>
          <cell r="AB9585" t="str">
            <v>line item not tagged</v>
          </cell>
        </row>
        <row r="9586">
          <cell r="W9586">
            <v>0</v>
          </cell>
          <cell r="AB9586" t="str">
            <v>line item not tagged</v>
          </cell>
        </row>
        <row r="9587">
          <cell r="W9587">
            <v>0</v>
          </cell>
          <cell r="AB9587" t="str">
            <v>line item not tagged</v>
          </cell>
        </row>
        <row r="9588">
          <cell r="W9588">
            <v>0</v>
          </cell>
          <cell r="AB9588" t="str">
            <v>line item not tagged</v>
          </cell>
        </row>
        <row r="9589">
          <cell r="W9589">
            <v>0</v>
          </cell>
          <cell r="AB9589" t="str">
            <v>line item not tagged</v>
          </cell>
        </row>
        <row r="9590">
          <cell r="W9590">
            <v>0</v>
          </cell>
          <cell r="AB9590" t="str">
            <v>line item not tagged</v>
          </cell>
        </row>
        <row r="9591">
          <cell r="W9591">
            <v>0</v>
          </cell>
          <cell r="AB9591" t="str">
            <v>line item not tagged</v>
          </cell>
        </row>
        <row r="9592">
          <cell r="W9592">
            <v>0</v>
          </cell>
          <cell r="AB9592" t="str">
            <v>line item not tagged</v>
          </cell>
        </row>
        <row r="9593">
          <cell r="W9593">
            <v>0</v>
          </cell>
          <cell r="AB9593" t="str">
            <v>line item not tagged</v>
          </cell>
        </row>
        <row r="9594">
          <cell r="W9594">
            <v>0</v>
          </cell>
          <cell r="AB9594" t="str">
            <v>line item not tagged</v>
          </cell>
        </row>
        <row r="9595">
          <cell r="W9595">
            <v>0</v>
          </cell>
          <cell r="AB9595" t="str">
            <v>line item not tagged</v>
          </cell>
        </row>
        <row r="9596">
          <cell r="W9596">
            <v>0</v>
          </cell>
          <cell r="AB9596" t="str">
            <v>line item not tagged</v>
          </cell>
        </row>
        <row r="9597">
          <cell r="W9597">
            <v>0</v>
          </cell>
          <cell r="AB9597" t="str">
            <v>line item not tagged</v>
          </cell>
        </row>
        <row r="9598">
          <cell r="W9598">
            <v>0</v>
          </cell>
          <cell r="AB9598" t="str">
            <v>line item not tagged</v>
          </cell>
        </row>
        <row r="9599">
          <cell r="W9599">
            <v>0</v>
          </cell>
          <cell r="AB9599" t="str">
            <v>line item not tagged</v>
          </cell>
        </row>
        <row r="9600">
          <cell r="W9600">
            <v>0</v>
          </cell>
          <cell r="AB9600" t="str">
            <v>line item not tagged</v>
          </cell>
        </row>
        <row r="9601">
          <cell r="W9601">
            <v>0</v>
          </cell>
          <cell r="AB9601" t="str">
            <v>line item not tagged</v>
          </cell>
        </row>
        <row r="9602">
          <cell r="W9602">
            <v>0</v>
          </cell>
          <cell r="AB9602" t="str">
            <v>line item not tagged</v>
          </cell>
        </row>
        <row r="9603">
          <cell r="W9603">
            <v>0</v>
          </cell>
          <cell r="AB9603" t="str">
            <v>line item not tagged</v>
          </cell>
        </row>
        <row r="9604">
          <cell r="W9604">
            <v>0</v>
          </cell>
          <cell r="AB9604" t="str">
            <v>line item not tagged</v>
          </cell>
        </row>
        <row r="9605">
          <cell r="W9605">
            <v>0</v>
          </cell>
          <cell r="AB9605" t="str">
            <v>line item not tagged</v>
          </cell>
        </row>
        <row r="9606">
          <cell r="W9606">
            <v>0</v>
          </cell>
          <cell r="AB9606" t="str">
            <v>line item not tagged</v>
          </cell>
        </row>
        <row r="9607">
          <cell r="W9607">
            <v>0</v>
          </cell>
          <cell r="AB9607" t="str">
            <v>line item not tagged</v>
          </cell>
        </row>
        <row r="9608">
          <cell r="W9608">
            <v>0</v>
          </cell>
          <cell r="AB9608" t="str">
            <v>line item not tagged</v>
          </cell>
        </row>
        <row r="9609">
          <cell r="W9609">
            <v>0</v>
          </cell>
          <cell r="AB9609" t="str">
            <v>line item not tagged</v>
          </cell>
        </row>
        <row r="9610">
          <cell r="W9610">
            <v>0</v>
          </cell>
          <cell r="AB9610" t="str">
            <v>line item not tagged</v>
          </cell>
        </row>
        <row r="9611">
          <cell r="W9611">
            <v>0</v>
          </cell>
          <cell r="AB9611" t="str">
            <v>line item not tagged</v>
          </cell>
        </row>
        <row r="9612">
          <cell r="W9612">
            <v>0</v>
          </cell>
          <cell r="AB9612" t="str">
            <v>line item not tagged</v>
          </cell>
        </row>
        <row r="9613">
          <cell r="W9613">
            <v>0</v>
          </cell>
          <cell r="AB9613" t="str">
            <v>line item not tagged</v>
          </cell>
        </row>
        <row r="9614">
          <cell r="W9614">
            <v>0</v>
          </cell>
          <cell r="AB9614" t="str">
            <v>line item not tagged</v>
          </cell>
        </row>
        <row r="9615">
          <cell r="W9615">
            <v>0</v>
          </cell>
          <cell r="AB9615" t="str">
            <v>line item not tagged</v>
          </cell>
        </row>
        <row r="9616">
          <cell r="W9616">
            <v>0</v>
          </cell>
          <cell r="AB9616" t="str">
            <v>line item not tagged</v>
          </cell>
        </row>
        <row r="9617">
          <cell r="W9617">
            <v>0</v>
          </cell>
          <cell r="AB9617" t="str">
            <v>line item not tagged</v>
          </cell>
        </row>
        <row r="9618">
          <cell r="W9618">
            <v>0</v>
          </cell>
          <cell r="AB9618" t="str">
            <v>line item not tagged</v>
          </cell>
        </row>
        <row r="9619">
          <cell r="W9619">
            <v>0</v>
          </cell>
          <cell r="AB9619" t="str">
            <v>line item not tagged</v>
          </cell>
        </row>
        <row r="9620">
          <cell r="W9620">
            <v>0</v>
          </cell>
          <cell r="AB9620" t="str">
            <v>line item not tagged</v>
          </cell>
        </row>
        <row r="9621">
          <cell r="W9621">
            <v>0</v>
          </cell>
          <cell r="AB9621" t="str">
            <v>line item not tagged</v>
          </cell>
        </row>
        <row r="9622">
          <cell r="W9622">
            <v>0</v>
          </cell>
          <cell r="AB9622" t="str">
            <v>line item not tagged</v>
          </cell>
        </row>
        <row r="9623">
          <cell r="W9623">
            <v>0</v>
          </cell>
          <cell r="AB9623" t="str">
            <v>line item not tagged</v>
          </cell>
        </row>
        <row r="9624">
          <cell r="W9624">
            <v>0</v>
          </cell>
          <cell r="AB9624" t="str">
            <v>line item not tagged</v>
          </cell>
        </row>
        <row r="9625">
          <cell r="W9625">
            <v>0</v>
          </cell>
          <cell r="AB9625" t="str">
            <v>line item not tagged</v>
          </cell>
        </row>
        <row r="9626">
          <cell r="W9626">
            <v>0</v>
          </cell>
          <cell r="AB9626" t="str">
            <v>line item not tagged</v>
          </cell>
        </row>
        <row r="9627">
          <cell r="W9627">
            <v>0</v>
          </cell>
          <cell r="AB9627" t="str">
            <v>line item not tagged</v>
          </cell>
        </row>
        <row r="9628">
          <cell r="W9628">
            <v>0</v>
          </cell>
          <cell r="AB9628" t="str">
            <v>line item not tagged</v>
          </cell>
        </row>
        <row r="9629">
          <cell r="W9629">
            <v>0</v>
          </cell>
          <cell r="AB9629" t="str">
            <v>line item not tagged</v>
          </cell>
        </row>
        <row r="9630">
          <cell r="W9630">
            <v>0</v>
          </cell>
          <cell r="AB9630" t="str">
            <v>line item not tagged</v>
          </cell>
        </row>
        <row r="9631">
          <cell r="W9631">
            <v>0</v>
          </cell>
          <cell r="AB9631" t="str">
            <v>line item not tagged</v>
          </cell>
        </row>
        <row r="9632">
          <cell r="W9632">
            <v>0</v>
          </cell>
          <cell r="AB9632" t="str">
            <v>line item not tagged</v>
          </cell>
        </row>
        <row r="9633">
          <cell r="W9633">
            <v>0</v>
          </cell>
          <cell r="AB9633" t="str">
            <v>line item not tagged</v>
          </cell>
        </row>
        <row r="9634">
          <cell r="W9634">
            <v>0</v>
          </cell>
          <cell r="AB9634" t="str">
            <v>line item not tagged</v>
          </cell>
        </row>
        <row r="9635">
          <cell r="W9635">
            <v>0</v>
          </cell>
          <cell r="AB9635" t="str">
            <v>line item not tagged</v>
          </cell>
        </row>
        <row r="9636">
          <cell r="W9636">
            <v>0</v>
          </cell>
          <cell r="AB9636" t="str">
            <v>line item not tagged</v>
          </cell>
        </row>
        <row r="9637">
          <cell r="W9637">
            <v>0</v>
          </cell>
          <cell r="AB9637" t="str">
            <v>line item not tagged</v>
          </cell>
        </row>
        <row r="9638">
          <cell r="W9638">
            <v>0</v>
          </cell>
          <cell r="AB9638" t="str">
            <v>line item not tagged</v>
          </cell>
        </row>
        <row r="9639">
          <cell r="W9639">
            <v>0</v>
          </cell>
          <cell r="AB9639" t="str">
            <v>line item not tagged</v>
          </cell>
        </row>
        <row r="9640">
          <cell r="W9640">
            <v>0</v>
          </cell>
          <cell r="AB9640" t="str">
            <v>line item not tagged</v>
          </cell>
        </row>
        <row r="9641">
          <cell r="W9641">
            <v>0</v>
          </cell>
          <cell r="AB9641" t="str">
            <v>line item not tagged</v>
          </cell>
        </row>
        <row r="9642">
          <cell r="W9642">
            <v>0</v>
          </cell>
          <cell r="AB9642" t="str">
            <v>line item not tagged</v>
          </cell>
        </row>
        <row r="9643">
          <cell r="W9643">
            <v>0</v>
          </cell>
          <cell r="AB9643" t="str">
            <v>line item not tagged</v>
          </cell>
        </row>
        <row r="9644">
          <cell r="W9644">
            <v>0</v>
          </cell>
          <cell r="AB9644" t="str">
            <v>line item not tagged</v>
          </cell>
        </row>
        <row r="9645">
          <cell r="W9645">
            <v>0</v>
          </cell>
          <cell r="AB9645" t="str">
            <v>line item not tagged</v>
          </cell>
        </row>
        <row r="9646">
          <cell r="W9646">
            <v>0</v>
          </cell>
          <cell r="AB9646" t="str">
            <v>line item not tagged</v>
          </cell>
        </row>
        <row r="9647">
          <cell r="W9647">
            <v>0</v>
          </cell>
          <cell r="AB9647" t="str">
            <v>line item not tagged</v>
          </cell>
        </row>
        <row r="9648">
          <cell r="W9648">
            <v>0</v>
          </cell>
          <cell r="AB9648" t="str">
            <v>line item not tagged</v>
          </cell>
        </row>
        <row r="9649">
          <cell r="W9649">
            <v>0</v>
          </cell>
          <cell r="AB9649" t="str">
            <v>line item not tagged</v>
          </cell>
        </row>
        <row r="9650">
          <cell r="W9650">
            <v>0</v>
          </cell>
          <cell r="AB9650" t="str">
            <v>line item not tagged</v>
          </cell>
        </row>
        <row r="9651">
          <cell r="W9651">
            <v>0</v>
          </cell>
          <cell r="AB9651" t="str">
            <v>line item not tagged</v>
          </cell>
        </row>
        <row r="9652">
          <cell r="W9652">
            <v>0</v>
          </cell>
          <cell r="AB9652" t="str">
            <v>line item not tagged</v>
          </cell>
        </row>
        <row r="9653">
          <cell r="W9653">
            <v>0</v>
          </cell>
          <cell r="AB9653" t="str">
            <v>line item not tagged</v>
          </cell>
        </row>
        <row r="9654">
          <cell r="W9654">
            <v>0</v>
          </cell>
          <cell r="AB9654" t="str">
            <v>line item not tagged</v>
          </cell>
        </row>
        <row r="9655">
          <cell r="W9655">
            <v>0</v>
          </cell>
          <cell r="AB9655" t="str">
            <v>line item not tagged</v>
          </cell>
        </row>
        <row r="9656">
          <cell r="W9656">
            <v>0</v>
          </cell>
          <cell r="AB9656" t="str">
            <v>line item not tagged</v>
          </cell>
        </row>
        <row r="9657">
          <cell r="W9657">
            <v>0</v>
          </cell>
          <cell r="AB9657" t="str">
            <v>line item not tagged</v>
          </cell>
        </row>
        <row r="9658">
          <cell r="W9658">
            <v>0</v>
          </cell>
          <cell r="AB9658" t="str">
            <v>line item not tagged</v>
          </cell>
        </row>
        <row r="9659">
          <cell r="W9659">
            <v>0</v>
          </cell>
          <cell r="AB9659" t="str">
            <v>line item not tagged</v>
          </cell>
        </row>
        <row r="9660">
          <cell r="W9660">
            <v>0</v>
          </cell>
          <cell r="AB9660" t="str">
            <v>line item not tagged</v>
          </cell>
        </row>
        <row r="9661">
          <cell r="W9661">
            <v>0</v>
          </cell>
          <cell r="AB9661" t="str">
            <v>line item not tagged</v>
          </cell>
        </row>
        <row r="9662">
          <cell r="W9662">
            <v>0</v>
          </cell>
          <cell r="AB9662" t="str">
            <v>line item not tagged</v>
          </cell>
        </row>
        <row r="9663">
          <cell r="W9663">
            <v>0</v>
          </cell>
          <cell r="AB9663" t="str">
            <v>line item not tagged</v>
          </cell>
        </row>
        <row r="9664">
          <cell r="W9664">
            <v>0</v>
          </cell>
          <cell r="AB9664" t="str">
            <v>line item not tagged</v>
          </cell>
        </row>
        <row r="9665">
          <cell r="W9665">
            <v>0</v>
          </cell>
          <cell r="AB9665" t="str">
            <v>line item not tagged</v>
          </cell>
        </row>
        <row r="9666">
          <cell r="W9666">
            <v>0</v>
          </cell>
          <cell r="AB9666" t="str">
            <v>line item not tagged</v>
          </cell>
        </row>
        <row r="9667">
          <cell r="W9667">
            <v>0</v>
          </cell>
          <cell r="AB9667" t="str">
            <v>line item not tagged</v>
          </cell>
        </row>
        <row r="9668">
          <cell r="W9668">
            <v>0</v>
          </cell>
          <cell r="AB9668" t="str">
            <v>line item not tagged</v>
          </cell>
        </row>
        <row r="9669">
          <cell r="W9669">
            <v>0</v>
          </cell>
          <cell r="AB9669" t="str">
            <v>line item not tagged</v>
          </cell>
        </row>
        <row r="9670">
          <cell r="W9670">
            <v>0</v>
          </cell>
          <cell r="AB9670" t="str">
            <v>line item not tagged</v>
          </cell>
        </row>
        <row r="9671">
          <cell r="W9671">
            <v>0</v>
          </cell>
          <cell r="AB9671" t="str">
            <v>line item not tagged</v>
          </cell>
        </row>
        <row r="9672">
          <cell r="W9672">
            <v>0</v>
          </cell>
          <cell r="AB9672" t="str">
            <v>line item not tagged</v>
          </cell>
        </row>
        <row r="9673">
          <cell r="W9673">
            <v>0</v>
          </cell>
          <cell r="AB9673" t="str">
            <v>line item not tagged</v>
          </cell>
        </row>
        <row r="9674">
          <cell r="W9674">
            <v>0</v>
          </cell>
          <cell r="AB9674" t="str">
            <v>line item not tagged</v>
          </cell>
        </row>
        <row r="9675">
          <cell r="W9675">
            <v>0</v>
          </cell>
          <cell r="AB9675" t="str">
            <v>line item not tagged</v>
          </cell>
        </row>
        <row r="9676">
          <cell r="W9676">
            <v>0</v>
          </cell>
          <cell r="AB9676" t="str">
            <v>line item not tagged</v>
          </cell>
        </row>
        <row r="9677">
          <cell r="W9677">
            <v>0</v>
          </cell>
          <cell r="AB9677" t="str">
            <v>line item not tagged</v>
          </cell>
        </row>
        <row r="9678">
          <cell r="W9678">
            <v>0</v>
          </cell>
          <cell r="AB9678" t="str">
            <v>line item not tagged</v>
          </cell>
        </row>
        <row r="9679">
          <cell r="W9679">
            <v>0</v>
          </cell>
          <cell r="AB9679" t="str">
            <v>line item not tagged</v>
          </cell>
        </row>
        <row r="9680">
          <cell r="W9680">
            <v>0</v>
          </cell>
          <cell r="AB9680" t="str">
            <v>line item not tagged</v>
          </cell>
        </row>
        <row r="9681">
          <cell r="W9681">
            <v>0</v>
          </cell>
          <cell r="AB9681" t="str">
            <v>line item not tagged</v>
          </cell>
        </row>
        <row r="9682">
          <cell r="W9682">
            <v>0</v>
          </cell>
          <cell r="AB9682" t="str">
            <v>line item not tagged</v>
          </cell>
        </row>
        <row r="9683">
          <cell r="W9683">
            <v>0</v>
          </cell>
          <cell r="AB9683" t="str">
            <v>line item not tagged</v>
          </cell>
        </row>
        <row r="9684">
          <cell r="W9684">
            <v>0</v>
          </cell>
          <cell r="AB9684" t="str">
            <v>line item not tagged</v>
          </cell>
        </row>
        <row r="9685">
          <cell r="W9685">
            <v>0</v>
          </cell>
          <cell r="AB9685" t="str">
            <v>line item not tagged</v>
          </cell>
        </row>
        <row r="9686">
          <cell r="W9686">
            <v>0</v>
          </cell>
          <cell r="AB9686" t="str">
            <v>line item not tagged</v>
          </cell>
        </row>
        <row r="9687">
          <cell r="W9687">
            <v>0</v>
          </cell>
          <cell r="AB9687" t="str">
            <v>line item not tagged</v>
          </cell>
        </row>
        <row r="9688">
          <cell r="W9688">
            <v>0</v>
          </cell>
          <cell r="AB9688" t="str">
            <v>line item not tagged</v>
          </cell>
        </row>
        <row r="9689">
          <cell r="W9689">
            <v>0</v>
          </cell>
          <cell r="AB9689" t="str">
            <v>line item not tagged</v>
          </cell>
        </row>
        <row r="9690">
          <cell r="W9690">
            <v>0</v>
          </cell>
          <cell r="AB9690" t="str">
            <v>line item not tagged</v>
          </cell>
        </row>
        <row r="9691">
          <cell r="W9691">
            <v>0</v>
          </cell>
          <cell r="AB9691" t="str">
            <v>line item not tagged</v>
          </cell>
        </row>
        <row r="9692">
          <cell r="W9692">
            <v>0</v>
          </cell>
          <cell r="AB9692" t="str">
            <v>line item not tagged</v>
          </cell>
        </row>
        <row r="9693">
          <cell r="W9693">
            <v>0</v>
          </cell>
          <cell r="AB9693" t="str">
            <v>line item not tagged</v>
          </cell>
        </row>
        <row r="9694">
          <cell r="W9694">
            <v>0</v>
          </cell>
          <cell r="AB9694" t="str">
            <v>line item not tagged</v>
          </cell>
        </row>
        <row r="9695">
          <cell r="W9695">
            <v>0</v>
          </cell>
          <cell r="AB9695" t="str">
            <v>line item not tagged</v>
          </cell>
        </row>
        <row r="9696">
          <cell r="W9696">
            <v>0</v>
          </cell>
          <cell r="AB9696" t="str">
            <v>line item not tagged</v>
          </cell>
        </row>
        <row r="9697">
          <cell r="W9697">
            <v>0</v>
          </cell>
          <cell r="AB9697" t="str">
            <v>line item not tagged</v>
          </cell>
        </row>
        <row r="9698">
          <cell r="W9698">
            <v>0</v>
          </cell>
          <cell r="AB9698" t="str">
            <v>line item not tagged</v>
          </cell>
        </row>
        <row r="9699">
          <cell r="W9699">
            <v>0</v>
          </cell>
          <cell r="AB9699" t="str">
            <v>line item not tagged</v>
          </cell>
        </row>
        <row r="9700">
          <cell r="W9700">
            <v>0</v>
          </cell>
          <cell r="AB9700" t="str">
            <v>line item not tagged</v>
          </cell>
        </row>
        <row r="9701">
          <cell r="W9701">
            <v>0</v>
          </cell>
          <cell r="AB9701" t="str">
            <v>line item not tagged</v>
          </cell>
        </row>
        <row r="9702">
          <cell r="W9702">
            <v>0</v>
          </cell>
          <cell r="AB9702" t="str">
            <v>line item not tagged</v>
          </cell>
        </row>
        <row r="9703">
          <cell r="W9703">
            <v>0</v>
          </cell>
          <cell r="AB9703" t="str">
            <v>line item not tagged</v>
          </cell>
        </row>
        <row r="9704">
          <cell r="W9704">
            <v>0</v>
          </cell>
          <cell r="AB9704" t="str">
            <v>line item not tagged</v>
          </cell>
        </row>
        <row r="9705">
          <cell r="W9705">
            <v>0</v>
          </cell>
          <cell r="AB9705" t="str">
            <v>line item not tagged</v>
          </cell>
        </row>
        <row r="9706">
          <cell r="W9706">
            <v>0</v>
          </cell>
          <cell r="AB9706" t="str">
            <v>line item not tagged</v>
          </cell>
        </row>
        <row r="9707">
          <cell r="W9707">
            <v>0</v>
          </cell>
          <cell r="AB9707" t="str">
            <v>line item not tagged</v>
          </cell>
        </row>
        <row r="9708">
          <cell r="W9708">
            <v>0</v>
          </cell>
          <cell r="AB9708" t="str">
            <v>line item not tagged</v>
          </cell>
        </row>
        <row r="9709">
          <cell r="W9709">
            <v>0</v>
          </cell>
          <cell r="AB9709" t="str">
            <v>line item not tagged</v>
          </cell>
        </row>
        <row r="9710">
          <cell r="W9710">
            <v>0</v>
          </cell>
          <cell r="AB9710" t="str">
            <v>line item not tagged</v>
          </cell>
        </row>
        <row r="9711">
          <cell r="W9711">
            <v>0</v>
          </cell>
          <cell r="AB9711" t="str">
            <v>line item not tagged</v>
          </cell>
        </row>
        <row r="9712">
          <cell r="W9712">
            <v>0</v>
          </cell>
          <cell r="AB9712" t="str">
            <v>line item not tagged</v>
          </cell>
        </row>
        <row r="9713">
          <cell r="W9713">
            <v>0</v>
          </cell>
          <cell r="AB9713" t="str">
            <v>line item not tagged</v>
          </cell>
        </row>
        <row r="9714">
          <cell r="W9714">
            <v>0</v>
          </cell>
          <cell r="AB9714" t="str">
            <v>line item not tagged</v>
          </cell>
        </row>
        <row r="9715">
          <cell r="W9715">
            <v>0</v>
          </cell>
          <cell r="AB9715" t="str">
            <v>line item not tagged</v>
          </cell>
        </row>
        <row r="9716">
          <cell r="W9716">
            <v>0</v>
          </cell>
          <cell r="AB9716" t="str">
            <v>line item not tagged</v>
          </cell>
        </row>
        <row r="9717">
          <cell r="W9717">
            <v>0</v>
          </cell>
          <cell r="AB9717" t="str">
            <v>line item not tagged</v>
          </cell>
        </row>
        <row r="9718">
          <cell r="W9718">
            <v>0</v>
          </cell>
          <cell r="AB9718" t="str">
            <v>line item not tagged</v>
          </cell>
        </row>
        <row r="9719">
          <cell r="W9719">
            <v>0</v>
          </cell>
          <cell r="AB9719" t="str">
            <v>line item not tagged</v>
          </cell>
        </row>
        <row r="9720">
          <cell r="W9720">
            <v>0</v>
          </cell>
          <cell r="AB9720" t="str">
            <v>line item not tagged</v>
          </cell>
        </row>
        <row r="9721">
          <cell r="W9721">
            <v>0</v>
          </cell>
          <cell r="AB9721" t="str">
            <v>line item not tagged</v>
          </cell>
        </row>
        <row r="9722">
          <cell r="W9722">
            <v>0</v>
          </cell>
          <cell r="AB9722" t="str">
            <v>line item not tagged</v>
          </cell>
        </row>
        <row r="9723">
          <cell r="W9723">
            <v>0</v>
          </cell>
          <cell r="AB9723" t="str">
            <v>line item not tagged</v>
          </cell>
        </row>
        <row r="9724">
          <cell r="W9724">
            <v>0</v>
          </cell>
          <cell r="AB9724" t="str">
            <v>line item not tagged</v>
          </cell>
        </row>
        <row r="9725">
          <cell r="W9725">
            <v>0</v>
          </cell>
          <cell r="AB9725" t="str">
            <v>line item not tagged</v>
          </cell>
        </row>
        <row r="9726">
          <cell r="W9726">
            <v>0</v>
          </cell>
          <cell r="AB9726" t="str">
            <v>line item not tagged</v>
          </cell>
        </row>
        <row r="9727">
          <cell r="W9727">
            <v>0</v>
          </cell>
          <cell r="AB9727" t="str">
            <v>line item not tagged</v>
          </cell>
        </row>
        <row r="9728">
          <cell r="W9728">
            <v>0</v>
          </cell>
          <cell r="AB9728" t="str">
            <v>line item not tagged</v>
          </cell>
        </row>
        <row r="9729">
          <cell r="W9729">
            <v>0</v>
          </cell>
          <cell r="AB9729" t="str">
            <v>line item not tagged</v>
          </cell>
        </row>
        <row r="9730">
          <cell r="W9730">
            <v>0</v>
          </cell>
          <cell r="AB9730" t="str">
            <v>line item not tagged</v>
          </cell>
        </row>
        <row r="9731">
          <cell r="W9731">
            <v>0</v>
          </cell>
          <cell r="AB9731" t="str">
            <v>line item not tagged</v>
          </cell>
        </row>
        <row r="9732">
          <cell r="W9732">
            <v>0</v>
          </cell>
          <cell r="AB9732" t="str">
            <v>line item not tagged</v>
          </cell>
        </row>
        <row r="9733">
          <cell r="W9733">
            <v>0</v>
          </cell>
          <cell r="AB9733" t="str">
            <v>line item not tagged</v>
          </cell>
        </row>
        <row r="9734">
          <cell r="W9734">
            <v>0</v>
          </cell>
          <cell r="AB9734" t="str">
            <v>line item not tagged</v>
          </cell>
        </row>
        <row r="9735">
          <cell r="W9735">
            <v>0</v>
          </cell>
          <cell r="AB9735" t="str">
            <v>line item not tagged</v>
          </cell>
        </row>
        <row r="9736">
          <cell r="W9736">
            <v>0</v>
          </cell>
          <cell r="AB9736" t="str">
            <v>line item not tagged</v>
          </cell>
        </row>
        <row r="9737">
          <cell r="W9737">
            <v>0</v>
          </cell>
          <cell r="AB9737" t="str">
            <v>line item not tagged</v>
          </cell>
        </row>
        <row r="9738">
          <cell r="W9738">
            <v>0</v>
          </cell>
          <cell r="AB9738" t="str">
            <v>line item not tagged</v>
          </cell>
        </row>
        <row r="9739">
          <cell r="W9739">
            <v>0</v>
          </cell>
          <cell r="AB9739" t="str">
            <v>line item not tagged</v>
          </cell>
        </row>
        <row r="9740">
          <cell r="W9740">
            <v>0</v>
          </cell>
          <cell r="AB9740" t="str">
            <v>line item not tagged</v>
          </cell>
        </row>
        <row r="9741">
          <cell r="W9741">
            <v>0</v>
          </cell>
          <cell r="AB9741" t="str">
            <v>line item not tagged</v>
          </cell>
        </row>
        <row r="9742">
          <cell r="W9742">
            <v>0</v>
          </cell>
          <cell r="AB9742" t="str">
            <v>line item not tagged</v>
          </cell>
        </row>
        <row r="9743">
          <cell r="W9743">
            <v>0</v>
          </cell>
          <cell r="AB9743" t="str">
            <v>line item not tagged</v>
          </cell>
        </row>
        <row r="9744">
          <cell r="W9744">
            <v>0</v>
          </cell>
          <cell r="AB9744" t="str">
            <v>line item not tagged</v>
          </cell>
        </row>
        <row r="9745">
          <cell r="W9745">
            <v>0</v>
          </cell>
          <cell r="AB9745" t="str">
            <v>line item not tagged</v>
          </cell>
        </row>
        <row r="9746">
          <cell r="W9746">
            <v>0</v>
          </cell>
          <cell r="AB9746" t="str">
            <v>line item not tagged</v>
          </cell>
        </row>
        <row r="9747">
          <cell r="W9747">
            <v>0</v>
          </cell>
          <cell r="AB9747" t="str">
            <v>line item not tagged</v>
          </cell>
        </row>
        <row r="9748">
          <cell r="W9748">
            <v>0</v>
          </cell>
          <cell r="AB9748" t="str">
            <v>line item not tagged</v>
          </cell>
        </row>
        <row r="9749">
          <cell r="W9749">
            <v>0</v>
          </cell>
          <cell r="AB9749" t="str">
            <v>line item not tagged</v>
          </cell>
        </row>
        <row r="9750">
          <cell r="W9750">
            <v>0</v>
          </cell>
          <cell r="AB9750" t="str">
            <v>line item not tagged</v>
          </cell>
        </row>
        <row r="9751">
          <cell r="W9751">
            <v>0</v>
          </cell>
          <cell r="AB9751" t="str">
            <v>line item not tagged</v>
          </cell>
        </row>
        <row r="9752">
          <cell r="W9752">
            <v>0</v>
          </cell>
          <cell r="AB9752" t="str">
            <v>line item not tagged</v>
          </cell>
        </row>
        <row r="9753">
          <cell r="W9753">
            <v>0</v>
          </cell>
          <cell r="AB9753" t="str">
            <v>line item not tagged</v>
          </cell>
        </row>
        <row r="9754">
          <cell r="W9754">
            <v>0</v>
          </cell>
          <cell r="AB9754" t="str">
            <v>line item not tagged</v>
          </cell>
        </row>
        <row r="9755">
          <cell r="W9755">
            <v>0</v>
          </cell>
          <cell r="AB9755" t="str">
            <v>line item not tagged</v>
          </cell>
        </row>
        <row r="9756">
          <cell r="W9756">
            <v>0</v>
          </cell>
          <cell r="AB9756" t="str">
            <v>line item not tagged</v>
          </cell>
        </row>
        <row r="9757">
          <cell r="W9757">
            <v>0</v>
          </cell>
          <cell r="AB9757" t="str">
            <v>line item not tagged</v>
          </cell>
        </row>
        <row r="9758">
          <cell r="W9758">
            <v>0</v>
          </cell>
          <cell r="AB9758" t="str">
            <v>line item not tagged</v>
          </cell>
        </row>
        <row r="9759">
          <cell r="W9759">
            <v>0</v>
          </cell>
          <cell r="AB9759" t="str">
            <v>line item not tagged</v>
          </cell>
        </row>
        <row r="9760">
          <cell r="W9760">
            <v>0</v>
          </cell>
          <cell r="AB9760" t="str">
            <v>line item not tagged</v>
          </cell>
        </row>
        <row r="9761">
          <cell r="W9761">
            <v>0</v>
          </cell>
          <cell r="AB9761" t="str">
            <v>line item not tagged</v>
          </cell>
        </row>
        <row r="9762">
          <cell r="W9762">
            <v>0</v>
          </cell>
          <cell r="AB9762" t="str">
            <v>line item not tagged</v>
          </cell>
        </row>
        <row r="9763">
          <cell r="W9763">
            <v>0</v>
          </cell>
          <cell r="AB9763" t="str">
            <v>line item not tagged</v>
          </cell>
        </row>
        <row r="9764">
          <cell r="W9764">
            <v>0</v>
          </cell>
          <cell r="AB9764" t="str">
            <v>line item not tagged</v>
          </cell>
        </row>
        <row r="9765">
          <cell r="W9765">
            <v>0</v>
          </cell>
          <cell r="AB9765" t="str">
            <v>line item not tagged</v>
          </cell>
        </row>
        <row r="9766">
          <cell r="W9766">
            <v>0</v>
          </cell>
          <cell r="AB9766" t="str">
            <v>line item not tagged</v>
          </cell>
        </row>
        <row r="9767">
          <cell r="W9767">
            <v>0</v>
          </cell>
          <cell r="AB9767" t="str">
            <v>line item not tagged</v>
          </cell>
        </row>
        <row r="9768">
          <cell r="W9768">
            <v>0</v>
          </cell>
          <cell r="AB9768" t="str">
            <v>line item not tagged</v>
          </cell>
        </row>
        <row r="9769">
          <cell r="W9769">
            <v>0</v>
          </cell>
          <cell r="AB9769" t="str">
            <v>line item not tagged</v>
          </cell>
        </row>
        <row r="9770">
          <cell r="W9770">
            <v>0</v>
          </cell>
          <cell r="AB9770" t="str">
            <v>line item not tagged</v>
          </cell>
        </row>
        <row r="9771">
          <cell r="W9771">
            <v>0</v>
          </cell>
          <cell r="AB9771" t="str">
            <v>line item not tagged</v>
          </cell>
        </row>
        <row r="9772">
          <cell r="W9772">
            <v>0</v>
          </cell>
          <cell r="AB9772" t="str">
            <v>line item not tagged</v>
          </cell>
        </row>
        <row r="9773">
          <cell r="W9773">
            <v>0</v>
          </cell>
          <cell r="AB9773" t="str">
            <v>line item not tagged</v>
          </cell>
        </row>
        <row r="9774">
          <cell r="W9774">
            <v>0</v>
          </cell>
          <cell r="AB9774" t="str">
            <v>line item not tagged</v>
          </cell>
        </row>
        <row r="9775">
          <cell r="W9775">
            <v>0</v>
          </cell>
          <cell r="AB9775" t="str">
            <v>line item not tagged</v>
          </cell>
        </row>
        <row r="9776">
          <cell r="W9776">
            <v>0</v>
          </cell>
          <cell r="AB9776" t="str">
            <v>line item not tagged</v>
          </cell>
        </row>
        <row r="9777">
          <cell r="W9777">
            <v>0</v>
          </cell>
          <cell r="AB9777" t="str">
            <v>line item not tagged</v>
          </cell>
        </row>
        <row r="9778">
          <cell r="W9778">
            <v>0</v>
          </cell>
          <cell r="AB9778" t="str">
            <v>line item not tagged</v>
          </cell>
        </row>
        <row r="9779">
          <cell r="W9779">
            <v>0</v>
          </cell>
          <cell r="AB9779" t="str">
            <v>line item not tagged</v>
          </cell>
        </row>
        <row r="9780">
          <cell r="W9780">
            <v>0</v>
          </cell>
          <cell r="AB9780" t="str">
            <v>line item not tagged</v>
          </cell>
        </row>
        <row r="9781">
          <cell r="W9781">
            <v>0</v>
          </cell>
          <cell r="AB9781" t="str">
            <v>line item not tagged</v>
          </cell>
        </row>
        <row r="9782">
          <cell r="W9782">
            <v>0</v>
          </cell>
          <cell r="AB9782" t="str">
            <v>line item not tagged</v>
          </cell>
        </row>
        <row r="9783">
          <cell r="W9783">
            <v>0</v>
          </cell>
          <cell r="AB9783" t="str">
            <v>line item not tagged</v>
          </cell>
        </row>
        <row r="9784">
          <cell r="W9784">
            <v>0</v>
          </cell>
          <cell r="AB9784" t="str">
            <v>line item not tagged</v>
          </cell>
        </row>
        <row r="9785">
          <cell r="W9785">
            <v>0</v>
          </cell>
          <cell r="AB9785" t="str">
            <v>line item not tagged</v>
          </cell>
        </row>
        <row r="9786">
          <cell r="W9786">
            <v>0</v>
          </cell>
          <cell r="AB9786" t="str">
            <v>line item not tagged</v>
          </cell>
        </row>
        <row r="9787">
          <cell r="W9787">
            <v>0</v>
          </cell>
          <cell r="AB9787" t="str">
            <v>line item not tagged</v>
          </cell>
        </row>
        <row r="9788">
          <cell r="W9788">
            <v>0</v>
          </cell>
          <cell r="AB9788" t="str">
            <v>line item not tagged</v>
          </cell>
        </row>
        <row r="9789">
          <cell r="W9789">
            <v>0</v>
          </cell>
          <cell r="AB9789" t="str">
            <v>line item not tagged</v>
          </cell>
        </row>
        <row r="9790">
          <cell r="W9790">
            <v>0</v>
          </cell>
          <cell r="AB9790" t="str">
            <v>line item not tagged</v>
          </cell>
        </row>
        <row r="9791">
          <cell r="W9791">
            <v>0</v>
          </cell>
          <cell r="AB9791" t="str">
            <v>line item not tagged</v>
          </cell>
        </row>
        <row r="9792">
          <cell r="W9792">
            <v>0</v>
          </cell>
          <cell r="AB9792" t="str">
            <v>line item not tagged</v>
          </cell>
        </row>
        <row r="9793">
          <cell r="W9793">
            <v>0</v>
          </cell>
          <cell r="AB9793" t="str">
            <v>line item not tagged</v>
          </cell>
        </row>
        <row r="9794">
          <cell r="W9794">
            <v>0</v>
          </cell>
          <cell r="AB9794" t="str">
            <v>line item not tagged</v>
          </cell>
        </row>
        <row r="9795">
          <cell r="W9795">
            <v>0</v>
          </cell>
          <cell r="AB9795" t="str">
            <v>line item not tagged</v>
          </cell>
        </row>
        <row r="9796">
          <cell r="W9796">
            <v>0</v>
          </cell>
          <cell r="AB9796" t="str">
            <v>line item not tagged</v>
          </cell>
        </row>
        <row r="9797">
          <cell r="W9797">
            <v>0</v>
          </cell>
          <cell r="AB9797" t="str">
            <v>line item not tagged</v>
          </cell>
        </row>
        <row r="9798">
          <cell r="W9798">
            <v>0</v>
          </cell>
          <cell r="AB9798" t="str">
            <v>line item not tagged</v>
          </cell>
        </row>
        <row r="9799">
          <cell r="W9799">
            <v>0</v>
          </cell>
          <cell r="AB9799" t="str">
            <v>line item not tagged</v>
          </cell>
        </row>
        <row r="9800">
          <cell r="W9800">
            <v>0</v>
          </cell>
          <cell r="AB9800" t="str">
            <v>line item not tagged</v>
          </cell>
        </row>
        <row r="9801">
          <cell r="W9801">
            <v>0</v>
          </cell>
          <cell r="AB9801" t="str">
            <v>line item not tagged</v>
          </cell>
        </row>
        <row r="9802">
          <cell r="W9802">
            <v>0</v>
          </cell>
          <cell r="AB9802" t="str">
            <v>line item not tagged</v>
          </cell>
        </row>
        <row r="9803">
          <cell r="W9803">
            <v>0</v>
          </cell>
          <cell r="AB9803" t="str">
            <v>line item not tagged</v>
          </cell>
        </row>
        <row r="9804">
          <cell r="W9804">
            <v>0</v>
          </cell>
          <cell r="AB9804" t="str">
            <v>line item not tagged</v>
          </cell>
        </row>
        <row r="9805">
          <cell r="W9805">
            <v>0</v>
          </cell>
          <cell r="AB9805" t="str">
            <v>line item not tagged</v>
          </cell>
        </row>
        <row r="9806">
          <cell r="W9806">
            <v>0</v>
          </cell>
          <cell r="AB9806" t="str">
            <v>line item not tagged</v>
          </cell>
        </row>
        <row r="9807">
          <cell r="W9807">
            <v>0</v>
          </cell>
          <cell r="AB9807" t="str">
            <v>line item not tagged</v>
          </cell>
        </row>
        <row r="9808">
          <cell r="W9808">
            <v>0</v>
          </cell>
          <cell r="AB9808" t="str">
            <v>line item not tagged</v>
          </cell>
        </row>
        <row r="9809">
          <cell r="W9809">
            <v>0</v>
          </cell>
          <cell r="AB9809" t="str">
            <v>line item not tagged</v>
          </cell>
        </row>
        <row r="9810">
          <cell r="W9810">
            <v>0</v>
          </cell>
          <cell r="AB9810" t="str">
            <v>line item not tagged</v>
          </cell>
        </row>
        <row r="9811">
          <cell r="W9811">
            <v>0</v>
          </cell>
          <cell r="AB9811" t="str">
            <v>line item not tagged</v>
          </cell>
        </row>
        <row r="9812">
          <cell r="W9812">
            <v>0</v>
          </cell>
          <cell r="AB9812" t="str">
            <v>line item not tagged</v>
          </cell>
        </row>
        <row r="9813">
          <cell r="W9813">
            <v>0</v>
          </cell>
          <cell r="AB9813" t="str">
            <v>line item not tagged</v>
          </cell>
        </row>
        <row r="9814">
          <cell r="W9814">
            <v>0</v>
          </cell>
          <cell r="AB9814" t="str">
            <v>line item not tagged</v>
          </cell>
        </row>
        <row r="9815">
          <cell r="W9815">
            <v>0</v>
          </cell>
          <cell r="AB9815" t="str">
            <v>line item not tagged</v>
          </cell>
        </row>
        <row r="9816">
          <cell r="W9816">
            <v>0</v>
          </cell>
          <cell r="AB9816" t="str">
            <v>line item not tagged</v>
          </cell>
        </row>
        <row r="9817">
          <cell r="W9817">
            <v>0</v>
          </cell>
          <cell r="AB9817" t="str">
            <v>line item not tagged</v>
          </cell>
        </row>
        <row r="9818">
          <cell r="W9818">
            <v>0</v>
          </cell>
          <cell r="AB9818" t="str">
            <v>line item not tagged</v>
          </cell>
        </row>
        <row r="9819">
          <cell r="W9819">
            <v>0</v>
          </cell>
          <cell r="AB9819" t="str">
            <v>line item not tagged</v>
          </cell>
        </row>
        <row r="9820">
          <cell r="W9820">
            <v>0</v>
          </cell>
          <cell r="AB9820" t="str">
            <v>line item not tagged</v>
          </cell>
        </row>
        <row r="9821">
          <cell r="W9821">
            <v>0</v>
          </cell>
          <cell r="AB9821" t="str">
            <v>line item not tagged</v>
          </cell>
        </row>
        <row r="9822">
          <cell r="W9822">
            <v>0</v>
          </cell>
          <cell r="AB9822" t="str">
            <v>line item not tagged</v>
          </cell>
        </row>
        <row r="9823">
          <cell r="W9823">
            <v>0</v>
          </cell>
          <cell r="AB9823" t="str">
            <v>line item not tagged</v>
          </cell>
        </row>
        <row r="9824">
          <cell r="W9824">
            <v>0</v>
          </cell>
          <cell r="AB9824" t="str">
            <v>line item not tagged</v>
          </cell>
        </row>
        <row r="9825">
          <cell r="W9825">
            <v>0</v>
          </cell>
          <cell r="AB9825" t="str">
            <v>line item not tagged</v>
          </cell>
        </row>
        <row r="9826">
          <cell r="W9826">
            <v>0</v>
          </cell>
          <cell r="AB9826" t="str">
            <v>line item not tagged</v>
          </cell>
        </row>
        <row r="9827">
          <cell r="W9827">
            <v>0</v>
          </cell>
          <cell r="AB9827" t="str">
            <v>line item not tagged</v>
          </cell>
        </row>
        <row r="9828">
          <cell r="W9828">
            <v>0</v>
          </cell>
          <cell r="AB9828" t="str">
            <v>line item not tagged</v>
          </cell>
        </row>
        <row r="9829">
          <cell r="W9829">
            <v>0</v>
          </cell>
          <cell r="AB9829" t="str">
            <v>line item not tagged</v>
          </cell>
        </row>
        <row r="9830">
          <cell r="W9830">
            <v>0</v>
          </cell>
          <cell r="AB9830" t="str">
            <v>line item not tagged</v>
          </cell>
        </row>
        <row r="9831">
          <cell r="W9831">
            <v>0</v>
          </cell>
          <cell r="AB9831" t="str">
            <v>line item not tagged</v>
          </cell>
        </row>
        <row r="9832">
          <cell r="W9832">
            <v>0</v>
          </cell>
          <cell r="AB9832" t="str">
            <v>line item not tagged</v>
          </cell>
        </row>
        <row r="9833">
          <cell r="W9833">
            <v>0</v>
          </cell>
          <cell r="AB9833" t="str">
            <v>line item not tagged</v>
          </cell>
        </row>
        <row r="9834">
          <cell r="W9834">
            <v>0</v>
          </cell>
          <cell r="AB9834" t="str">
            <v>line item not tagged</v>
          </cell>
        </row>
        <row r="9835">
          <cell r="W9835">
            <v>0</v>
          </cell>
          <cell r="AB9835" t="str">
            <v>line item not tagged</v>
          </cell>
        </row>
        <row r="9836">
          <cell r="W9836">
            <v>0</v>
          </cell>
          <cell r="AB9836" t="str">
            <v>line item not tagged</v>
          </cell>
        </row>
        <row r="9837">
          <cell r="W9837">
            <v>0</v>
          </cell>
          <cell r="AB9837" t="str">
            <v>line item not tagged</v>
          </cell>
        </row>
        <row r="9838">
          <cell r="W9838">
            <v>0</v>
          </cell>
          <cell r="AB9838" t="str">
            <v>line item not tagged</v>
          </cell>
        </row>
        <row r="9839">
          <cell r="W9839">
            <v>0</v>
          </cell>
          <cell r="AB9839" t="str">
            <v>line item not tagged</v>
          </cell>
        </row>
        <row r="9840">
          <cell r="W9840">
            <v>0</v>
          </cell>
          <cell r="AB9840" t="str">
            <v>line item not tagged</v>
          </cell>
        </row>
        <row r="9841">
          <cell r="W9841">
            <v>0</v>
          </cell>
          <cell r="AB9841" t="str">
            <v>line item not tagged</v>
          </cell>
        </row>
        <row r="9842">
          <cell r="W9842">
            <v>0</v>
          </cell>
          <cell r="AB9842" t="str">
            <v>line item not tagged</v>
          </cell>
        </row>
        <row r="9843">
          <cell r="W9843">
            <v>0</v>
          </cell>
          <cell r="AB9843" t="str">
            <v>line item not tagged</v>
          </cell>
        </row>
        <row r="9844">
          <cell r="W9844">
            <v>0</v>
          </cell>
          <cell r="AB9844" t="str">
            <v>line item not tagged</v>
          </cell>
        </row>
        <row r="9845">
          <cell r="W9845">
            <v>0</v>
          </cell>
          <cell r="AB9845" t="str">
            <v>line item not tagged</v>
          </cell>
        </row>
        <row r="9846">
          <cell r="W9846">
            <v>0</v>
          </cell>
          <cell r="AB9846" t="str">
            <v>line item not tagged</v>
          </cell>
        </row>
        <row r="9847">
          <cell r="W9847">
            <v>0</v>
          </cell>
          <cell r="AB9847" t="str">
            <v>line item not tagged</v>
          </cell>
        </row>
        <row r="9848">
          <cell r="W9848">
            <v>0</v>
          </cell>
          <cell r="AB9848" t="str">
            <v>line item not tagged</v>
          </cell>
        </row>
        <row r="9849">
          <cell r="W9849">
            <v>0</v>
          </cell>
          <cell r="AB9849" t="str">
            <v>line item not tagged</v>
          </cell>
        </row>
        <row r="9850">
          <cell r="W9850">
            <v>0</v>
          </cell>
          <cell r="AB9850" t="str">
            <v>line item not tagged</v>
          </cell>
        </row>
        <row r="9851">
          <cell r="W9851">
            <v>0</v>
          </cell>
          <cell r="AB9851" t="str">
            <v>line item not tagged</v>
          </cell>
        </row>
        <row r="9852">
          <cell r="W9852">
            <v>0</v>
          </cell>
          <cell r="AB9852" t="str">
            <v>line item not tagged</v>
          </cell>
        </row>
        <row r="9853">
          <cell r="W9853">
            <v>0</v>
          </cell>
          <cell r="AB9853" t="str">
            <v>line item not tagged</v>
          </cell>
        </row>
        <row r="9854">
          <cell r="W9854">
            <v>0</v>
          </cell>
          <cell r="AB9854" t="str">
            <v>line item not tagged</v>
          </cell>
        </row>
        <row r="9855">
          <cell r="W9855">
            <v>0</v>
          </cell>
          <cell r="AB9855" t="str">
            <v>line item not tagged</v>
          </cell>
        </row>
        <row r="9856">
          <cell r="W9856">
            <v>0</v>
          </cell>
          <cell r="AB9856" t="str">
            <v>line item not tagged</v>
          </cell>
        </row>
        <row r="9857">
          <cell r="W9857">
            <v>0</v>
          </cell>
          <cell r="AB9857" t="str">
            <v>line item not tagged</v>
          </cell>
        </row>
        <row r="9858">
          <cell r="W9858">
            <v>0</v>
          </cell>
          <cell r="AB9858" t="str">
            <v>line item not tagged</v>
          </cell>
        </row>
        <row r="9859">
          <cell r="W9859">
            <v>0</v>
          </cell>
          <cell r="AB9859" t="str">
            <v>line item not tagged</v>
          </cell>
        </row>
        <row r="9860">
          <cell r="W9860">
            <v>0</v>
          </cell>
          <cell r="AB9860" t="str">
            <v>line item not tagged</v>
          </cell>
        </row>
        <row r="9861">
          <cell r="W9861">
            <v>0</v>
          </cell>
          <cell r="AB9861" t="str">
            <v>line item not tagged</v>
          </cell>
        </row>
        <row r="9862">
          <cell r="W9862">
            <v>0</v>
          </cell>
          <cell r="AB9862" t="str">
            <v>line item not tagged</v>
          </cell>
        </row>
        <row r="9863">
          <cell r="W9863">
            <v>0</v>
          </cell>
          <cell r="AB9863" t="str">
            <v>line item not tagged</v>
          </cell>
        </row>
        <row r="9864">
          <cell r="W9864">
            <v>0</v>
          </cell>
          <cell r="AB9864" t="str">
            <v>line item not tagged</v>
          </cell>
        </row>
        <row r="9865">
          <cell r="W9865">
            <v>0</v>
          </cell>
          <cell r="AB9865" t="str">
            <v>line item not tagged</v>
          </cell>
        </row>
        <row r="9866">
          <cell r="W9866">
            <v>0</v>
          </cell>
          <cell r="AB9866" t="str">
            <v>line item not tagged</v>
          </cell>
        </row>
        <row r="9867">
          <cell r="W9867">
            <v>0</v>
          </cell>
          <cell r="AB9867" t="str">
            <v>line item not tagged</v>
          </cell>
        </row>
        <row r="9868">
          <cell r="W9868">
            <v>0</v>
          </cell>
          <cell r="AB9868" t="str">
            <v>line item not tagged</v>
          </cell>
        </row>
        <row r="9869">
          <cell r="W9869">
            <v>0</v>
          </cell>
          <cell r="AB9869" t="str">
            <v>line item not tagged</v>
          </cell>
        </row>
        <row r="9870">
          <cell r="W9870">
            <v>0</v>
          </cell>
          <cell r="AB9870" t="str">
            <v>line item not tagged</v>
          </cell>
        </row>
        <row r="9871">
          <cell r="W9871">
            <v>0</v>
          </cell>
          <cell r="AB9871" t="str">
            <v>line item not tagged</v>
          </cell>
        </row>
        <row r="9872">
          <cell r="W9872">
            <v>0</v>
          </cell>
          <cell r="AB9872" t="str">
            <v>line item not tagged</v>
          </cell>
        </row>
        <row r="9873">
          <cell r="W9873">
            <v>0</v>
          </cell>
          <cell r="AB9873" t="str">
            <v>line item not tagged</v>
          </cell>
        </row>
        <row r="9874">
          <cell r="W9874">
            <v>0</v>
          </cell>
          <cell r="AB9874" t="str">
            <v>line item not tagged</v>
          </cell>
        </row>
        <row r="9875">
          <cell r="W9875">
            <v>0</v>
          </cell>
          <cell r="AB9875" t="str">
            <v>line item not tagged</v>
          </cell>
        </row>
        <row r="9876">
          <cell r="W9876">
            <v>0</v>
          </cell>
          <cell r="AB9876" t="str">
            <v>line item not tagged</v>
          </cell>
        </row>
        <row r="9877">
          <cell r="W9877">
            <v>0</v>
          </cell>
          <cell r="AB9877" t="str">
            <v>line item not tagged</v>
          </cell>
        </row>
        <row r="9878">
          <cell r="W9878">
            <v>0</v>
          </cell>
          <cell r="AB9878" t="str">
            <v>line item not tagged</v>
          </cell>
        </row>
        <row r="9879">
          <cell r="W9879">
            <v>0</v>
          </cell>
          <cell r="AB9879" t="str">
            <v>line item not tagged</v>
          </cell>
        </row>
        <row r="9880">
          <cell r="W9880">
            <v>0</v>
          </cell>
          <cell r="AB9880" t="str">
            <v>line item not tagged</v>
          </cell>
        </row>
        <row r="9881">
          <cell r="W9881">
            <v>0</v>
          </cell>
          <cell r="AB9881" t="str">
            <v>line item not tagged</v>
          </cell>
        </row>
        <row r="9882">
          <cell r="W9882">
            <v>0</v>
          </cell>
          <cell r="AB9882" t="str">
            <v>line item not tagged</v>
          </cell>
        </row>
        <row r="9883">
          <cell r="W9883">
            <v>0</v>
          </cell>
          <cell r="AB9883" t="str">
            <v>line item not tagged</v>
          </cell>
        </row>
        <row r="9884">
          <cell r="W9884">
            <v>0</v>
          </cell>
          <cell r="AB9884" t="str">
            <v>line item not tagged</v>
          </cell>
        </row>
        <row r="9885">
          <cell r="W9885">
            <v>0</v>
          </cell>
          <cell r="AB9885" t="str">
            <v>line item not tagged</v>
          </cell>
        </row>
        <row r="9886">
          <cell r="W9886">
            <v>0</v>
          </cell>
          <cell r="AB9886" t="str">
            <v>line item not tagged</v>
          </cell>
        </row>
        <row r="9887">
          <cell r="W9887">
            <v>0</v>
          </cell>
          <cell r="AB9887" t="str">
            <v>line item not tagged</v>
          </cell>
        </row>
        <row r="9888">
          <cell r="W9888">
            <v>0</v>
          </cell>
          <cell r="AB9888" t="str">
            <v>line item not tagged</v>
          </cell>
        </row>
        <row r="9889">
          <cell r="W9889">
            <v>0</v>
          </cell>
          <cell r="AB9889" t="str">
            <v>line item not tagged</v>
          </cell>
        </row>
        <row r="9890">
          <cell r="W9890">
            <v>0</v>
          </cell>
          <cell r="AB9890" t="str">
            <v>line item not tagged</v>
          </cell>
        </row>
        <row r="9891">
          <cell r="W9891">
            <v>0</v>
          </cell>
          <cell r="AB9891" t="str">
            <v>line item not tagged</v>
          </cell>
        </row>
        <row r="9892">
          <cell r="W9892">
            <v>0</v>
          </cell>
          <cell r="AB9892" t="str">
            <v>line item not tagged</v>
          </cell>
        </row>
        <row r="9893">
          <cell r="W9893">
            <v>0</v>
          </cell>
          <cell r="AB9893" t="str">
            <v>line item not tagged</v>
          </cell>
        </row>
        <row r="9894">
          <cell r="W9894">
            <v>0</v>
          </cell>
          <cell r="AB9894" t="str">
            <v>line item not tagged</v>
          </cell>
        </row>
        <row r="9895">
          <cell r="W9895">
            <v>0</v>
          </cell>
          <cell r="AB9895" t="str">
            <v>line item not tagged</v>
          </cell>
        </row>
        <row r="9896">
          <cell r="W9896">
            <v>0</v>
          </cell>
          <cell r="AB9896" t="str">
            <v>line item not tagged</v>
          </cell>
        </row>
        <row r="9897">
          <cell r="W9897">
            <v>0</v>
          </cell>
          <cell r="AB9897" t="str">
            <v>line item not tagged</v>
          </cell>
        </row>
        <row r="9898">
          <cell r="W9898">
            <v>0</v>
          </cell>
          <cell r="AB9898" t="str">
            <v>line item not tagged</v>
          </cell>
        </row>
        <row r="9899">
          <cell r="W9899">
            <v>0</v>
          </cell>
          <cell r="AB9899" t="str">
            <v>line item not tagged</v>
          </cell>
        </row>
        <row r="9900">
          <cell r="W9900">
            <v>0</v>
          </cell>
          <cell r="AB9900" t="str">
            <v>line item not tagged</v>
          </cell>
        </row>
        <row r="9901">
          <cell r="W9901">
            <v>0</v>
          </cell>
          <cell r="AB9901" t="str">
            <v>line item not tagged</v>
          </cell>
        </row>
        <row r="9902">
          <cell r="W9902">
            <v>0</v>
          </cell>
          <cell r="AB9902" t="str">
            <v>line item not tagged</v>
          </cell>
        </row>
        <row r="9903">
          <cell r="W9903">
            <v>0</v>
          </cell>
          <cell r="AB9903" t="str">
            <v>line item not tagged</v>
          </cell>
        </row>
        <row r="9904">
          <cell r="W9904">
            <v>0</v>
          </cell>
          <cell r="AB9904" t="str">
            <v>line item not tagged</v>
          </cell>
        </row>
        <row r="9905">
          <cell r="W9905">
            <v>0</v>
          </cell>
          <cell r="AB9905" t="str">
            <v>line item not tagged</v>
          </cell>
        </row>
        <row r="9906">
          <cell r="W9906">
            <v>0</v>
          </cell>
          <cell r="AB9906" t="str">
            <v>line item not tagged</v>
          </cell>
        </row>
        <row r="9907">
          <cell r="W9907">
            <v>0</v>
          </cell>
          <cell r="AB9907" t="str">
            <v>line item not tagged</v>
          </cell>
        </row>
        <row r="9908">
          <cell r="W9908">
            <v>0</v>
          </cell>
          <cell r="AB9908" t="str">
            <v>line item not tagged</v>
          </cell>
        </row>
        <row r="9909">
          <cell r="W9909">
            <v>0</v>
          </cell>
          <cell r="AB9909" t="str">
            <v>line item not tagged</v>
          </cell>
        </row>
        <row r="9910">
          <cell r="W9910">
            <v>0</v>
          </cell>
          <cell r="AB9910" t="str">
            <v>line item not tagged</v>
          </cell>
        </row>
        <row r="9911">
          <cell r="W9911">
            <v>0</v>
          </cell>
          <cell r="AB9911" t="str">
            <v>line item not tagged</v>
          </cell>
        </row>
        <row r="9912">
          <cell r="W9912">
            <v>0</v>
          </cell>
          <cell r="AB9912" t="str">
            <v>line item not tagged</v>
          </cell>
        </row>
        <row r="9913">
          <cell r="W9913">
            <v>0</v>
          </cell>
          <cell r="AB9913" t="str">
            <v>line item not tagged</v>
          </cell>
        </row>
        <row r="9914">
          <cell r="W9914">
            <v>0</v>
          </cell>
          <cell r="AB9914" t="str">
            <v>line item not tagged</v>
          </cell>
        </row>
        <row r="9915">
          <cell r="W9915">
            <v>0</v>
          </cell>
          <cell r="AB9915" t="str">
            <v>line item not tagged</v>
          </cell>
        </row>
        <row r="9916">
          <cell r="W9916">
            <v>0</v>
          </cell>
          <cell r="AB9916" t="str">
            <v>line item not tagged</v>
          </cell>
        </row>
        <row r="9917">
          <cell r="W9917">
            <v>0</v>
          </cell>
          <cell r="AB9917" t="str">
            <v>line item not tagged</v>
          </cell>
        </row>
        <row r="9918">
          <cell r="W9918">
            <v>0</v>
          </cell>
          <cell r="AB9918" t="str">
            <v>line item not tagged</v>
          </cell>
        </row>
        <row r="9919">
          <cell r="W9919">
            <v>0</v>
          </cell>
          <cell r="AB9919" t="str">
            <v>line item not tagged</v>
          </cell>
        </row>
        <row r="9920">
          <cell r="W9920">
            <v>0</v>
          </cell>
          <cell r="AB9920" t="str">
            <v>line item not tagged</v>
          </cell>
        </row>
        <row r="9921">
          <cell r="W9921">
            <v>0</v>
          </cell>
          <cell r="AB9921" t="str">
            <v>line item not tagged</v>
          </cell>
        </row>
        <row r="9922">
          <cell r="W9922">
            <v>0</v>
          </cell>
          <cell r="AB9922" t="str">
            <v>line item not tagged</v>
          </cell>
        </row>
        <row r="9923">
          <cell r="W9923">
            <v>0</v>
          </cell>
          <cell r="AB9923" t="str">
            <v>line item not tagged</v>
          </cell>
        </row>
        <row r="9924">
          <cell r="W9924">
            <v>0</v>
          </cell>
          <cell r="AB9924" t="str">
            <v>line item not tagged</v>
          </cell>
        </row>
        <row r="9925">
          <cell r="W9925">
            <v>0</v>
          </cell>
          <cell r="AB9925" t="str">
            <v>line item not tagged</v>
          </cell>
        </row>
        <row r="9926">
          <cell r="W9926">
            <v>0</v>
          </cell>
          <cell r="AB9926" t="str">
            <v>line item not tagged</v>
          </cell>
        </row>
        <row r="9927">
          <cell r="W9927">
            <v>0</v>
          </cell>
          <cell r="AB9927" t="str">
            <v>line item not tagged</v>
          </cell>
        </row>
        <row r="9928">
          <cell r="W9928">
            <v>0</v>
          </cell>
          <cell r="AB9928" t="str">
            <v>line item not tagged</v>
          </cell>
        </row>
        <row r="9929">
          <cell r="W9929">
            <v>0</v>
          </cell>
          <cell r="AB9929" t="str">
            <v>line item not tagged</v>
          </cell>
        </row>
        <row r="9930">
          <cell r="W9930">
            <v>0</v>
          </cell>
          <cell r="AB9930" t="str">
            <v>line item not tagged</v>
          </cell>
        </row>
        <row r="9931">
          <cell r="W9931">
            <v>0</v>
          </cell>
          <cell r="AB9931" t="str">
            <v>line item not tagged</v>
          </cell>
        </row>
        <row r="9932">
          <cell r="W9932">
            <v>0</v>
          </cell>
          <cell r="AB9932" t="str">
            <v>line item not tagged</v>
          </cell>
        </row>
        <row r="9933">
          <cell r="W9933">
            <v>0</v>
          </cell>
          <cell r="AB9933" t="str">
            <v>line item not tagged</v>
          </cell>
        </row>
        <row r="9934">
          <cell r="W9934">
            <v>0</v>
          </cell>
          <cell r="AB9934" t="str">
            <v>line item not tagged</v>
          </cell>
        </row>
        <row r="9935">
          <cell r="W9935">
            <v>0</v>
          </cell>
          <cell r="AB9935" t="str">
            <v>line item not tagged</v>
          </cell>
        </row>
        <row r="9936">
          <cell r="W9936">
            <v>0</v>
          </cell>
          <cell r="AB9936" t="str">
            <v>line item not tagged</v>
          </cell>
        </row>
        <row r="9937">
          <cell r="W9937">
            <v>0</v>
          </cell>
          <cell r="AB9937" t="str">
            <v>line item not tagged</v>
          </cell>
        </row>
        <row r="9938">
          <cell r="W9938">
            <v>0</v>
          </cell>
          <cell r="AB9938" t="str">
            <v>line item not tagged</v>
          </cell>
        </row>
        <row r="9939">
          <cell r="W9939">
            <v>0</v>
          </cell>
          <cell r="AB9939" t="str">
            <v>line item not tagged</v>
          </cell>
        </row>
        <row r="9940">
          <cell r="W9940">
            <v>0</v>
          </cell>
          <cell r="AB9940" t="str">
            <v>line item not tagged</v>
          </cell>
        </row>
        <row r="9941">
          <cell r="W9941">
            <v>0</v>
          </cell>
          <cell r="AB9941" t="str">
            <v>line item not tagged</v>
          </cell>
        </row>
        <row r="9942">
          <cell r="W9942">
            <v>0</v>
          </cell>
          <cell r="AB9942" t="str">
            <v>line item not tagged</v>
          </cell>
        </row>
        <row r="9943">
          <cell r="W9943">
            <v>0</v>
          </cell>
          <cell r="AB9943" t="str">
            <v>line item not tagged</v>
          </cell>
        </row>
        <row r="9944">
          <cell r="W9944">
            <v>0</v>
          </cell>
          <cell r="AB9944" t="str">
            <v>line item not tagged</v>
          </cell>
        </row>
        <row r="9945">
          <cell r="W9945">
            <v>0</v>
          </cell>
          <cell r="AB9945" t="str">
            <v>line item not tagged</v>
          </cell>
        </row>
        <row r="9946">
          <cell r="W9946">
            <v>0</v>
          </cell>
          <cell r="AB9946" t="str">
            <v>line item not tagged</v>
          </cell>
        </row>
        <row r="9947">
          <cell r="W9947">
            <v>0</v>
          </cell>
          <cell r="AB9947" t="str">
            <v>line item not tagged</v>
          </cell>
        </row>
        <row r="9948">
          <cell r="W9948">
            <v>0</v>
          </cell>
          <cell r="AB9948" t="str">
            <v>line item not tagged</v>
          </cell>
        </row>
        <row r="9949">
          <cell r="W9949">
            <v>0</v>
          </cell>
          <cell r="AB9949" t="str">
            <v>line item not tagged</v>
          </cell>
        </row>
        <row r="9950">
          <cell r="W9950">
            <v>0</v>
          </cell>
          <cell r="AB9950" t="str">
            <v>line item not tagged</v>
          </cell>
        </row>
        <row r="9951">
          <cell r="W9951">
            <v>0</v>
          </cell>
          <cell r="AB9951" t="str">
            <v>line item not tagged</v>
          </cell>
        </row>
        <row r="9952">
          <cell r="W9952">
            <v>0</v>
          </cell>
          <cell r="AB9952" t="str">
            <v>line item not tagged</v>
          </cell>
        </row>
        <row r="9953">
          <cell r="W9953">
            <v>0</v>
          </cell>
          <cell r="AB9953" t="str">
            <v>line item not tagged</v>
          </cell>
        </row>
        <row r="9954">
          <cell r="W9954">
            <v>0</v>
          </cell>
          <cell r="AB9954" t="str">
            <v>line item not tagged</v>
          </cell>
        </row>
        <row r="9955">
          <cell r="W9955">
            <v>0</v>
          </cell>
          <cell r="AB9955" t="str">
            <v>line item not tagged</v>
          </cell>
        </row>
        <row r="9956">
          <cell r="W9956">
            <v>0</v>
          </cell>
          <cell r="AB9956" t="str">
            <v>line item not tagged</v>
          </cell>
        </row>
        <row r="9957">
          <cell r="W9957">
            <v>0</v>
          </cell>
          <cell r="AB9957" t="str">
            <v>line item not tagged</v>
          </cell>
        </row>
        <row r="9958">
          <cell r="W9958">
            <v>0</v>
          </cell>
          <cell r="AB9958" t="str">
            <v>line item not tagged</v>
          </cell>
        </row>
        <row r="9959">
          <cell r="W9959">
            <v>0</v>
          </cell>
          <cell r="AB9959" t="str">
            <v>line item not tagged</v>
          </cell>
        </row>
        <row r="9960">
          <cell r="W9960">
            <v>0</v>
          </cell>
          <cell r="AB9960" t="str">
            <v>line item not tagged</v>
          </cell>
        </row>
        <row r="9961">
          <cell r="W9961">
            <v>0</v>
          </cell>
          <cell r="AB9961" t="str">
            <v>line item not tagged</v>
          </cell>
        </row>
        <row r="9962">
          <cell r="W9962">
            <v>0</v>
          </cell>
          <cell r="AB9962" t="str">
            <v>line item not tagged</v>
          </cell>
        </row>
        <row r="9963">
          <cell r="W9963">
            <v>0</v>
          </cell>
          <cell r="AB9963" t="str">
            <v>line item not tagged</v>
          </cell>
        </row>
        <row r="9964">
          <cell r="W9964">
            <v>0</v>
          </cell>
          <cell r="AB9964" t="str">
            <v>line item not tagged</v>
          </cell>
        </row>
        <row r="9965">
          <cell r="W9965">
            <v>0</v>
          </cell>
          <cell r="AB9965" t="str">
            <v>line item not tagged</v>
          </cell>
        </row>
        <row r="9966">
          <cell r="W9966">
            <v>0</v>
          </cell>
          <cell r="AB9966" t="str">
            <v>line item not tagged</v>
          </cell>
        </row>
        <row r="9967">
          <cell r="W9967">
            <v>0</v>
          </cell>
          <cell r="AB9967" t="str">
            <v>line item not tagged</v>
          </cell>
        </row>
        <row r="9968">
          <cell r="W9968">
            <v>0</v>
          </cell>
          <cell r="AB9968" t="str">
            <v>line item not tagged</v>
          </cell>
        </row>
        <row r="9969">
          <cell r="W9969">
            <v>0</v>
          </cell>
          <cell r="AB9969" t="str">
            <v>line item not tagged</v>
          </cell>
        </row>
        <row r="9970">
          <cell r="W9970">
            <v>0</v>
          </cell>
          <cell r="AB9970" t="str">
            <v>line item not tagged</v>
          </cell>
        </row>
        <row r="9971">
          <cell r="W9971">
            <v>0</v>
          </cell>
          <cell r="AB9971" t="str">
            <v>line item not tagged</v>
          </cell>
        </row>
        <row r="9972">
          <cell r="W9972">
            <v>0</v>
          </cell>
          <cell r="AB9972" t="str">
            <v>line item not tagged</v>
          </cell>
        </row>
        <row r="9973">
          <cell r="W9973">
            <v>0</v>
          </cell>
          <cell r="AB9973" t="str">
            <v>line item not tagged</v>
          </cell>
        </row>
        <row r="9974">
          <cell r="W9974">
            <v>0</v>
          </cell>
          <cell r="AB9974" t="str">
            <v>line item not tagged</v>
          </cell>
        </row>
        <row r="9975">
          <cell r="W9975">
            <v>0</v>
          </cell>
          <cell r="AB9975" t="str">
            <v>line item not tagged</v>
          </cell>
        </row>
        <row r="9976">
          <cell r="W9976">
            <v>0</v>
          </cell>
          <cell r="AB9976" t="str">
            <v>line item not tagged</v>
          </cell>
        </row>
        <row r="9977">
          <cell r="W9977">
            <v>0</v>
          </cell>
          <cell r="AB9977" t="str">
            <v>line item not tagged</v>
          </cell>
        </row>
        <row r="9978">
          <cell r="W9978">
            <v>0</v>
          </cell>
          <cell r="AB9978" t="str">
            <v>line item not tagged</v>
          </cell>
        </row>
        <row r="9979">
          <cell r="W9979">
            <v>0</v>
          </cell>
          <cell r="AB9979" t="str">
            <v>line item not tagged</v>
          </cell>
        </row>
        <row r="9980">
          <cell r="W9980">
            <v>0</v>
          </cell>
          <cell r="AB9980" t="str">
            <v>line item not tagged</v>
          </cell>
        </row>
        <row r="9981">
          <cell r="W9981">
            <v>0</v>
          </cell>
          <cell r="AB9981" t="str">
            <v>line item not tagged</v>
          </cell>
        </row>
        <row r="9982">
          <cell r="W9982">
            <v>0</v>
          </cell>
          <cell r="AB9982" t="str">
            <v>line item not tagged</v>
          </cell>
        </row>
        <row r="9983">
          <cell r="W9983">
            <v>0</v>
          </cell>
          <cell r="AB9983" t="str">
            <v>line item not tagged</v>
          </cell>
        </row>
        <row r="9984">
          <cell r="W9984">
            <v>0</v>
          </cell>
          <cell r="AB9984" t="str">
            <v>line item not tagged</v>
          </cell>
        </row>
        <row r="9985">
          <cell r="W9985">
            <v>0</v>
          </cell>
          <cell r="AB9985" t="str">
            <v>line item not tagged</v>
          </cell>
        </row>
        <row r="9986">
          <cell r="W9986">
            <v>0</v>
          </cell>
          <cell r="AB9986" t="str">
            <v>line item not tagged</v>
          </cell>
        </row>
        <row r="9987">
          <cell r="W9987">
            <v>0</v>
          </cell>
          <cell r="AB9987" t="str">
            <v>line item not tagged</v>
          </cell>
        </row>
        <row r="9988">
          <cell r="W9988">
            <v>0</v>
          </cell>
          <cell r="AB9988" t="str">
            <v>line item not tagged</v>
          </cell>
        </row>
        <row r="9989">
          <cell r="W9989">
            <v>0</v>
          </cell>
          <cell r="AB9989" t="str">
            <v>line item not tagged</v>
          </cell>
        </row>
        <row r="9990">
          <cell r="W9990">
            <v>0</v>
          </cell>
          <cell r="AB9990" t="str">
            <v>line item not tagged</v>
          </cell>
        </row>
        <row r="9991">
          <cell r="W9991">
            <v>0</v>
          </cell>
          <cell r="AB9991" t="str">
            <v>line item not tagged</v>
          </cell>
        </row>
        <row r="9992">
          <cell r="W9992">
            <v>0</v>
          </cell>
          <cell r="AB9992" t="str">
            <v>line item not tagged</v>
          </cell>
        </row>
        <row r="9993">
          <cell r="W9993">
            <v>0</v>
          </cell>
          <cell r="AB9993" t="str">
            <v>line item not tagged</v>
          </cell>
        </row>
        <row r="9994">
          <cell r="W9994">
            <v>0</v>
          </cell>
          <cell r="AB9994" t="str">
            <v>line item not tagged</v>
          </cell>
        </row>
        <row r="9995">
          <cell r="W9995">
            <v>0</v>
          </cell>
          <cell r="AB9995" t="str">
            <v>line item not tagged</v>
          </cell>
        </row>
        <row r="9996">
          <cell r="W9996">
            <v>0</v>
          </cell>
          <cell r="AB9996" t="str">
            <v>line item not tagged</v>
          </cell>
        </row>
        <row r="9997">
          <cell r="W9997">
            <v>0</v>
          </cell>
          <cell r="AB9997" t="str">
            <v>line item not tagged</v>
          </cell>
        </row>
        <row r="9998">
          <cell r="W9998">
            <v>0</v>
          </cell>
          <cell r="AB9998" t="str">
            <v>line item not tagged</v>
          </cell>
        </row>
        <row r="9999">
          <cell r="W9999">
            <v>0</v>
          </cell>
          <cell r="AB9999" t="str">
            <v>line item not tagged</v>
          </cell>
        </row>
        <row r="10000">
          <cell r="W10000">
            <v>0</v>
          </cell>
          <cell r="AB10000" t="str">
            <v>line item not tagged</v>
          </cell>
        </row>
        <row r="10001">
          <cell r="W10001">
            <v>0</v>
          </cell>
          <cell r="AB10001" t="str">
            <v>line item not tagged</v>
          </cell>
        </row>
        <row r="10002">
          <cell r="W10002">
            <v>0</v>
          </cell>
          <cell r="AB10002" t="str">
            <v>line item not tagged</v>
          </cell>
        </row>
        <row r="10003">
          <cell r="W10003">
            <v>0</v>
          </cell>
          <cell r="AB10003" t="str">
            <v>line item not tagged</v>
          </cell>
        </row>
        <row r="10004">
          <cell r="W10004">
            <v>0</v>
          </cell>
          <cell r="AB10004" t="str">
            <v>line item not tagged</v>
          </cell>
        </row>
        <row r="10005">
          <cell r="W10005">
            <v>0</v>
          </cell>
          <cell r="AB10005" t="str">
            <v>line item not tagged</v>
          </cell>
        </row>
        <row r="10006">
          <cell r="W10006">
            <v>0</v>
          </cell>
          <cell r="AB10006" t="str">
            <v>line item not tagged</v>
          </cell>
        </row>
        <row r="10007">
          <cell r="W10007">
            <v>0</v>
          </cell>
          <cell r="AB10007" t="str">
            <v>line item not tagged</v>
          </cell>
        </row>
        <row r="10008">
          <cell r="W10008">
            <v>0</v>
          </cell>
          <cell r="AB10008" t="str">
            <v>line item not tagged</v>
          </cell>
        </row>
        <row r="10009">
          <cell r="W10009">
            <v>0</v>
          </cell>
          <cell r="AB10009" t="str">
            <v>line item not tagged</v>
          </cell>
        </row>
        <row r="10010">
          <cell r="W10010">
            <v>0</v>
          </cell>
          <cell r="AB10010" t="str">
            <v>line item not tagged</v>
          </cell>
        </row>
        <row r="10011">
          <cell r="W10011">
            <v>0</v>
          </cell>
          <cell r="AB10011" t="str">
            <v>line item not tagged</v>
          </cell>
        </row>
        <row r="10012">
          <cell r="W10012">
            <v>0</v>
          </cell>
          <cell r="AB10012" t="str">
            <v>line item not tagged</v>
          </cell>
        </row>
        <row r="10013">
          <cell r="W10013">
            <v>0</v>
          </cell>
          <cell r="AB10013" t="str">
            <v>line item not tagged</v>
          </cell>
        </row>
        <row r="10014">
          <cell r="W10014">
            <v>0</v>
          </cell>
          <cell r="AB10014" t="str">
            <v>line item not tagged</v>
          </cell>
        </row>
        <row r="10015">
          <cell r="W10015">
            <v>0</v>
          </cell>
          <cell r="AB10015" t="str">
            <v>line item not tagged</v>
          </cell>
        </row>
        <row r="10016">
          <cell r="W10016">
            <v>0</v>
          </cell>
          <cell r="AB10016" t="str">
            <v>line item not tagged</v>
          </cell>
        </row>
        <row r="10017">
          <cell r="W10017">
            <v>0</v>
          </cell>
          <cell r="AB10017" t="str">
            <v>line item not tagged</v>
          </cell>
        </row>
        <row r="10018">
          <cell r="W10018">
            <v>0</v>
          </cell>
          <cell r="AB10018" t="str">
            <v>line item not tagged</v>
          </cell>
        </row>
        <row r="10019">
          <cell r="W10019">
            <v>0</v>
          </cell>
          <cell r="AB10019" t="str">
            <v>line item not tagged</v>
          </cell>
        </row>
        <row r="10020">
          <cell r="W10020">
            <v>0</v>
          </cell>
          <cell r="AB10020" t="str">
            <v>line item not tagged</v>
          </cell>
        </row>
        <row r="10021">
          <cell r="W10021">
            <v>0</v>
          </cell>
          <cell r="AB10021" t="str">
            <v>line item not tagged</v>
          </cell>
        </row>
        <row r="10022">
          <cell r="W10022">
            <v>0</v>
          </cell>
          <cell r="AB10022" t="str">
            <v>line item not tagged</v>
          </cell>
        </row>
        <row r="10023">
          <cell r="W10023">
            <v>0</v>
          </cell>
          <cell r="AB10023" t="str">
            <v>line item not tagged</v>
          </cell>
        </row>
        <row r="10024">
          <cell r="W10024">
            <v>0</v>
          </cell>
          <cell r="AB10024" t="str">
            <v>line item not tagged</v>
          </cell>
        </row>
        <row r="10025">
          <cell r="W10025">
            <v>0</v>
          </cell>
          <cell r="AB10025" t="str">
            <v>line item not tagged</v>
          </cell>
        </row>
        <row r="10026">
          <cell r="W10026">
            <v>0</v>
          </cell>
          <cell r="AB10026" t="str">
            <v>line item not tagged</v>
          </cell>
        </row>
        <row r="10027">
          <cell r="W10027">
            <v>0</v>
          </cell>
          <cell r="AB10027" t="str">
            <v>line item not tagged</v>
          </cell>
        </row>
        <row r="10028">
          <cell r="W10028">
            <v>0</v>
          </cell>
          <cell r="AB10028" t="str">
            <v>line item not tagged</v>
          </cell>
        </row>
        <row r="10029">
          <cell r="W10029">
            <v>0</v>
          </cell>
          <cell r="AB10029" t="str">
            <v>line item not tagged</v>
          </cell>
        </row>
        <row r="10030">
          <cell r="W10030">
            <v>0</v>
          </cell>
          <cell r="AB10030" t="str">
            <v>line item not tagged</v>
          </cell>
        </row>
        <row r="10031">
          <cell r="W10031">
            <v>0</v>
          </cell>
          <cell r="AB10031" t="str">
            <v>line item not tagged</v>
          </cell>
        </row>
        <row r="10032">
          <cell r="W10032">
            <v>0</v>
          </cell>
          <cell r="AB10032" t="str">
            <v>line item not tagged</v>
          </cell>
        </row>
        <row r="10033">
          <cell r="W10033">
            <v>0</v>
          </cell>
          <cell r="AB10033" t="str">
            <v>line item not tagged</v>
          </cell>
        </row>
        <row r="10034">
          <cell r="W10034">
            <v>0</v>
          </cell>
          <cell r="AB10034" t="str">
            <v>line item not tagged</v>
          </cell>
        </row>
        <row r="10035">
          <cell r="W10035">
            <v>0</v>
          </cell>
          <cell r="AB10035" t="str">
            <v>line item not tagged</v>
          </cell>
        </row>
        <row r="10036">
          <cell r="W10036">
            <v>0</v>
          </cell>
          <cell r="AB10036" t="str">
            <v>line item not tagged</v>
          </cell>
        </row>
        <row r="10037">
          <cell r="W10037">
            <v>0</v>
          </cell>
          <cell r="AB10037" t="str">
            <v>line item not tagged</v>
          </cell>
        </row>
        <row r="10038">
          <cell r="W10038">
            <v>0</v>
          </cell>
          <cell r="AB10038" t="str">
            <v>line item not tagged</v>
          </cell>
        </row>
        <row r="10039">
          <cell r="W10039">
            <v>0</v>
          </cell>
          <cell r="AB10039" t="str">
            <v>line item not tagged</v>
          </cell>
        </row>
        <row r="10040">
          <cell r="W10040">
            <v>0</v>
          </cell>
          <cell r="AB10040" t="str">
            <v>line item not tagged</v>
          </cell>
        </row>
        <row r="10041">
          <cell r="W10041">
            <v>0</v>
          </cell>
          <cell r="AB10041" t="str">
            <v>line item not tagged</v>
          </cell>
        </row>
        <row r="10042">
          <cell r="W10042">
            <v>0</v>
          </cell>
          <cell r="AB10042" t="str">
            <v>line item not tagged</v>
          </cell>
        </row>
        <row r="10043">
          <cell r="W10043">
            <v>0</v>
          </cell>
          <cell r="AB10043" t="str">
            <v>line item not tagged</v>
          </cell>
        </row>
        <row r="10044">
          <cell r="W10044">
            <v>0</v>
          </cell>
          <cell r="AB10044" t="str">
            <v>line item not tagged</v>
          </cell>
        </row>
        <row r="10045">
          <cell r="W10045">
            <v>0</v>
          </cell>
          <cell r="AB10045" t="str">
            <v>line item not tagged</v>
          </cell>
        </row>
        <row r="10046">
          <cell r="W10046">
            <v>0</v>
          </cell>
          <cell r="AB10046" t="str">
            <v>line item not tagged</v>
          </cell>
        </row>
        <row r="10047">
          <cell r="W10047">
            <v>0</v>
          </cell>
          <cell r="AB10047" t="str">
            <v>line item not tagged</v>
          </cell>
        </row>
        <row r="10048">
          <cell r="W10048">
            <v>0</v>
          </cell>
          <cell r="AB10048" t="str">
            <v>line item not tagged</v>
          </cell>
        </row>
        <row r="10049">
          <cell r="W10049">
            <v>0</v>
          </cell>
          <cell r="AB10049" t="str">
            <v>line item not tagged</v>
          </cell>
        </row>
        <row r="10050">
          <cell r="W10050">
            <v>0</v>
          </cell>
          <cell r="AB10050" t="str">
            <v>line item not tagged</v>
          </cell>
        </row>
        <row r="10051">
          <cell r="W10051">
            <v>0</v>
          </cell>
          <cell r="AB10051" t="str">
            <v>line item not tagged</v>
          </cell>
        </row>
        <row r="10052">
          <cell r="W10052">
            <v>0</v>
          </cell>
          <cell r="AB10052" t="str">
            <v>line item not tagged</v>
          </cell>
        </row>
        <row r="10053">
          <cell r="W10053">
            <v>0</v>
          </cell>
          <cell r="AB10053" t="str">
            <v>line item not tagged</v>
          </cell>
        </row>
        <row r="10054">
          <cell r="W10054">
            <v>0</v>
          </cell>
          <cell r="AB10054" t="str">
            <v>line item not tagged</v>
          </cell>
        </row>
        <row r="10055">
          <cell r="W10055">
            <v>0</v>
          </cell>
          <cell r="AB10055" t="str">
            <v>line item not tagged</v>
          </cell>
        </row>
        <row r="10056">
          <cell r="W10056">
            <v>0</v>
          </cell>
          <cell r="AB10056" t="str">
            <v>line item not tagged</v>
          </cell>
        </row>
        <row r="10057">
          <cell r="W10057">
            <v>0</v>
          </cell>
          <cell r="AB10057" t="str">
            <v>line item not tagged</v>
          </cell>
        </row>
        <row r="10058">
          <cell r="W10058">
            <v>0</v>
          </cell>
          <cell r="AB10058" t="str">
            <v>line item not tagged</v>
          </cell>
        </row>
        <row r="10059">
          <cell r="W10059">
            <v>0</v>
          </cell>
          <cell r="AB10059" t="str">
            <v>line item not tagged</v>
          </cell>
        </row>
        <row r="10060">
          <cell r="W10060">
            <v>0</v>
          </cell>
          <cell r="AB10060" t="str">
            <v>line item not tagged</v>
          </cell>
        </row>
        <row r="10061">
          <cell r="W10061">
            <v>0</v>
          </cell>
          <cell r="AB10061" t="str">
            <v>line item not tagged</v>
          </cell>
        </row>
        <row r="10062">
          <cell r="W10062">
            <v>0</v>
          </cell>
          <cell r="AB10062" t="str">
            <v>line item not tagged</v>
          </cell>
        </row>
        <row r="10063">
          <cell r="W10063">
            <v>0</v>
          </cell>
          <cell r="AB10063" t="str">
            <v>line item not tagged</v>
          </cell>
        </row>
        <row r="10064">
          <cell r="W10064">
            <v>0</v>
          </cell>
          <cell r="AB10064" t="str">
            <v>line item not tagged</v>
          </cell>
        </row>
        <row r="10065">
          <cell r="W10065">
            <v>0</v>
          </cell>
          <cell r="AB10065" t="str">
            <v>line item not tagged</v>
          </cell>
        </row>
        <row r="10066">
          <cell r="W10066">
            <v>0</v>
          </cell>
          <cell r="AB10066" t="str">
            <v>line item not tagged</v>
          </cell>
        </row>
        <row r="10067">
          <cell r="W10067">
            <v>0</v>
          </cell>
          <cell r="AB10067" t="str">
            <v>line item not tagged</v>
          </cell>
        </row>
        <row r="10068">
          <cell r="W10068">
            <v>0</v>
          </cell>
          <cell r="AB10068" t="str">
            <v>line item not tagged</v>
          </cell>
        </row>
        <row r="10069">
          <cell r="W10069">
            <v>0</v>
          </cell>
          <cell r="AB10069" t="str">
            <v>line item not tagged</v>
          </cell>
        </row>
        <row r="10070">
          <cell r="W10070">
            <v>0</v>
          </cell>
          <cell r="AB10070" t="str">
            <v>line item not tagged</v>
          </cell>
        </row>
        <row r="10071">
          <cell r="W10071">
            <v>0</v>
          </cell>
          <cell r="AB10071" t="str">
            <v>line item not tagged</v>
          </cell>
        </row>
        <row r="10072">
          <cell r="W10072">
            <v>0</v>
          </cell>
          <cell r="AB10072" t="str">
            <v>line item not tagged</v>
          </cell>
        </row>
        <row r="10073">
          <cell r="W10073">
            <v>0</v>
          </cell>
          <cell r="AB10073" t="str">
            <v>line item not tagged</v>
          </cell>
        </row>
        <row r="10074">
          <cell r="W10074">
            <v>0</v>
          </cell>
          <cell r="AB10074" t="str">
            <v>line item not tagged</v>
          </cell>
        </row>
        <row r="10075">
          <cell r="W10075">
            <v>0</v>
          </cell>
          <cell r="AB10075" t="str">
            <v>line item not tagged</v>
          </cell>
        </row>
        <row r="10076">
          <cell r="W10076">
            <v>0</v>
          </cell>
          <cell r="AB10076" t="str">
            <v>line item not tagged</v>
          </cell>
        </row>
        <row r="10077">
          <cell r="W10077">
            <v>0</v>
          </cell>
          <cell r="AB10077" t="str">
            <v>line item not tagged</v>
          </cell>
        </row>
        <row r="10078">
          <cell r="W10078">
            <v>0</v>
          </cell>
          <cell r="AB10078" t="str">
            <v>line item not tagged</v>
          </cell>
        </row>
        <row r="10079">
          <cell r="W10079">
            <v>0</v>
          </cell>
          <cell r="AB10079" t="str">
            <v>line item not tagged</v>
          </cell>
        </row>
        <row r="10080">
          <cell r="W10080">
            <v>0</v>
          </cell>
          <cell r="AB10080" t="str">
            <v>line item not tagged</v>
          </cell>
        </row>
        <row r="10081">
          <cell r="W10081">
            <v>0</v>
          </cell>
          <cell r="AB10081" t="str">
            <v>line item not tagged</v>
          </cell>
        </row>
        <row r="10082">
          <cell r="W10082">
            <v>0</v>
          </cell>
          <cell r="AB10082" t="str">
            <v>line item not tagged</v>
          </cell>
        </row>
        <row r="10083">
          <cell r="W10083">
            <v>0</v>
          </cell>
          <cell r="AB10083" t="str">
            <v>line item not tagged</v>
          </cell>
        </row>
        <row r="10084">
          <cell r="W10084">
            <v>0</v>
          </cell>
          <cell r="AB10084" t="str">
            <v>line item not tagged</v>
          </cell>
        </row>
        <row r="10085">
          <cell r="W10085">
            <v>0</v>
          </cell>
          <cell r="AB10085" t="str">
            <v>line item not tagged</v>
          </cell>
        </row>
        <row r="10086">
          <cell r="W10086">
            <v>0</v>
          </cell>
          <cell r="AB10086" t="str">
            <v>line item not tagged</v>
          </cell>
        </row>
        <row r="10087">
          <cell r="W10087">
            <v>0</v>
          </cell>
          <cell r="AB10087" t="str">
            <v>line item not tagged</v>
          </cell>
        </row>
        <row r="10088">
          <cell r="W10088">
            <v>0</v>
          </cell>
          <cell r="AB10088" t="str">
            <v>line item not tagged</v>
          </cell>
        </row>
        <row r="10089">
          <cell r="W10089">
            <v>0</v>
          </cell>
          <cell r="AB10089" t="str">
            <v>line item not tagged</v>
          </cell>
        </row>
        <row r="10090">
          <cell r="W10090">
            <v>0</v>
          </cell>
          <cell r="AB10090" t="str">
            <v>line item not tagged</v>
          </cell>
        </row>
        <row r="10091">
          <cell r="W10091">
            <v>0</v>
          </cell>
          <cell r="AB10091" t="str">
            <v>line item not tagged</v>
          </cell>
        </row>
        <row r="10092">
          <cell r="W10092">
            <v>0</v>
          </cell>
          <cell r="AB10092" t="str">
            <v>line item not tagged</v>
          </cell>
        </row>
        <row r="10093">
          <cell r="W10093">
            <v>0</v>
          </cell>
          <cell r="AB10093" t="str">
            <v>line item not tagged</v>
          </cell>
        </row>
        <row r="10094">
          <cell r="W10094">
            <v>0</v>
          </cell>
          <cell r="AB10094" t="str">
            <v>line item not tagged</v>
          </cell>
        </row>
        <row r="10095">
          <cell r="W10095">
            <v>0</v>
          </cell>
          <cell r="AB10095" t="str">
            <v>line item not tagged</v>
          </cell>
        </row>
        <row r="10096">
          <cell r="W10096">
            <v>0</v>
          </cell>
          <cell r="AB10096" t="str">
            <v>line item not tagged</v>
          </cell>
        </row>
        <row r="10097">
          <cell r="W10097">
            <v>0</v>
          </cell>
          <cell r="AB10097" t="str">
            <v>line item not tagged</v>
          </cell>
        </row>
        <row r="10098">
          <cell r="W10098">
            <v>0</v>
          </cell>
          <cell r="AB10098" t="str">
            <v>line item not tagged</v>
          </cell>
        </row>
        <row r="10099">
          <cell r="W10099">
            <v>0</v>
          </cell>
          <cell r="AB10099" t="str">
            <v>line item not tagged</v>
          </cell>
        </row>
        <row r="10100">
          <cell r="W10100">
            <v>0</v>
          </cell>
          <cell r="AB10100" t="str">
            <v>line item not tagged</v>
          </cell>
        </row>
        <row r="10101">
          <cell r="W10101">
            <v>0</v>
          </cell>
          <cell r="AB10101" t="str">
            <v>line item not tagged</v>
          </cell>
        </row>
        <row r="10102">
          <cell r="W10102">
            <v>0</v>
          </cell>
          <cell r="AB10102" t="str">
            <v>line item not tagged</v>
          </cell>
        </row>
        <row r="10103">
          <cell r="W10103">
            <v>0</v>
          </cell>
          <cell r="AB10103" t="str">
            <v>line item not tagged</v>
          </cell>
        </row>
        <row r="10104">
          <cell r="W10104">
            <v>0</v>
          </cell>
          <cell r="AB10104" t="str">
            <v>line item not tagged</v>
          </cell>
        </row>
        <row r="10105">
          <cell r="W10105">
            <v>0</v>
          </cell>
          <cell r="AB10105" t="str">
            <v>line item not tagged</v>
          </cell>
        </row>
        <row r="10106">
          <cell r="W10106">
            <v>0</v>
          </cell>
          <cell r="AB10106" t="str">
            <v>line item not tagged</v>
          </cell>
        </row>
        <row r="10107">
          <cell r="W10107">
            <v>0</v>
          </cell>
          <cell r="AB10107" t="str">
            <v>line item not tagged</v>
          </cell>
        </row>
        <row r="10108">
          <cell r="W10108">
            <v>0</v>
          </cell>
          <cell r="AB10108" t="str">
            <v>line item not tagged</v>
          </cell>
        </row>
        <row r="10109">
          <cell r="W10109">
            <v>0</v>
          </cell>
          <cell r="AB10109" t="str">
            <v>line item not tagged</v>
          </cell>
        </row>
        <row r="10110">
          <cell r="W10110">
            <v>0</v>
          </cell>
          <cell r="AB10110" t="str">
            <v>line item not tagged</v>
          </cell>
        </row>
        <row r="10111">
          <cell r="W10111">
            <v>0</v>
          </cell>
          <cell r="AB10111" t="str">
            <v>line item not tagged</v>
          </cell>
        </row>
        <row r="10112">
          <cell r="W10112">
            <v>0</v>
          </cell>
          <cell r="AB10112" t="str">
            <v>line item not tagged</v>
          </cell>
        </row>
        <row r="10113">
          <cell r="W10113">
            <v>0</v>
          </cell>
          <cell r="AB10113" t="str">
            <v>line item not tagged</v>
          </cell>
        </row>
        <row r="10114">
          <cell r="W10114">
            <v>0</v>
          </cell>
          <cell r="AB10114" t="str">
            <v>line item not tagged</v>
          </cell>
        </row>
        <row r="10115">
          <cell r="W10115">
            <v>0</v>
          </cell>
          <cell r="AB10115" t="str">
            <v>line item not tagged</v>
          </cell>
        </row>
        <row r="10116">
          <cell r="W10116">
            <v>0</v>
          </cell>
          <cell r="AB10116" t="str">
            <v>line item not tagged</v>
          </cell>
        </row>
        <row r="10117">
          <cell r="W10117">
            <v>0</v>
          </cell>
          <cell r="AB10117" t="str">
            <v>line item not tagged</v>
          </cell>
        </row>
        <row r="10118">
          <cell r="W10118">
            <v>0</v>
          </cell>
          <cell r="AB10118" t="str">
            <v>line item not tagged</v>
          </cell>
        </row>
        <row r="10119">
          <cell r="W10119">
            <v>0</v>
          </cell>
          <cell r="AB10119" t="str">
            <v>line item not tagged</v>
          </cell>
        </row>
        <row r="10120">
          <cell r="W10120">
            <v>0</v>
          </cell>
          <cell r="AB10120" t="str">
            <v>line item not tagged</v>
          </cell>
        </row>
        <row r="10121">
          <cell r="W10121">
            <v>0</v>
          </cell>
          <cell r="AB10121" t="str">
            <v>line item not tagged</v>
          </cell>
        </row>
        <row r="10122">
          <cell r="W10122">
            <v>0</v>
          </cell>
          <cell r="AB10122" t="str">
            <v>line item not tagged</v>
          </cell>
        </row>
        <row r="10123">
          <cell r="W10123">
            <v>0</v>
          </cell>
          <cell r="AB10123" t="str">
            <v>line item not tagged</v>
          </cell>
        </row>
        <row r="10124">
          <cell r="W10124">
            <v>0</v>
          </cell>
          <cell r="AB10124" t="str">
            <v>line item not tagged</v>
          </cell>
        </row>
        <row r="10125">
          <cell r="W10125">
            <v>0</v>
          </cell>
          <cell r="AB10125" t="str">
            <v>line item not tagged</v>
          </cell>
        </row>
        <row r="10126">
          <cell r="W10126">
            <v>0</v>
          </cell>
          <cell r="AB10126" t="str">
            <v>line item not tagged</v>
          </cell>
        </row>
        <row r="10127">
          <cell r="W10127">
            <v>0</v>
          </cell>
          <cell r="AB10127" t="str">
            <v>line item not tagged</v>
          </cell>
        </row>
        <row r="10128">
          <cell r="W10128">
            <v>0</v>
          </cell>
          <cell r="AB10128" t="str">
            <v>line item not tagged</v>
          </cell>
        </row>
        <row r="10129">
          <cell r="W10129">
            <v>0</v>
          </cell>
          <cell r="AB10129" t="str">
            <v>line item not tagged</v>
          </cell>
        </row>
        <row r="10130">
          <cell r="W10130">
            <v>0</v>
          </cell>
          <cell r="AB10130" t="str">
            <v>line item not tagged</v>
          </cell>
        </row>
        <row r="10131">
          <cell r="W10131">
            <v>0</v>
          </cell>
          <cell r="AB10131" t="str">
            <v>line item not tagged</v>
          </cell>
        </row>
        <row r="10132">
          <cell r="W10132">
            <v>0</v>
          </cell>
          <cell r="AB10132" t="str">
            <v>line item not tagged</v>
          </cell>
        </row>
        <row r="10133">
          <cell r="W10133">
            <v>0</v>
          </cell>
          <cell r="AB10133" t="str">
            <v>line item not tagged</v>
          </cell>
        </row>
        <row r="10134">
          <cell r="W10134">
            <v>0</v>
          </cell>
          <cell r="AB10134" t="str">
            <v>line item not tagged</v>
          </cell>
        </row>
        <row r="10135">
          <cell r="W10135">
            <v>0</v>
          </cell>
          <cell r="AB10135" t="str">
            <v>line item not tagged</v>
          </cell>
        </row>
        <row r="10136">
          <cell r="W10136">
            <v>0</v>
          </cell>
          <cell r="AB10136" t="str">
            <v>line item not tagged</v>
          </cell>
        </row>
        <row r="10137">
          <cell r="W10137">
            <v>0</v>
          </cell>
          <cell r="AB10137" t="str">
            <v>line item not tagged</v>
          </cell>
        </row>
        <row r="10138">
          <cell r="W10138">
            <v>0</v>
          </cell>
          <cell r="AB10138" t="str">
            <v>line item not tagged</v>
          </cell>
        </row>
        <row r="10139">
          <cell r="W10139">
            <v>0</v>
          </cell>
          <cell r="AB10139" t="str">
            <v>line item not tagged</v>
          </cell>
        </row>
        <row r="10140">
          <cell r="W10140">
            <v>0</v>
          </cell>
          <cell r="AB10140" t="str">
            <v>line item not tagged</v>
          </cell>
        </row>
        <row r="10141">
          <cell r="W10141">
            <v>0</v>
          </cell>
          <cell r="AB10141" t="str">
            <v>line item not tagged</v>
          </cell>
        </row>
        <row r="10142">
          <cell r="W10142">
            <v>0</v>
          </cell>
          <cell r="AB10142" t="str">
            <v>line item not tagged</v>
          </cell>
        </row>
        <row r="10143">
          <cell r="W10143">
            <v>0</v>
          </cell>
          <cell r="AB10143" t="str">
            <v>line item not tagged</v>
          </cell>
        </row>
        <row r="10144">
          <cell r="W10144">
            <v>0</v>
          </cell>
          <cell r="AB10144" t="str">
            <v>line item not tagged</v>
          </cell>
        </row>
        <row r="10145">
          <cell r="W10145">
            <v>0</v>
          </cell>
          <cell r="AB10145" t="str">
            <v>line item not tagged</v>
          </cell>
        </row>
        <row r="10146">
          <cell r="W10146">
            <v>0</v>
          </cell>
          <cell r="AB10146" t="str">
            <v>line item not tagged</v>
          </cell>
        </row>
        <row r="10147">
          <cell r="W10147">
            <v>0</v>
          </cell>
          <cell r="AB10147" t="str">
            <v>line item not tagged</v>
          </cell>
        </row>
        <row r="10148">
          <cell r="W10148">
            <v>0</v>
          </cell>
          <cell r="AB10148" t="str">
            <v>line item not tagged</v>
          </cell>
        </row>
        <row r="10149">
          <cell r="W10149">
            <v>0</v>
          </cell>
          <cell r="AB10149" t="str">
            <v>line item not tagged</v>
          </cell>
        </row>
        <row r="10150">
          <cell r="W10150">
            <v>0</v>
          </cell>
          <cell r="AB10150" t="str">
            <v>line item not tagged</v>
          </cell>
        </row>
        <row r="10151">
          <cell r="W10151">
            <v>0</v>
          </cell>
          <cell r="AB10151" t="str">
            <v>line item not tagged</v>
          </cell>
        </row>
        <row r="10152">
          <cell r="W10152">
            <v>0</v>
          </cell>
          <cell r="AB10152" t="str">
            <v>line item not tagged</v>
          </cell>
        </row>
        <row r="10153">
          <cell r="W10153">
            <v>0</v>
          </cell>
          <cell r="AB10153" t="str">
            <v>line item not tagged</v>
          </cell>
        </row>
        <row r="10154">
          <cell r="W10154">
            <v>0</v>
          </cell>
          <cell r="AB10154" t="str">
            <v>line item not tagged</v>
          </cell>
        </row>
        <row r="10155">
          <cell r="W10155">
            <v>0</v>
          </cell>
          <cell r="AB10155" t="str">
            <v>line item not tagged</v>
          </cell>
        </row>
        <row r="10156">
          <cell r="W10156">
            <v>0</v>
          </cell>
          <cell r="AB10156" t="str">
            <v>line item not tagged</v>
          </cell>
        </row>
        <row r="10157">
          <cell r="W10157">
            <v>0</v>
          </cell>
          <cell r="AB10157" t="str">
            <v>line item not tagged</v>
          </cell>
        </row>
        <row r="10158">
          <cell r="W10158">
            <v>0</v>
          </cell>
          <cell r="AB10158" t="str">
            <v>line item not tagged</v>
          </cell>
        </row>
        <row r="10159">
          <cell r="W10159">
            <v>0</v>
          </cell>
          <cell r="AB10159" t="str">
            <v>line item not tagged</v>
          </cell>
        </row>
        <row r="10160">
          <cell r="W10160">
            <v>0</v>
          </cell>
          <cell r="AB10160" t="str">
            <v>line item not tagged</v>
          </cell>
        </row>
        <row r="10161">
          <cell r="W10161">
            <v>0</v>
          </cell>
          <cell r="AB10161" t="str">
            <v>line item not tagged</v>
          </cell>
        </row>
        <row r="10162">
          <cell r="W10162">
            <v>0</v>
          </cell>
          <cell r="AB10162" t="str">
            <v>line item not tagged</v>
          </cell>
        </row>
        <row r="10163">
          <cell r="W10163">
            <v>0</v>
          </cell>
          <cell r="AB10163" t="str">
            <v>line item not tagged</v>
          </cell>
        </row>
        <row r="10164">
          <cell r="W10164">
            <v>0</v>
          </cell>
          <cell r="AB10164" t="str">
            <v>line item not tagged</v>
          </cell>
        </row>
        <row r="10165">
          <cell r="W10165">
            <v>0</v>
          </cell>
          <cell r="AB10165" t="str">
            <v>line item not tagged</v>
          </cell>
        </row>
        <row r="10166">
          <cell r="W10166">
            <v>0</v>
          </cell>
          <cell r="AB10166" t="str">
            <v>line item not tagged</v>
          </cell>
        </row>
        <row r="10167">
          <cell r="W10167">
            <v>0</v>
          </cell>
          <cell r="AB10167" t="str">
            <v>line item not tagged</v>
          </cell>
        </row>
        <row r="10168">
          <cell r="W10168">
            <v>0</v>
          </cell>
          <cell r="AB10168" t="str">
            <v>line item not tagged</v>
          </cell>
        </row>
        <row r="10169">
          <cell r="W10169">
            <v>0</v>
          </cell>
          <cell r="AB10169" t="str">
            <v>line item not tagged</v>
          </cell>
        </row>
        <row r="10170">
          <cell r="W10170">
            <v>0</v>
          </cell>
          <cell r="AB10170" t="str">
            <v>line item not tagged</v>
          </cell>
        </row>
        <row r="10171">
          <cell r="W10171">
            <v>0</v>
          </cell>
          <cell r="AB10171" t="str">
            <v>line item not tagged</v>
          </cell>
        </row>
        <row r="10172">
          <cell r="W10172">
            <v>0</v>
          </cell>
          <cell r="AB10172" t="str">
            <v>line item not tagged</v>
          </cell>
        </row>
        <row r="10173">
          <cell r="W10173">
            <v>0</v>
          </cell>
          <cell r="AB10173" t="str">
            <v>line item not tagged</v>
          </cell>
        </row>
        <row r="10174">
          <cell r="W10174">
            <v>0</v>
          </cell>
          <cell r="AB10174" t="str">
            <v>line item not tagged</v>
          </cell>
        </row>
        <row r="10175">
          <cell r="W10175">
            <v>0</v>
          </cell>
          <cell r="AB10175" t="str">
            <v>line item not tagged</v>
          </cell>
        </row>
        <row r="10176">
          <cell r="W10176">
            <v>0</v>
          </cell>
          <cell r="AB10176" t="str">
            <v>line item not tagged</v>
          </cell>
        </row>
        <row r="10177">
          <cell r="W10177">
            <v>0</v>
          </cell>
          <cell r="AB10177" t="str">
            <v>line item not tagged</v>
          </cell>
        </row>
        <row r="10178">
          <cell r="W10178">
            <v>0</v>
          </cell>
          <cell r="AB10178" t="str">
            <v>line item not tagged</v>
          </cell>
        </row>
        <row r="10179">
          <cell r="W10179">
            <v>0</v>
          </cell>
          <cell r="AB10179" t="str">
            <v>line item not tagged</v>
          </cell>
        </row>
        <row r="10180">
          <cell r="W10180">
            <v>0</v>
          </cell>
          <cell r="AB10180" t="str">
            <v>line item not tagged</v>
          </cell>
        </row>
        <row r="10181">
          <cell r="W10181">
            <v>0</v>
          </cell>
          <cell r="AB10181" t="str">
            <v>line item not tagged</v>
          </cell>
        </row>
        <row r="10182">
          <cell r="W10182">
            <v>0</v>
          </cell>
          <cell r="AB10182" t="str">
            <v>line item not tagged</v>
          </cell>
        </row>
        <row r="10183">
          <cell r="W10183">
            <v>0</v>
          </cell>
          <cell r="AB10183" t="str">
            <v>line item not tagged</v>
          </cell>
        </row>
        <row r="10184">
          <cell r="W10184">
            <v>0</v>
          </cell>
          <cell r="AB10184" t="str">
            <v>line item not tagged</v>
          </cell>
        </row>
        <row r="10185">
          <cell r="W10185">
            <v>0</v>
          </cell>
          <cell r="AB10185" t="str">
            <v>line item not tagged</v>
          </cell>
        </row>
        <row r="10186">
          <cell r="W10186">
            <v>0</v>
          </cell>
          <cell r="AB10186" t="str">
            <v>line item not tagged</v>
          </cell>
        </row>
        <row r="10187">
          <cell r="W10187">
            <v>0</v>
          </cell>
          <cell r="AB10187" t="str">
            <v>line item not tagged</v>
          </cell>
        </row>
        <row r="10188">
          <cell r="W10188">
            <v>0</v>
          </cell>
          <cell r="AB10188" t="str">
            <v>line item not tagged</v>
          </cell>
        </row>
        <row r="10189">
          <cell r="W10189">
            <v>0</v>
          </cell>
          <cell r="AB10189" t="str">
            <v>line item not tagged</v>
          </cell>
        </row>
        <row r="10190">
          <cell r="W10190">
            <v>0</v>
          </cell>
          <cell r="AB10190" t="str">
            <v>line item not tagged</v>
          </cell>
        </row>
        <row r="10191">
          <cell r="W10191">
            <v>0</v>
          </cell>
          <cell r="AB10191" t="str">
            <v>line item not tagged</v>
          </cell>
        </row>
        <row r="10192">
          <cell r="W10192">
            <v>0</v>
          </cell>
          <cell r="AB10192" t="str">
            <v>line item not tagged</v>
          </cell>
        </row>
        <row r="10193">
          <cell r="W10193">
            <v>0</v>
          </cell>
          <cell r="AB10193" t="str">
            <v>line item not tagged</v>
          </cell>
        </row>
        <row r="10194">
          <cell r="W10194">
            <v>0</v>
          </cell>
          <cell r="AB10194" t="str">
            <v>line item not tagged</v>
          </cell>
        </row>
        <row r="10195">
          <cell r="W10195">
            <v>0</v>
          </cell>
          <cell r="AB10195" t="str">
            <v>line item not tagged</v>
          </cell>
        </row>
        <row r="10196">
          <cell r="W10196">
            <v>0</v>
          </cell>
          <cell r="AB10196" t="str">
            <v>line item not tagged</v>
          </cell>
        </row>
        <row r="10197">
          <cell r="W10197">
            <v>0</v>
          </cell>
          <cell r="AB10197" t="str">
            <v>line item not tagged</v>
          </cell>
        </row>
        <row r="10198">
          <cell r="W10198">
            <v>0</v>
          </cell>
          <cell r="AB10198" t="str">
            <v>line item not tagged</v>
          </cell>
        </row>
        <row r="10199">
          <cell r="W10199">
            <v>0</v>
          </cell>
          <cell r="AB10199" t="str">
            <v>line item not tagged</v>
          </cell>
        </row>
        <row r="10200">
          <cell r="W10200">
            <v>0</v>
          </cell>
          <cell r="AB10200" t="str">
            <v>line item not tagged</v>
          </cell>
        </row>
        <row r="10201">
          <cell r="W10201">
            <v>0</v>
          </cell>
          <cell r="AB10201" t="str">
            <v>line item not tagged</v>
          </cell>
        </row>
        <row r="10202">
          <cell r="W10202">
            <v>0</v>
          </cell>
          <cell r="AB10202" t="str">
            <v>line item not tagged</v>
          </cell>
        </row>
        <row r="10203">
          <cell r="W10203">
            <v>0</v>
          </cell>
          <cell r="AB10203" t="str">
            <v>line item not tagged</v>
          </cell>
        </row>
        <row r="10204">
          <cell r="W10204">
            <v>0</v>
          </cell>
          <cell r="AB10204" t="str">
            <v>line item not tagged</v>
          </cell>
        </row>
        <row r="10205">
          <cell r="W10205">
            <v>0</v>
          </cell>
          <cell r="AB10205" t="str">
            <v>line item not tagged</v>
          </cell>
        </row>
        <row r="10206">
          <cell r="W10206">
            <v>0</v>
          </cell>
          <cell r="AB10206" t="str">
            <v>line item not tagged</v>
          </cell>
        </row>
        <row r="10207">
          <cell r="W10207">
            <v>0</v>
          </cell>
          <cell r="AB10207" t="str">
            <v>line item not tagged</v>
          </cell>
        </row>
        <row r="10208">
          <cell r="W10208">
            <v>0</v>
          </cell>
          <cell r="AB10208" t="str">
            <v>line item not tagged</v>
          </cell>
        </row>
        <row r="10209">
          <cell r="W10209">
            <v>0</v>
          </cell>
          <cell r="AB10209" t="str">
            <v>line item not tagged</v>
          </cell>
        </row>
        <row r="10210">
          <cell r="W10210">
            <v>0</v>
          </cell>
          <cell r="AB10210" t="str">
            <v>line item not tagged</v>
          </cell>
        </row>
        <row r="10211">
          <cell r="W10211">
            <v>0</v>
          </cell>
          <cell r="AB10211" t="str">
            <v>line item not tagged</v>
          </cell>
        </row>
        <row r="10212">
          <cell r="W10212">
            <v>0</v>
          </cell>
          <cell r="AB10212" t="str">
            <v>line item not tagged</v>
          </cell>
        </row>
        <row r="10213">
          <cell r="W10213">
            <v>0</v>
          </cell>
          <cell r="AB10213" t="str">
            <v>line item not tagged</v>
          </cell>
        </row>
        <row r="10214">
          <cell r="W10214">
            <v>0</v>
          </cell>
          <cell r="AB10214" t="str">
            <v>line item not tagged</v>
          </cell>
        </row>
        <row r="10215">
          <cell r="W10215">
            <v>0</v>
          </cell>
          <cell r="AB10215" t="str">
            <v>line item not tagged</v>
          </cell>
        </row>
        <row r="10216">
          <cell r="W10216">
            <v>0</v>
          </cell>
          <cell r="AB10216" t="str">
            <v>line item not tagged</v>
          </cell>
        </row>
        <row r="10217">
          <cell r="W10217">
            <v>0</v>
          </cell>
          <cell r="AB10217" t="str">
            <v>line item not tagged</v>
          </cell>
        </row>
        <row r="10218">
          <cell r="W10218">
            <v>0</v>
          </cell>
          <cell r="AB10218" t="str">
            <v>line item not tagged</v>
          </cell>
        </row>
        <row r="10219">
          <cell r="W10219">
            <v>0</v>
          </cell>
          <cell r="AB10219" t="str">
            <v>line item not tagged</v>
          </cell>
        </row>
        <row r="10220">
          <cell r="W10220">
            <v>0</v>
          </cell>
          <cell r="AB10220" t="str">
            <v>line item not tagged</v>
          </cell>
        </row>
        <row r="10221">
          <cell r="W10221">
            <v>0</v>
          </cell>
          <cell r="AB10221" t="str">
            <v>line item not tagged</v>
          </cell>
        </row>
        <row r="10222">
          <cell r="W10222">
            <v>0</v>
          </cell>
          <cell r="AB10222" t="str">
            <v>line item not tagged</v>
          </cell>
        </row>
        <row r="10223">
          <cell r="W10223">
            <v>0</v>
          </cell>
          <cell r="AB10223" t="str">
            <v>line item not tagged</v>
          </cell>
        </row>
        <row r="10224">
          <cell r="W10224">
            <v>0</v>
          </cell>
          <cell r="AB10224" t="str">
            <v>line item not tagged</v>
          </cell>
        </row>
        <row r="10225">
          <cell r="W10225">
            <v>0</v>
          </cell>
          <cell r="AB10225" t="str">
            <v>line item not tagged</v>
          </cell>
        </row>
        <row r="10226">
          <cell r="W10226">
            <v>0</v>
          </cell>
          <cell r="AB10226" t="str">
            <v>line item not tagged</v>
          </cell>
        </row>
        <row r="10227">
          <cell r="W10227">
            <v>0</v>
          </cell>
          <cell r="AB10227" t="str">
            <v>line item not tagged</v>
          </cell>
        </row>
        <row r="10228">
          <cell r="W10228">
            <v>0</v>
          </cell>
          <cell r="AB10228" t="str">
            <v>line item not tagged</v>
          </cell>
        </row>
        <row r="10229">
          <cell r="W10229">
            <v>0</v>
          </cell>
          <cell r="AB10229" t="str">
            <v>line item not tagged</v>
          </cell>
        </row>
        <row r="10230">
          <cell r="W10230">
            <v>0</v>
          </cell>
          <cell r="AB10230" t="str">
            <v>line item not tagged</v>
          </cell>
        </row>
        <row r="10231">
          <cell r="W10231">
            <v>0</v>
          </cell>
          <cell r="AB10231" t="str">
            <v>line item not tagged</v>
          </cell>
        </row>
        <row r="10232">
          <cell r="W10232">
            <v>0</v>
          </cell>
          <cell r="AB10232" t="str">
            <v>line item not tagged</v>
          </cell>
        </row>
        <row r="10233">
          <cell r="W10233">
            <v>0</v>
          </cell>
          <cell r="AB10233" t="str">
            <v>line item not tagged</v>
          </cell>
        </row>
        <row r="10234">
          <cell r="W10234">
            <v>0</v>
          </cell>
          <cell r="AB10234" t="str">
            <v>line item not tagged</v>
          </cell>
        </row>
        <row r="10235">
          <cell r="W10235">
            <v>0</v>
          </cell>
          <cell r="AB10235" t="str">
            <v>line item not tagged</v>
          </cell>
        </row>
        <row r="10236">
          <cell r="W10236">
            <v>0</v>
          </cell>
          <cell r="AB10236" t="str">
            <v>line item not tagged</v>
          </cell>
        </row>
        <row r="10237">
          <cell r="W10237">
            <v>0</v>
          </cell>
          <cell r="AB10237" t="str">
            <v>line item not tagged</v>
          </cell>
        </row>
        <row r="10238">
          <cell r="W10238">
            <v>0</v>
          </cell>
          <cell r="AB10238" t="str">
            <v>line item not tagged</v>
          </cell>
        </row>
        <row r="10239">
          <cell r="W10239">
            <v>0</v>
          </cell>
          <cell r="AB10239" t="str">
            <v>line item not tagged</v>
          </cell>
        </row>
        <row r="10240">
          <cell r="W10240">
            <v>0</v>
          </cell>
          <cell r="AB10240" t="str">
            <v>line item not tagged</v>
          </cell>
        </row>
        <row r="10241">
          <cell r="W10241">
            <v>0</v>
          </cell>
          <cell r="AB10241" t="str">
            <v>line item not tagged</v>
          </cell>
        </row>
        <row r="10242">
          <cell r="W10242">
            <v>0</v>
          </cell>
          <cell r="AB10242" t="str">
            <v>line item not tagged</v>
          </cell>
        </row>
        <row r="10243">
          <cell r="W10243">
            <v>0</v>
          </cell>
          <cell r="AB10243" t="str">
            <v>line item not tagged</v>
          </cell>
        </row>
        <row r="10244">
          <cell r="W10244">
            <v>0</v>
          </cell>
          <cell r="AB10244" t="str">
            <v>line item not tagged</v>
          </cell>
        </row>
        <row r="10245">
          <cell r="W10245">
            <v>0</v>
          </cell>
          <cell r="AB10245" t="str">
            <v>line item not tagged</v>
          </cell>
        </row>
        <row r="10246">
          <cell r="W10246">
            <v>0</v>
          </cell>
          <cell r="AB10246" t="str">
            <v>line item not tagged</v>
          </cell>
        </row>
        <row r="10247">
          <cell r="W10247">
            <v>0</v>
          </cell>
          <cell r="AB10247" t="str">
            <v>line item not tagged</v>
          </cell>
        </row>
        <row r="10248">
          <cell r="W10248">
            <v>0</v>
          </cell>
          <cell r="AB10248" t="str">
            <v>line item not tagged</v>
          </cell>
        </row>
        <row r="10249">
          <cell r="W10249">
            <v>0</v>
          </cell>
          <cell r="AB10249" t="str">
            <v>line item not tagged</v>
          </cell>
        </row>
        <row r="10250">
          <cell r="W10250">
            <v>0</v>
          </cell>
          <cell r="AB10250" t="str">
            <v>line item not tagged</v>
          </cell>
        </row>
        <row r="10251">
          <cell r="W10251">
            <v>0</v>
          </cell>
          <cell r="AB10251" t="str">
            <v>line item not tagged</v>
          </cell>
        </row>
        <row r="10252">
          <cell r="W10252">
            <v>0</v>
          </cell>
          <cell r="AB10252" t="str">
            <v>line item not tagged</v>
          </cell>
        </row>
        <row r="10253">
          <cell r="W10253">
            <v>0</v>
          </cell>
          <cell r="AB10253" t="str">
            <v>line item not tagged</v>
          </cell>
        </row>
        <row r="10254">
          <cell r="W10254">
            <v>0</v>
          </cell>
          <cell r="AB10254" t="str">
            <v>line item not tagged</v>
          </cell>
        </row>
        <row r="10255">
          <cell r="W10255">
            <v>0</v>
          </cell>
          <cell r="AB10255" t="str">
            <v>line item not tagged</v>
          </cell>
        </row>
        <row r="10256">
          <cell r="W10256">
            <v>0</v>
          </cell>
          <cell r="AB10256" t="str">
            <v>line item not tagged</v>
          </cell>
        </row>
        <row r="10257">
          <cell r="W10257">
            <v>0</v>
          </cell>
          <cell r="AB10257" t="str">
            <v>line item not tagged</v>
          </cell>
        </row>
        <row r="10258">
          <cell r="W10258">
            <v>0</v>
          </cell>
          <cell r="AB10258" t="str">
            <v>line item not tagged</v>
          </cell>
        </row>
        <row r="10259">
          <cell r="W10259">
            <v>0</v>
          </cell>
          <cell r="AB10259" t="str">
            <v>line item not tagged</v>
          </cell>
        </row>
        <row r="10260">
          <cell r="W10260">
            <v>0</v>
          </cell>
          <cell r="AB10260" t="str">
            <v>line item not tagged</v>
          </cell>
        </row>
        <row r="10261">
          <cell r="W10261">
            <v>0</v>
          </cell>
          <cell r="AB10261" t="str">
            <v>line item not tagged</v>
          </cell>
        </row>
        <row r="10262">
          <cell r="W10262">
            <v>0</v>
          </cell>
          <cell r="AB10262" t="str">
            <v>line item not tagged</v>
          </cell>
        </row>
        <row r="10263">
          <cell r="W10263">
            <v>0</v>
          </cell>
          <cell r="AB10263" t="str">
            <v>line item not tagged</v>
          </cell>
        </row>
        <row r="10264">
          <cell r="W10264">
            <v>0</v>
          </cell>
          <cell r="AB10264" t="str">
            <v>line item not tagged</v>
          </cell>
        </row>
        <row r="10265">
          <cell r="W10265">
            <v>0</v>
          </cell>
          <cell r="AB10265" t="str">
            <v>line item not tagged</v>
          </cell>
        </row>
        <row r="10266">
          <cell r="W10266">
            <v>0</v>
          </cell>
          <cell r="AB10266" t="str">
            <v>line item not tagged</v>
          </cell>
        </row>
        <row r="10267">
          <cell r="W10267">
            <v>0</v>
          </cell>
          <cell r="AB10267" t="str">
            <v>line item not tagged</v>
          </cell>
        </row>
        <row r="10268">
          <cell r="W10268">
            <v>0</v>
          </cell>
          <cell r="AB10268" t="str">
            <v>line item not tagged</v>
          </cell>
        </row>
        <row r="10269">
          <cell r="W10269">
            <v>0</v>
          </cell>
          <cell r="AB10269" t="str">
            <v>line item not tagged</v>
          </cell>
        </row>
        <row r="10270">
          <cell r="W10270">
            <v>0</v>
          </cell>
          <cell r="AB10270" t="str">
            <v>line item not tagged</v>
          </cell>
        </row>
        <row r="10271">
          <cell r="W10271">
            <v>0</v>
          </cell>
          <cell r="AB10271" t="str">
            <v>line item not tagged</v>
          </cell>
        </row>
        <row r="10272">
          <cell r="W10272">
            <v>0</v>
          </cell>
          <cell r="AB10272" t="str">
            <v>line item not tagged</v>
          </cell>
        </row>
        <row r="10273">
          <cell r="W10273">
            <v>0</v>
          </cell>
          <cell r="AB10273" t="str">
            <v>line item not tagged</v>
          </cell>
        </row>
        <row r="10274">
          <cell r="W10274">
            <v>0</v>
          </cell>
          <cell r="AB10274" t="str">
            <v>line item not tagged</v>
          </cell>
        </row>
        <row r="10275">
          <cell r="W10275">
            <v>0</v>
          </cell>
          <cell r="AB10275" t="str">
            <v>line item not tagged</v>
          </cell>
        </row>
        <row r="10276">
          <cell r="W10276">
            <v>0</v>
          </cell>
          <cell r="AB10276" t="str">
            <v>line item not tagged</v>
          </cell>
        </row>
        <row r="10277">
          <cell r="W10277">
            <v>0</v>
          </cell>
          <cell r="AB10277" t="str">
            <v>line item not tagged</v>
          </cell>
        </row>
        <row r="10278">
          <cell r="W10278">
            <v>0</v>
          </cell>
          <cell r="AB10278" t="str">
            <v>line item not tagged</v>
          </cell>
        </row>
        <row r="10279">
          <cell r="W10279">
            <v>0</v>
          </cell>
          <cell r="AB10279" t="str">
            <v>line item not tagged</v>
          </cell>
        </row>
        <row r="10280">
          <cell r="W10280">
            <v>0</v>
          </cell>
          <cell r="AB10280" t="str">
            <v>line item not tagged</v>
          </cell>
        </row>
        <row r="10281">
          <cell r="W10281">
            <v>0</v>
          </cell>
          <cell r="AB10281" t="str">
            <v>line item not tagged</v>
          </cell>
        </row>
        <row r="10282">
          <cell r="W10282">
            <v>0</v>
          </cell>
          <cell r="AB10282" t="str">
            <v>line item not tagged</v>
          </cell>
        </row>
        <row r="10283">
          <cell r="W10283">
            <v>0</v>
          </cell>
          <cell r="AB10283" t="str">
            <v>line item not tagged</v>
          </cell>
        </row>
        <row r="10284">
          <cell r="W10284">
            <v>0</v>
          </cell>
          <cell r="AB10284" t="str">
            <v>line item not tagged</v>
          </cell>
        </row>
        <row r="10285">
          <cell r="W10285">
            <v>0</v>
          </cell>
          <cell r="AB10285" t="str">
            <v>line item not tagged</v>
          </cell>
        </row>
        <row r="10286">
          <cell r="W10286">
            <v>0</v>
          </cell>
          <cell r="AB10286" t="str">
            <v>line item not tagged</v>
          </cell>
        </row>
        <row r="10287">
          <cell r="W10287">
            <v>0</v>
          </cell>
          <cell r="AB10287" t="str">
            <v>line item not tagged</v>
          </cell>
        </row>
        <row r="10288">
          <cell r="W10288">
            <v>0</v>
          </cell>
          <cell r="AB10288" t="str">
            <v>line item not tagged</v>
          </cell>
        </row>
        <row r="10289">
          <cell r="W10289">
            <v>0</v>
          </cell>
          <cell r="AB10289" t="str">
            <v>line item not tagged</v>
          </cell>
        </row>
        <row r="10290">
          <cell r="W10290">
            <v>0</v>
          </cell>
          <cell r="AB10290" t="str">
            <v>line item not tagged</v>
          </cell>
        </row>
        <row r="10291">
          <cell r="W10291">
            <v>0</v>
          </cell>
          <cell r="AB10291" t="str">
            <v>line item not tagged</v>
          </cell>
        </row>
        <row r="10292">
          <cell r="W10292">
            <v>0</v>
          </cell>
          <cell r="AB10292" t="str">
            <v>line item not tagged</v>
          </cell>
        </row>
        <row r="10293">
          <cell r="W10293">
            <v>0</v>
          </cell>
          <cell r="AB10293" t="str">
            <v>line item not tagged</v>
          </cell>
        </row>
        <row r="10294">
          <cell r="W10294">
            <v>0</v>
          </cell>
          <cell r="AB10294" t="str">
            <v>line item not tagged</v>
          </cell>
        </row>
        <row r="10295">
          <cell r="W10295">
            <v>0</v>
          </cell>
          <cell r="AB10295" t="str">
            <v>line item not tagged</v>
          </cell>
        </row>
        <row r="10296">
          <cell r="W10296">
            <v>0</v>
          </cell>
          <cell r="AB10296" t="str">
            <v>line item not tagged</v>
          </cell>
        </row>
        <row r="10297">
          <cell r="W10297">
            <v>0</v>
          </cell>
          <cell r="AB10297" t="str">
            <v>line item not tagged</v>
          </cell>
        </row>
        <row r="10298">
          <cell r="W10298">
            <v>0</v>
          </cell>
          <cell r="AB10298" t="str">
            <v>line item not tagged</v>
          </cell>
        </row>
        <row r="10299">
          <cell r="W10299">
            <v>0</v>
          </cell>
          <cell r="AB10299" t="str">
            <v>line item not tagged</v>
          </cell>
        </row>
        <row r="10300">
          <cell r="W10300">
            <v>0</v>
          </cell>
          <cell r="AB10300" t="str">
            <v>line item not tagged</v>
          </cell>
        </row>
        <row r="10301">
          <cell r="W10301">
            <v>0</v>
          </cell>
          <cell r="AB10301" t="str">
            <v>line item not tagged</v>
          </cell>
        </row>
        <row r="10302">
          <cell r="W10302">
            <v>0</v>
          </cell>
          <cell r="AB10302" t="str">
            <v>line item not tagged</v>
          </cell>
        </row>
        <row r="10303">
          <cell r="W10303">
            <v>0</v>
          </cell>
          <cell r="AB10303" t="str">
            <v>line item not tagged</v>
          </cell>
        </row>
        <row r="10304">
          <cell r="W10304">
            <v>0</v>
          </cell>
          <cell r="AB10304" t="str">
            <v>line item not tagged</v>
          </cell>
        </row>
        <row r="10305">
          <cell r="W10305">
            <v>0</v>
          </cell>
          <cell r="AB10305" t="str">
            <v>line item not tagged</v>
          </cell>
        </row>
        <row r="10306">
          <cell r="W10306">
            <v>0</v>
          </cell>
          <cell r="AB10306" t="str">
            <v>line item not tagged</v>
          </cell>
        </row>
        <row r="10307">
          <cell r="W10307">
            <v>0</v>
          </cell>
          <cell r="AB10307" t="str">
            <v>line item not tagged</v>
          </cell>
        </row>
        <row r="10308">
          <cell r="W10308">
            <v>0</v>
          </cell>
          <cell r="AB10308" t="str">
            <v>line item not tagged</v>
          </cell>
        </row>
        <row r="10309">
          <cell r="W10309">
            <v>0</v>
          </cell>
          <cell r="AB10309" t="str">
            <v>line item not tagged</v>
          </cell>
        </row>
        <row r="10310">
          <cell r="W10310">
            <v>0</v>
          </cell>
          <cell r="AB10310" t="str">
            <v>line item not tagged</v>
          </cell>
        </row>
        <row r="10311">
          <cell r="W10311">
            <v>0</v>
          </cell>
          <cell r="AB10311" t="str">
            <v>line item not tagged</v>
          </cell>
        </row>
        <row r="10312">
          <cell r="W10312">
            <v>0</v>
          </cell>
          <cell r="AB10312" t="str">
            <v>line item not tagged</v>
          </cell>
        </row>
        <row r="10313">
          <cell r="W10313">
            <v>0</v>
          </cell>
          <cell r="AB10313" t="str">
            <v>line item not tagged</v>
          </cell>
        </row>
        <row r="10314">
          <cell r="W10314">
            <v>0</v>
          </cell>
          <cell r="AB10314" t="str">
            <v>line item not tagged</v>
          </cell>
        </row>
        <row r="10315">
          <cell r="W10315">
            <v>0</v>
          </cell>
          <cell r="AB10315" t="str">
            <v>line item not tagged</v>
          </cell>
        </row>
        <row r="10316">
          <cell r="W10316">
            <v>0</v>
          </cell>
          <cell r="AB10316" t="str">
            <v>line item not tagged</v>
          </cell>
        </row>
        <row r="10317">
          <cell r="W10317">
            <v>0</v>
          </cell>
          <cell r="AB10317" t="str">
            <v>line item not tagged</v>
          </cell>
        </row>
        <row r="10318">
          <cell r="W10318">
            <v>0</v>
          </cell>
          <cell r="AB10318" t="str">
            <v>line item not tagged</v>
          </cell>
        </row>
        <row r="10319">
          <cell r="W10319">
            <v>0</v>
          </cell>
          <cell r="AB10319" t="str">
            <v>line item not tagged</v>
          </cell>
        </row>
        <row r="10320">
          <cell r="W10320">
            <v>0</v>
          </cell>
          <cell r="AB10320" t="str">
            <v>line item not tagged</v>
          </cell>
        </row>
        <row r="10321">
          <cell r="W10321">
            <v>0</v>
          </cell>
          <cell r="AB10321" t="str">
            <v>line item not tagged</v>
          </cell>
        </row>
        <row r="10322">
          <cell r="W10322">
            <v>0</v>
          </cell>
          <cell r="AB10322" t="str">
            <v>line item not tagged</v>
          </cell>
        </row>
        <row r="10323">
          <cell r="W10323">
            <v>0</v>
          </cell>
          <cell r="AB10323" t="str">
            <v>line item not tagged</v>
          </cell>
        </row>
        <row r="10324">
          <cell r="W10324">
            <v>0</v>
          </cell>
          <cell r="AB10324" t="str">
            <v>line item not tagged</v>
          </cell>
        </row>
        <row r="10325">
          <cell r="W10325">
            <v>0</v>
          </cell>
          <cell r="AB10325" t="str">
            <v>line item not tagged</v>
          </cell>
        </row>
        <row r="10326">
          <cell r="W10326">
            <v>0</v>
          </cell>
          <cell r="AB10326" t="str">
            <v>line item not tagged</v>
          </cell>
        </row>
        <row r="10327">
          <cell r="W10327">
            <v>0</v>
          </cell>
          <cell r="AB10327" t="str">
            <v>line item not tagged</v>
          </cell>
        </row>
        <row r="10328">
          <cell r="W10328">
            <v>0</v>
          </cell>
          <cell r="AB10328" t="str">
            <v>line item not tagged</v>
          </cell>
        </row>
        <row r="10329">
          <cell r="W10329">
            <v>0</v>
          </cell>
          <cell r="AB10329" t="str">
            <v>line item not tagged</v>
          </cell>
        </row>
        <row r="10330">
          <cell r="W10330">
            <v>0</v>
          </cell>
          <cell r="AB10330" t="str">
            <v>line item not tagged</v>
          </cell>
        </row>
        <row r="10331">
          <cell r="W10331">
            <v>0</v>
          </cell>
          <cell r="AB10331" t="str">
            <v>line item not tagged</v>
          </cell>
        </row>
        <row r="10332">
          <cell r="W10332">
            <v>0</v>
          </cell>
          <cell r="AB10332" t="str">
            <v>line item not tagged</v>
          </cell>
        </row>
        <row r="10333">
          <cell r="W10333">
            <v>0</v>
          </cell>
          <cell r="AB10333" t="str">
            <v>line item not tagged</v>
          </cell>
        </row>
        <row r="10334">
          <cell r="W10334">
            <v>0</v>
          </cell>
          <cell r="AB10334" t="str">
            <v>line item not tagged</v>
          </cell>
        </row>
        <row r="10335">
          <cell r="W10335">
            <v>0</v>
          </cell>
          <cell r="AB10335" t="str">
            <v>line item not tagged</v>
          </cell>
        </row>
        <row r="10336">
          <cell r="W10336">
            <v>0</v>
          </cell>
          <cell r="AB10336" t="str">
            <v>line item not tagged</v>
          </cell>
        </row>
        <row r="10337">
          <cell r="W10337">
            <v>0</v>
          </cell>
          <cell r="AB10337" t="str">
            <v>line item not tagged</v>
          </cell>
        </row>
        <row r="10338">
          <cell r="W10338">
            <v>0</v>
          </cell>
          <cell r="AB10338" t="str">
            <v>line item not tagged</v>
          </cell>
        </row>
        <row r="10339">
          <cell r="W10339">
            <v>0</v>
          </cell>
          <cell r="AB10339" t="str">
            <v>line item not tagged</v>
          </cell>
        </row>
        <row r="10340">
          <cell r="W10340">
            <v>0</v>
          </cell>
          <cell r="AB10340" t="str">
            <v>line item not tagged</v>
          </cell>
        </row>
        <row r="10341">
          <cell r="W10341">
            <v>0</v>
          </cell>
          <cell r="AB10341" t="str">
            <v>line item not tagged</v>
          </cell>
        </row>
        <row r="10342">
          <cell r="W10342">
            <v>0</v>
          </cell>
          <cell r="AB10342" t="str">
            <v>line item not tagged</v>
          </cell>
        </row>
        <row r="10343">
          <cell r="W10343">
            <v>0</v>
          </cell>
          <cell r="AB10343" t="str">
            <v>line item not tagged</v>
          </cell>
        </row>
        <row r="10344">
          <cell r="W10344">
            <v>0</v>
          </cell>
          <cell r="AB10344" t="str">
            <v>line item not tagged</v>
          </cell>
        </row>
        <row r="10345">
          <cell r="W10345">
            <v>0</v>
          </cell>
          <cell r="AB10345" t="str">
            <v>line item not tagged</v>
          </cell>
        </row>
        <row r="10346">
          <cell r="W10346">
            <v>0</v>
          </cell>
          <cell r="AB10346" t="str">
            <v>line item not tagged</v>
          </cell>
        </row>
        <row r="10347">
          <cell r="W10347">
            <v>0</v>
          </cell>
          <cell r="AB10347" t="str">
            <v>line item not tagged</v>
          </cell>
        </row>
        <row r="10348">
          <cell r="W10348">
            <v>0</v>
          </cell>
          <cell r="AB10348" t="str">
            <v>line item not tagged</v>
          </cell>
        </row>
        <row r="10349">
          <cell r="W10349">
            <v>0</v>
          </cell>
          <cell r="AB10349" t="str">
            <v>line item not tagged</v>
          </cell>
        </row>
        <row r="10350">
          <cell r="W10350">
            <v>0</v>
          </cell>
          <cell r="AB10350" t="str">
            <v>line item not tagged</v>
          </cell>
        </row>
        <row r="10351">
          <cell r="W10351">
            <v>0</v>
          </cell>
          <cell r="AB10351" t="str">
            <v>line item not tagged</v>
          </cell>
        </row>
        <row r="10352">
          <cell r="W10352">
            <v>0</v>
          </cell>
          <cell r="AB10352" t="str">
            <v>line item not tagged</v>
          </cell>
        </row>
        <row r="10353">
          <cell r="W10353">
            <v>0</v>
          </cell>
          <cell r="AB10353" t="str">
            <v>line item not tagged</v>
          </cell>
        </row>
        <row r="10354">
          <cell r="W10354">
            <v>0</v>
          </cell>
          <cell r="AB10354" t="str">
            <v>line item not tagged</v>
          </cell>
        </row>
        <row r="10355">
          <cell r="W10355">
            <v>0</v>
          </cell>
          <cell r="AB10355" t="str">
            <v>line item not tagged</v>
          </cell>
        </row>
        <row r="10356">
          <cell r="W10356">
            <v>0</v>
          </cell>
          <cell r="AB10356" t="str">
            <v>line item not tagged</v>
          </cell>
        </row>
        <row r="10357">
          <cell r="W10357">
            <v>0</v>
          </cell>
          <cell r="AB10357" t="str">
            <v>line item not tagged</v>
          </cell>
        </row>
        <row r="10358">
          <cell r="W10358">
            <v>0</v>
          </cell>
          <cell r="AB10358" t="str">
            <v>line item not tagged</v>
          </cell>
        </row>
        <row r="10359">
          <cell r="W10359">
            <v>0</v>
          </cell>
          <cell r="AB10359" t="str">
            <v>line item not tagged</v>
          </cell>
        </row>
        <row r="10360">
          <cell r="W10360">
            <v>0</v>
          </cell>
          <cell r="AB10360" t="str">
            <v>line item not tagged</v>
          </cell>
        </row>
        <row r="10361">
          <cell r="W10361">
            <v>0</v>
          </cell>
          <cell r="AB10361" t="str">
            <v>line item not tagged</v>
          </cell>
        </row>
        <row r="10362">
          <cell r="W10362">
            <v>0</v>
          </cell>
          <cell r="AB10362" t="str">
            <v>line item not tagged</v>
          </cell>
        </row>
        <row r="10363">
          <cell r="W10363">
            <v>0</v>
          </cell>
          <cell r="AB10363" t="str">
            <v>line item not tagged</v>
          </cell>
        </row>
        <row r="10364">
          <cell r="W10364">
            <v>0</v>
          </cell>
          <cell r="AB10364" t="str">
            <v>line item not tagged</v>
          </cell>
        </row>
        <row r="10365">
          <cell r="W10365">
            <v>0</v>
          </cell>
          <cell r="AB10365" t="str">
            <v>line item not tagged</v>
          </cell>
        </row>
        <row r="10366">
          <cell r="W10366">
            <v>0</v>
          </cell>
          <cell r="AB10366" t="str">
            <v>line item not tagged</v>
          </cell>
        </row>
        <row r="10367">
          <cell r="W10367">
            <v>0</v>
          </cell>
          <cell r="AB10367" t="str">
            <v>line item not tagged</v>
          </cell>
        </row>
        <row r="10368">
          <cell r="W10368">
            <v>0</v>
          </cell>
          <cell r="AB10368" t="str">
            <v>line item not tagged</v>
          </cell>
        </row>
        <row r="10369">
          <cell r="W10369">
            <v>0</v>
          </cell>
          <cell r="AB10369" t="str">
            <v>line item not tagged</v>
          </cell>
        </row>
        <row r="10370">
          <cell r="W10370">
            <v>0</v>
          </cell>
          <cell r="AB10370" t="str">
            <v>line item not tagged</v>
          </cell>
        </row>
        <row r="10371">
          <cell r="W10371">
            <v>0</v>
          </cell>
          <cell r="AB10371" t="str">
            <v>line item not tagged</v>
          </cell>
        </row>
        <row r="10372">
          <cell r="W10372">
            <v>0</v>
          </cell>
          <cell r="AB10372" t="str">
            <v>line item not tagged</v>
          </cell>
        </row>
        <row r="10373">
          <cell r="W10373">
            <v>0</v>
          </cell>
          <cell r="AB10373" t="str">
            <v>line item not tagged</v>
          </cell>
        </row>
        <row r="10374">
          <cell r="W10374">
            <v>0</v>
          </cell>
          <cell r="AB10374" t="str">
            <v>line item not tagged</v>
          </cell>
        </row>
        <row r="10375">
          <cell r="W10375">
            <v>0</v>
          </cell>
          <cell r="AB10375" t="str">
            <v>line item not tagged</v>
          </cell>
        </row>
        <row r="10376">
          <cell r="W10376">
            <v>0</v>
          </cell>
          <cell r="AB10376" t="str">
            <v>line item not tagged</v>
          </cell>
        </row>
        <row r="10377">
          <cell r="W10377">
            <v>0</v>
          </cell>
          <cell r="AB10377" t="str">
            <v>line item not tagged</v>
          </cell>
        </row>
        <row r="10378">
          <cell r="W10378">
            <v>0</v>
          </cell>
          <cell r="AB10378" t="str">
            <v>line item not tagged</v>
          </cell>
        </row>
        <row r="10379">
          <cell r="W10379">
            <v>0</v>
          </cell>
          <cell r="AB10379" t="str">
            <v>line item not tagged</v>
          </cell>
        </row>
        <row r="10380">
          <cell r="W10380">
            <v>0</v>
          </cell>
          <cell r="AB10380" t="str">
            <v>line item not tagged</v>
          </cell>
        </row>
        <row r="10381">
          <cell r="W10381">
            <v>0</v>
          </cell>
          <cell r="AB10381" t="str">
            <v>line item not tagged</v>
          </cell>
        </row>
        <row r="10382">
          <cell r="W10382">
            <v>0</v>
          </cell>
          <cell r="AB10382" t="str">
            <v>line item not tagged</v>
          </cell>
        </row>
        <row r="10383">
          <cell r="W10383">
            <v>0</v>
          </cell>
          <cell r="AB10383" t="str">
            <v>line item not tagged</v>
          </cell>
        </row>
        <row r="10384">
          <cell r="W10384">
            <v>0</v>
          </cell>
          <cell r="AB10384" t="str">
            <v>line item not tagged</v>
          </cell>
        </row>
        <row r="10385">
          <cell r="W10385">
            <v>0</v>
          </cell>
          <cell r="AB10385" t="str">
            <v>line item not tagged</v>
          </cell>
        </row>
        <row r="10386">
          <cell r="W10386">
            <v>0</v>
          </cell>
          <cell r="AB10386" t="str">
            <v>line item not tagged</v>
          </cell>
        </row>
        <row r="10387">
          <cell r="W10387">
            <v>0</v>
          </cell>
          <cell r="AB10387" t="str">
            <v>line item not tagged</v>
          </cell>
        </row>
        <row r="10388">
          <cell r="W10388">
            <v>0</v>
          </cell>
          <cell r="AB10388" t="str">
            <v>line item not tagged</v>
          </cell>
        </row>
        <row r="10389">
          <cell r="W10389">
            <v>0</v>
          </cell>
          <cell r="AB10389" t="str">
            <v>line item not tagged</v>
          </cell>
        </row>
        <row r="10390">
          <cell r="W10390">
            <v>0</v>
          </cell>
          <cell r="AB10390" t="str">
            <v>line item not tagged</v>
          </cell>
        </row>
        <row r="10391">
          <cell r="W10391">
            <v>0</v>
          </cell>
          <cell r="AB10391" t="str">
            <v>line item not tagged</v>
          </cell>
        </row>
        <row r="10392">
          <cell r="W10392">
            <v>0</v>
          </cell>
          <cell r="AB10392" t="str">
            <v>line item not tagged</v>
          </cell>
        </row>
        <row r="10393">
          <cell r="W10393">
            <v>0</v>
          </cell>
          <cell r="AB10393" t="str">
            <v>line item not tagged</v>
          </cell>
        </row>
        <row r="10394">
          <cell r="W10394">
            <v>0</v>
          </cell>
          <cell r="AB10394" t="str">
            <v>line item not tagged</v>
          </cell>
        </row>
        <row r="10395">
          <cell r="W10395">
            <v>0</v>
          </cell>
          <cell r="AB10395" t="str">
            <v>line item not tagged</v>
          </cell>
        </row>
        <row r="10396">
          <cell r="W10396">
            <v>0</v>
          </cell>
          <cell r="AB10396" t="str">
            <v>line item not tagged</v>
          </cell>
        </row>
        <row r="10397">
          <cell r="W10397">
            <v>0</v>
          </cell>
          <cell r="AB10397" t="str">
            <v>line item not tagged</v>
          </cell>
        </row>
        <row r="10398">
          <cell r="W10398">
            <v>0</v>
          </cell>
          <cell r="AB10398" t="str">
            <v>line item not tagged</v>
          </cell>
        </row>
        <row r="10399">
          <cell r="W10399">
            <v>0</v>
          </cell>
          <cell r="AB10399" t="str">
            <v>line item not tagged</v>
          </cell>
        </row>
        <row r="10400">
          <cell r="W10400">
            <v>0</v>
          </cell>
          <cell r="AB10400" t="str">
            <v>line item not tagged</v>
          </cell>
        </row>
        <row r="10401">
          <cell r="W10401">
            <v>0</v>
          </cell>
          <cell r="AB10401" t="str">
            <v>line item not tagged</v>
          </cell>
        </row>
        <row r="10402">
          <cell r="W10402">
            <v>0</v>
          </cell>
          <cell r="AB10402" t="str">
            <v>line item not tagged</v>
          </cell>
        </row>
        <row r="10403">
          <cell r="W10403">
            <v>0</v>
          </cell>
          <cell r="AB10403" t="str">
            <v>line item not tagged</v>
          </cell>
        </row>
        <row r="10404">
          <cell r="W10404">
            <v>0</v>
          </cell>
          <cell r="AB10404" t="str">
            <v>line item not tagged</v>
          </cell>
        </row>
        <row r="10405">
          <cell r="W10405">
            <v>0</v>
          </cell>
          <cell r="AB10405" t="str">
            <v>line item not tagged</v>
          </cell>
        </row>
        <row r="10406">
          <cell r="W10406">
            <v>0</v>
          </cell>
          <cell r="AB10406" t="str">
            <v>line item not tagged</v>
          </cell>
        </row>
        <row r="10407">
          <cell r="W10407">
            <v>0</v>
          </cell>
          <cell r="AB10407" t="str">
            <v>line item not tagged</v>
          </cell>
        </row>
        <row r="10408">
          <cell r="W10408">
            <v>0</v>
          </cell>
          <cell r="AB10408" t="str">
            <v>line item not tagged</v>
          </cell>
        </row>
        <row r="10409">
          <cell r="W10409">
            <v>0</v>
          </cell>
          <cell r="AB10409" t="str">
            <v>line item not tagged</v>
          </cell>
        </row>
        <row r="10410">
          <cell r="W10410">
            <v>0</v>
          </cell>
          <cell r="AB10410" t="str">
            <v>line item not tagged</v>
          </cell>
        </row>
        <row r="10411">
          <cell r="W10411">
            <v>0</v>
          </cell>
          <cell r="AB10411" t="str">
            <v>line item not tagged</v>
          </cell>
        </row>
        <row r="10412">
          <cell r="W10412">
            <v>0</v>
          </cell>
          <cell r="AB10412" t="str">
            <v>line item not tagged</v>
          </cell>
        </row>
        <row r="10413">
          <cell r="W10413">
            <v>0</v>
          </cell>
          <cell r="AB10413" t="str">
            <v>line item not tagged</v>
          </cell>
        </row>
        <row r="10414">
          <cell r="W10414">
            <v>0</v>
          </cell>
          <cell r="AB10414" t="str">
            <v>line item not tagged</v>
          </cell>
        </row>
        <row r="10415">
          <cell r="W10415">
            <v>0</v>
          </cell>
          <cell r="AB10415" t="str">
            <v>line item not tagged</v>
          </cell>
        </row>
        <row r="10416">
          <cell r="W10416">
            <v>0</v>
          </cell>
          <cell r="AB10416" t="str">
            <v>line item not tagged</v>
          </cell>
        </row>
        <row r="10417">
          <cell r="W10417">
            <v>0</v>
          </cell>
          <cell r="AB10417" t="str">
            <v>line item not tagged</v>
          </cell>
        </row>
        <row r="10418">
          <cell r="W10418">
            <v>0</v>
          </cell>
          <cell r="AB10418" t="str">
            <v>line item not tagged</v>
          </cell>
        </row>
        <row r="10419">
          <cell r="W10419">
            <v>0</v>
          </cell>
          <cell r="AB10419" t="str">
            <v>line item not tagged</v>
          </cell>
        </row>
        <row r="10420">
          <cell r="W10420">
            <v>0</v>
          </cell>
          <cell r="AB10420" t="str">
            <v>line item not tagged</v>
          </cell>
        </row>
        <row r="10421">
          <cell r="W10421">
            <v>0</v>
          </cell>
          <cell r="AB10421" t="str">
            <v>line item not tagged</v>
          </cell>
        </row>
        <row r="10422">
          <cell r="W10422">
            <v>0</v>
          </cell>
          <cell r="AB10422" t="str">
            <v>line item not tagged</v>
          </cell>
        </row>
        <row r="10423">
          <cell r="W10423">
            <v>0</v>
          </cell>
          <cell r="AB10423" t="str">
            <v>line item not tagged</v>
          </cell>
        </row>
        <row r="10424">
          <cell r="W10424">
            <v>0</v>
          </cell>
          <cell r="AB10424" t="str">
            <v>line item not tagged</v>
          </cell>
        </row>
        <row r="10425">
          <cell r="W10425">
            <v>0</v>
          </cell>
          <cell r="AB10425" t="str">
            <v>line item not tagged</v>
          </cell>
        </row>
        <row r="10426">
          <cell r="W10426">
            <v>0</v>
          </cell>
          <cell r="AB10426" t="str">
            <v>line item not tagged</v>
          </cell>
        </row>
        <row r="10427">
          <cell r="W10427">
            <v>0</v>
          </cell>
          <cell r="AB10427" t="str">
            <v>line item not tagged</v>
          </cell>
        </row>
        <row r="10428">
          <cell r="W10428">
            <v>0</v>
          </cell>
          <cell r="AB10428" t="str">
            <v>line item not tagged</v>
          </cell>
        </row>
        <row r="10429">
          <cell r="W10429">
            <v>0</v>
          </cell>
          <cell r="AB10429" t="str">
            <v>line item not tagged</v>
          </cell>
        </row>
        <row r="10430">
          <cell r="W10430">
            <v>0</v>
          </cell>
          <cell r="AB10430" t="str">
            <v>line item not tagged</v>
          </cell>
        </row>
        <row r="10431">
          <cell r="W10431">
            <v>0</v>
          </cell>
          <cell r="AB10431" t="str">
            <v>line item not tagged</v>
          </cell>
        </row>
        <row r="10432">
          <cell r="W10432">
            <v>0</v>
          </cell>
          <cell r="AB10432" t="str">
            <v>line item not tagged</v>
          </cell>
        </row>
        <row r="10433">
          <cell r="W10433">
            <v>0</v>
          </cell>
          <cell r="AB10433" t="str">
            <v>line item not tagged</v>
          </cell>
        </row>
        <row r="10434">
          <cell r="W10434">
            <v>0</v>
          </cell>
          <cell r="AB10434" t="str">
            <v>line item not tagged</v>
          </cell>
        </row>
        <row r="10435">
          <cell r="W10435">
            <v>0</v>
          </cell>
          <cell r="AB10435" t="str">
            <v>line item not tagged</v>
          </cell>
        </row>
        <row r="10436">
          <cell r="W10436">
            <v>0</v>
          </cell>
          <cell r="AB10436" t="str">
            <v>line item not tagged</v>
          </cell>
        </row>
        <row r="10437">
          <cell r="W10437">
            <v>0</v>
          </cell>
          <cell r="AB10437" t="str">
            <v>line item not tagged</v>
          </cell>
        </row>
        <row r="10438">
          <cell r="W10438">
            <v>0</v>
          </cell>
          <cell r="AB10438" t="str">
            <v>line item not tagged</v>
          </cell>
        </row>
        <row r="10439">
          <cell r="W10439">
            <v>0</v>
          </cell>
          <cell r="AB10439" t="str">
            <v>line item not tagged</v>
          </cell>
        </row>
        <row r="10440">
          <cell r="W10440">
            <v>0</v>
          </cell>
          <cell r="AB10440" t="str">
            <v>line item not tagged</v>
          </cell>
        </row>
        <row r="10441">
          <cell r="W10441">
            <v>0</v>
          </cell>
          <cell r="AB10441" t="str">
            <v>line item not tagged</v>
          </cell>
        </row>
        <row r="10442">
          <cell r="W10442">
            <v>0</v>
          </cell>
          <cell r="AB10442" t="str">
            <v>line item not tagged</v>
          </cell>
        </row>
        <row r="10443">
          <cell r="W10443">
            <v>0</v>
          </cell>
          <cell r="AB10443" t="str">
            <v>line item not tagged</v>
          </cell>
        </row>
        <row r="10444">
          <cell r="W10444">
            <v>0</v>
          </cell>
          <cell r="AB10444" t="str">
            <v>line item not tagged</v>
          </cell>
        </row>
        <row r="10445">
          <cell r="W10445">
            <v>0</v>
          </cell>
          <cell r="AB10445" t="str">
            <v>line item not tagged</v>
          </cell>
        </row>
        <row r="10446">
          <cell r="W10446">
            <v>0</v>
          </cell>
          <cell r="AB10446" t="str">
            <v>line item not tagged</v>
          </cell>
        </row>
        <row r="10447">
          <cell r="W10447">
            <v>0</v>
          </cell>
          <cell r="AB10447" t="str">
            <v>line item not tagged</v>
          </cell>
        </row>
        <row r="10448">
          <cell r="W10448">
            <v>0</v>
          </cell>
          <cell r="AB10448" t="str">
            <v>line item not tagged</v>
          </cell>
        </row>
        <row r="10449">
          <cell r="W10449">
            <v>0</v>
          </cell>
          <cell r="AB10449" t="str">
            <v>line item not tagged</v>
          </cell>
        </row>
        <row r="10450">
          <cell r="W10450">
            <v>0</v>
          </cell>
          <cell r="AB10450" t="str">
            <v>line item not tagged</v>
          </cell>
        </row>
        <row r="10451">
          <cell r="W10451">
            <v>0</v>
          </cell>
          <cell r="AB10451" t="str">
            <v>line item not tagged</v>
          </cell>
        </row>
        <row r="10452">
          <cell r="W10452">
            <v>0</v>
          </cell>
          <cell r="AB10452" t="str">
            <v>line item not tagged</v>
          </cell>
        </row>
        <row r="10453">
          <cell r="W10453">
            <v>0</v>
          </cell>
          <cell r="AB10453" t="str">
            <v>line item not tagged</v>
          </cell>
        </row>
        <row r="10454">
          <cell r="W10454">
            <v>0</v>
          </cell>
          <cell r="AB10454" t="str">
            <v>line item not tagged</v>
          </cell>
        </row>
        <row r="10455">
          <cell r="W10455">
            <v>0</v>
          </cell>
          <cell r="AB10455" t="str">
            <v>line item not tagged</v>
          </cell>
        </row>
        <row r="10456">
          <cell r="W10456">
            <v>0</v>
          </cell>
          <cell r="AB10456" t="str">
            <v>line item not tagged</v>
          </cell>
        </row>
        <row r="10457">
          <cell r="W10457">
            <v>0</v>
          </cell>
          <cell r="AB10457" t="str">
            <v>line item not tagged</v>
          </cell>
        </row>
        <row r="10458">
          <cell r="W10458">
            <v>0</v>
          </cell>
          <cell r="AB10458" t="str">
            <v>line item not tagged</v>
          </cell>
        </row>
        <row r="10459">
          <cell r="W10459">
            <v>0</v>
          </cell>
          <cell r="AB10459" t="str">
            <v>line item not tagged</v>
          </cell>
        </row>
        <row r="10460">
          <cell r="W10460">
            <v>0</v>
          </cell>
          <cell r="AB10460" t="str">
            <v>line item not tagged</v>
          </cell>
        </row>
        <row r="10461">
          <cell r="W10461">
            <v>0</v>
          </cell>
          <cell r="AB10461" t="str">
            <v>line item not tagged</v>
          </cell>
        </row>
        <row r="10462">
          <cell r="W10462">
            <v>0</v>
          </cell>
          <cell r="AB10462" t="str">
            <v>line item not tagged</v>
          </cell>
        </row>
        <row r="10463">
          <cell r="W10463">
            <v>0</v>
          </cell>
          <cell r="AB10463" t="str">
            <v>line item not tagged</v>
          </cell>
        </row>
        <row r="10464">
          <cell r="W10464">
            <v>0</v>
          </cell>
          <cell r="AB10464" t="str">
            <v>line item not tagged</v>
          </cell>
        </row>
        <row r="10465">
          <cell r="W10465">
            <v>0</v>
          </cell>
          <cell r="AB10465" t="str">
            <v>line item not tagged</v>
          </cell>
        </row>
        <row r="10466">
          <cell r="W10466">
            <v>0</v>
          </cell>
          <cell r="AB10466" t="str">
            <v>line item not tagged</v>
          </cell>
        </row>
        <row r="10467">
          <cell r="W10467">
            <v>0</v>
          </cell>
          <cell r="AB10467" t="str">
            <v>line item not tagged</v>
          </cell>
        </row>
        <row r="10468">
          <cell r="W10468">
            <v>0</v>
          </cell>
          <cell r="AB10468" t="str">
            <v>line item not tagged</v>
          </cell>
        </row>
        <row r="10469">
          <cell r="W10469">
            <v>0</v>
          </cell>
          <cell r="AB10469" t="str">
            <v>line item not tagged</v>
          </cell>
        </row>
        <row r="10470">
          <cell r="W10470">
            <v>0</v>
          </cell>
          <cell r="AB10470" t="str">
            <v>line item not tagged</v>
          </cell>
        </row>
        <row r="10471">
          <cell r="W10471">
            <v>0</v>
          </cell>
          <cell r="AB10471" t="str">
            <v>line item not tagged</v>
          </cell>
        </row>
        <row r="10472">
          <cell r="W10472">
            <v>0</v>
          </cell>
          <cell r="AB10472" t="str">
            <v>line item not tagged</v>
          </cell>
        </row>
        <row r="10473">
          <cell r="W10473">
            <v>0</v>
          </cell>
          <cell r="AB10473" t="str">
            <v>line item not tagged</v>
          </cell>
        </row>
        <row r="10474">
          <cell r="W10474">
            <v>0</v>
          </cell>
          <cell r="AB10474" t="str">
            <v>line item not tagged</v>
          </cell>
        </row>
        <row r="10475">
          <cell r="W10475">
            <v>0</v>
          </cell>
          <cell r="AB10475" t="str">
            <v>line item not tagged</v>
          </cell>
        </row>
        <row r="10476">
          <cell r="W10476">
            <v>0</v>
          </cell>
          <cell r="AB10476" t="str">
            <v>line item not tagged</v>
          </cell>
        </row>
        <row r="10477">
          <cell r="W10477">
            <v>0</v>
          </cell>
          <cell r="AB10477" t="str">
            <v>line item not tagged</v>
          </cell>
        </row>
        <row r="10478">
          <cell r="W10478">
            <v>0</v>
          </cell>
          <cell r="AB10478" t="str">
            <v>line item not tagged</v>
          </cell>
        </row>
        <row r="10479">
          <cell r="W10479">
            <v>0</v>
          </cell>
          <cell r="AB10479" t="str">
            <v>line item not tagged</v>
          </cell>
        </row>
        <row r="10480">
          <cell r="W10480">
            <v>0</v>
          </cell>
          <cell r="AB10480" t="str">
            <v>line item not tagged</v>
          </cell>
        </row>
        <row r="10481">
          <cell r="W10481">
            <v>0</v>
          </cell>
          <cell r="AB10481" t="str">
            <v>line item not tagged</v>
          </cell>
        </row>
        <row r="10482">
          <cell r="W10482">
            <v>0</v>
          </cell>
          <cell r="AB10482" t="str">
            <v>line item not tagged</v>
          </cell>
        </row>
        <row r="10483">
          <cell r="W10483">
            <v>0</v>
          </cell>
          <cell r="AB10483" t="str">
            <v>line item not tagged</v>
          </cell>
        </row>
        <row r="10484">
          <cell r="W10484">
            <v>0</v>
          </cell>
          <cell r="AB10484" t="str">
            <v>line item not tagged</v>
          </cell>
        </row>
        <row r="10485">
          <cell r="W10485">
            <v>0</v>
          </cell>
          <cell r="AB10485" t="str">
            <v>line item not tagged</v>
          </cell>
        </row>
        <row r="10486">
          <cell r="W10486">
            <v>0</v>
          </cell>
          <cell r="AB10486" t="str">
            <v>line item not tagged</v>
          </cell>
        </row>
        <row r="10487">
          <cell r="W10487">
            <v>0</v>
          </cell>
          <cell r="AB10487" t="str">
            <v>line item not tagged</v>
          </cell>
        </row>
        <row r="10488">
          <cell r="W10488">
            <v>0</v>
          </cell>
          <cell r="AB10488" t="str">
            <v>line item not tagged</v>
          </cell>
        </row>
        <row r="10489">
          <cell r="W10489">
            <v>0</v>
          </cell>
          <cell r="AB10489" t="str">
            <v>line item not tagged</v>
          </cell>
        </row>
        <row r="10490">
          <cell r="W10490">
            <v>0</v>
          </cell>
          <cell r="AB10490" t="str">
            <v>line item not tagged</v>
          </cell>
        </row>
        <row r="10491">
          <cell r="W10491">
            <v>0</v>
          </cell>
          <cell r="AB10491" t="str">
            <v>line item not tagged</v>
          </cell>
        </row>
        <row r="10492">
          <cell r="W10492">
            <v>0</v>
          </cell>
          <cell r="AB10492" t="str">
            <v>line item not tagged</v>
          </cell>
        </row>
        <row r="10493">
          <cell r="W10493">
            <v>0</v>
          </cell>
          <cell r="AB10493" t="str">
            <v>line item not tagged</v>
          </cell>
        </row>
        <row r="10494">
          <cell r="W10494">
            <v>0</v>
          </cell>
          <cell r="AB10494" t="str">
            <v>line item not tagged</v>
          </cell>
        </row>
        <row r="10495">
          <cell r="W10495">
            <v>0</v>
          </cell>
          <cell r="AB10495" t="str">
            <v>line item not tagged</v>
          </cell>
        </row>
        <row r="10496">
          <cell r="W10496">
            <v>0</v>
          </cell>
          <cell r="AB10496" t="str">
            <v>line item not tagged</v>
          </cell>
        </row>
        <row r="10497">
          <cell r="W10497">
            <v>0</v>
          </cell>
          <cell r="AB10497" t="str">
            <v>line item not tagged</v>
          </cell>
        </row>
        <row r="10498">
          <cell r="W10498">
            <v>0</v>
          </cell>
          <cell r="AB10498" t="str">
            <v>line item not tagged</v>
          </cell>
        </row>
        <row r="10499">
          <cell r="W10499">
            <v>0</v>
          </cell>
          <cell r="AB10499" t="str">
            <v>line item not tagged</v>
          </cell>
        </row>
        <row r="10500">
          <cell r="W10500">
            <v>0</v>
          </cell>
          <cell r="AB10500" t="str">
            <v>line item not tagged</v>
          </cell>
        </row>
        <row r="10501">
          <cell r="W10501">
            <v>0</v>
          </cell>
          <cell r="AB10501" t="str">
            <v>line item not tagged</v>
          </cell>
        </row>
        <row r="10502">
          <cell r="W10502">
            <v>0</v>
          </cell>
          <cell r="AB10502" t="str">
            <v>line item not tagged</v>
          </cell>
        </row>
        <row r="10503">
          <cell r="W10503">
            <v>0</v>
          </cell>
          <cell r="AB10503" t="str">
            <v>line item not tagged</v>
          </cell>
        </row>
        <row r="10504">
          <cell r="W10504">
            <v>0</v>
          </cell>
          <cell r="AB10504" t="str">
            <v>line item not tagged</v>
          </cell>
        </row>
        <row r="10505">
          <cell r="W10505">
            <v>0</v>
          </cell>
          <cell r="AB10505" t="str">
            <v>line item not tagged</v>
          </cell>
        </row>
        <row r="10506">
          <cell r="W10506">
            <v>0</v>
          </cell>
          <cell r="AB10506" t="str">
            <v>line item not tagged</v>
          </cell>
        </row>
        <row r="10507">
          <cell r="W10507">
            <v>0</v>
          </cell>
          <cell r="AB10507" t="str">
            <v>line item not tagged</v>
          </cell>
        </row>
        <row r="10508">
          <cell r="W10508">
            <v>0</v>
          </cell>
          <cell r="AB10508" t="str">
            <v>line item not tagged</v>
          </cell>
        </row>
        <row r="10509">
          <cell r="W10509">
            <v>0</v>
          </cell>
          <cell r="AB10509" t="str">
            <v>line item not tagged</v>
          </cell>
        </row>
        <row r="10510">
          <cell r="W10510">
            <v>0</v>
          </cell>
          <cell r="AB10510" t="str">
            <v>line item not tagged</v>
          </cell>
        </row>
        <row r="10511">
          <cell r="W10511">
            <v>0</v>
          </cell>
          <cell r="AB10511" t="str">
            <v>line item not tagged</v>
          </cell>
        </row>
        <row r="10512">
          <cell r="W10512">
            <v>0</v>
          </cell>
          <cell r="AB10512" t="str">
            <v>line item not tagged</v>
          </cell>
        </row>
        <row r="10513">
          <cell r="W10513">
            <v>0</v>
          </cell>
          <cell r="AB10513" t="str">
            <v>line item not tagged</v>
          </cell>
        </row>
        <row r="10514">
          <cell r="W10514">
            <v>0</v>
          </cell>
          <cell r="AB10514" t="str">
            <v>line item not tagged</v>
          </cell>
        </row>
        <row r="10515">
          <cell r="W10515">
            <v>0</v>
          </cell>
          <cell r="AB10515" t="str">
            <v>line item not tagged</v>
          </cell>
        </row>
        <row r="10516">
          <cell r="W10516">
            <v>0</v>
          </cell>
          <cell r="AB10516" t="str">
            <v>line item not tagged</v>
          </cell>
        </row>
        <row r="10517">
          <cell r="W10517">
            <v>0</v>
          </cell>
          <cell r="AB10517" t="str">
            <v>line item not tagged</v>
          </cell>
        </row>
        <row r="10518">
          <cell r="W10518">
            <v>0</v>
          </cell>
          <cell r="AB10518" t="str">
            <v>line item not tagged</v>
          </cell>
        </row>
        <row r="10519">
          <cell r="W10519">
            <v>0</v>
          </cell>
          <cell r="AB10519" t="str">
            <v>line item not tagged</v>
          </cell>
        </row>
        <row r="10520">
          <cell r="W10520">
            <v>0</v>
          </cell>
          <cell r="AB10520" t="str">
            <v>line item not tagged</v>
          </cell>
        </row>
        <row r="10521">
          <cell r="W10521">
            <v>0</v>
          </cell>
          <cell r="AB10521" t="str">
            <v>line item not tagged</v>
          </cell>
        </row>
        <row r="10522">
          <cell r="W10522">
            <v>0</v>
          </cell>
          <cell r="AB10522" t="str">
            <v>line item not tagged</v>
          </cell>
        </row>
        <row r="10523">
          <cell r="W10523">
            <v>0</v>
          </cell>
          <cell r="AB10523" t="str">
            <v>line item not tagged</v>
          </cell>
        </row>
        <row r="10524">
          <cell r="W10524">
            <v>0</v>
          </cell>
          <cell r="AB10524" t="str">
            <v>line item not tagged</v>
          </cell>
        </row>
        <row r="10525">
          <cell r="W10525">
            <v>0</v>
          </cell>
          <cell r="AB10525" t="str">
            <v>line item not tagged</v>
          </cell>
        </row>
        <row r="10526">
          <cell r="W10526">
            <v>0</v>
          </cell>
          <cell r="AB10526" t="str">
            <v>line item not tagged</v>
          </cell>
        </row>
        <row r="10527">
          <cell r="W10527">
            <v>0</v>
          </cell>
          <cell r="AB10527" t="str">
            <v>line item not tagged</v>
          </cell>
        </row>
        <row r="10528">
          <cell r="W10528">
            <v>0</v>
          </cell>
          <cell r="AB10528" t="str">
            <v>line item not tagged</v>
          </cell>
        </row>
        <row r="10529">
          <cell r="W10529">
            <v>0</v>
          </cell>
          <cell r="AB10529" t="str">
            <v>line item not tagged</v>
          </cell>
        </row>
        <row r="10530">
          <cell r="W10530">
            <v>0</v>
          </cell>
          <cell r="AB10530" t="str">
            <v>line item not tagged</v>
          </cell>
        </row>
        <row r="10531">
          <cell r="W10531">
            <v>0</v>
          </cell>
          <cell r="AB10531" t="str">
            <v>line item not tagged</v>
          </cell>
        </row>
        <row r="10532">
          <cell r="W10532">
            <v>0</v>
          </cell>
          <cell r="AB10532" t="str">
            <v>line item not tagged</v>
          </cell>
        </row>
        <row r="10533">
          <cell r="W10533">
            <v>0</v>
          </cell>
          <cell r="AB10533" t="str">
            <v>line item not tagged</v>
          </cell>
        </row>
        <row r="10534">
          <cell r="W10534">
            <v>0</v>
          </cell>
          <cell r="AB10534" t="str">
            <v>line item not tagged</v>
          </cell>
        </row>
        <row r="10535">
          <cell r="W10535">
            <v>0</v>
          </cell>
          <cell r="AB10535" t="str">
            <v>line item not tagged</v>
          </cell>
        </row>
        <row r="10536">
          <cell r="W10536">
            <v>0</v>
          </cell>
          <cell r="AB10536" t="str">
            <v>line item not tagged</v>
          </cell>
        </row>
        <row r="10537">
          <cell r="W10537">
            <v>0</v>
          </cell>
          <cell r="AB10537" t="str">
            <v>line item not tagged</v>
          </cell>
        </row>
        <row r="10538">
          <cell r="W10538">
            <v>0</v>
          </cell>
          <cell r="AB10538" t="str">
            <v>line item not tagged</v>
          </cell>
        </row>
        <row r="10539">
          <cell r="W10539">
            <v>0</v>
          </cell>
          <cell r="AB10539" t="str">
            <v>line item not tagged</v>
          </cell>
        </row>
        <row r="10540">
          <cell r="W10540">
            <v>0</v>
          </cell>
          <cell r="AB10540" t="str">
            <v>line item not tagged</v>
          </cell>
        </row>
        <row r="10541">
          <cell r="W10541">
            <v>0</v>
          </cell>
          <cell r="AB10541" t="str">
            <v>line item not tagged</v>
          </cell>
        </row>
        <row r="10542">
          <cell r="W10542">
            <v>0</v>
          </cell>
          <cell r="AB10542" t="str">
            <v>line item not tagged</v>
          </cell>
        </row>
        <row r="10543">
          <cell r="W10543">
            <v>0</v>
          </cell>
          <cell r="AB10543" t="str">
            <v>line item not tagged</v>
          </cell>
        </row>
        <row r="10544">
          <cell r="W10544">
            <v>0</v>
          </cell>
          <cell r="AB10544" t="str">
            <v>line item not tagged</v>
          </cell>
        </row>
        <row r="10545">
          <cell r="W10545">
            <v>0</v>
          </cell>
          <cell r="AB10545" t="str">
            <v>line item not tagged</v>
          </cell>
        </row>
        <row r="10546">
          <cell r="W10546">
            <v>0</v>
          </cell>
          <cell r="AB10546" t="str">
            <v>line item not tagged</v>
          </cell>
        </row>
        <row r="10547">
          <cell r="W10547">
            <v>0</v>
          </cell>
          <cell r="AB10547" t="str">
            <v>line item not tagged</v>
          </cell>
        </row>
        <row r="10548">
          <cell r="W10548">
            <v>0</v>
          </cell>
          <cell r="AB10548" t="str">
            <v>line item not tagged</v>
          </cell>
        </row>
        <row r="10549">
          <cell r="W10549">
            <v>0</v>
          </cell>
          <cell r="AB10549" t="str">
            <v>line item not tagged</v>
          </cell>
        </row>
        <row r="10550">
          <cell r="W10550">
            <v>0</v>
          </cell>
          <cell r="AB10550" t="str">
            <v>line item not tagged</v>
          </cell>
        </row>
        <row r="10551">
          <cell r="W10551">
            <v>0</v>
          </cell>
          <cell r="AB10551" t="str">
            <v>line item not tagged</v>
          </cell>
        </row>
        <row r="10552">
          <cell r="W10552">
            <v>0</v>
          </cell>
          <cell r="AB10552" t="str">
            <v>line item not tagged</v>
          </cell>
        </row>
        <row r="10553">
          <cell r="W10553">
            <v>0</v>
          </cell>
          <cell r="AB10553" t="str">
            <v>line item not tagged</v>
          </cell>
        </row>
        <row r="10554">
          <cell r="W10554">
            <v>0</v>
          </cell>
          <cell r="AB10554" t="str">
            <v>line item not tagged</v>
          </cell>
        </row>
        <row r="10555">
          <cell r="W10555">
            <v>0</v>
          </cell>
          <cell r="AB10555" t="str">
            <v>line item not tagged</v>
          </cell>
        </row>
        <row r="10556">
          <cell r="W10556">
            <v>0</v>
          </cell>
          <cell r="AB10556" t="str">
            <v>line item not tagged</v>
          </cell>
        </row>
        <row r="10557">
          <cell r="W10557">
            <v>0</v>
          </cell>
          <cell r="AB10557" t="str">
            <v>line item not tagged</v>
          </cell>
        </row>
        <row r="10558">
          <cell r="W10558">
            <v>0</v>
          </cell>
          <cell r="AB10558" t="str">
            <v>line item not tagged</v>
          </cell>
        </row>
        <row r="10559">
          <cell r="W10559">
            <v>0</v>
          </cell>
          <cell r="AB10559" t="str">
            <v>line item not tagged</v>
          </cell>
        </row>
        <row r="10560">
          <cell r="W10560">
            <v>0</v>
          </cell>
          <cell r="AB10560" t="str">
            <v>line item not tagged</v>
          </cell>
        </row>
        <row r="10561">
          <cell r="W10561">
            <v>0</v>
          </cell>
          <cell r="AB10561" t="str">
            <v>line item not tagged</v>
          </cell>
        </row>
        <row r="10562">
          <cell r="W10562">
            <v>0</v>
          </cell>
          <cell r="AB10562" t="str">
            <v>line item not tagged</v>
          </cell>
        </row>
        <row r="10563">
          <cell r="W10563">
            <v>0</v>
          </cell>
          <cell r="AB10563" t="str">
            <v>line item not tagged</v>
          </cell>
        </row>
        <row r="10564">
          <cell r="W10564">
            <v>0</v>
          </cell>
          <cell r="AB10564" t="str">
            <v>line item not tagged</v>
          </cell>
        </row>
        <row r="10565">
          <cell r="W10565">
            <v>0</v>
          </cell>
          <cell r="AB10565" t="str">
            <v>line item not tagged</v>
          </cell>
        </row>
        <row r="10566">
          <cell r="W10566">
            <v>0</v>
          </cell>
          <cell r="AB10566" t="str">
            <v>line item not tagged</v>
          </cell>
        </row>
        <row r="10567">
          <cell r="W10567">
            <v>0</v>
          </cell>
          <cell r="AB10567" t="str">
            <v>line item not tagged</v>
          </cell>
        </row>
        <row r="10568">
          <cell r="W10568">
            <v>0</v>
          </cell>
          <cell r="AB10568" t="str">
            <v>line item not tagged</v>
          </cell>
        </row>
        <row r="10569">
          <cell r="W10569">
            <v>0</v>
          </cell>
          <cell r="AB10569" t="str">
            <v>line item not tagged</v>
          </cell>
        </row>
        <row r="10570">
          <cell r="W10570">
            <v>0</v>
          </cell>
          <cell r="AB10570" t="str">
            <v>line item not tagged</v>
          </cell>
        </row>
        <row r="10571">
          <cell r="W10571">
            <v>0</v>
          </cell>
          <cell r="AB10571" t="str">
            <v>line item not tagged</v>
          </cell>
        </row>
        <row r="10572">
          <cell r="W10572">
            <v>0</v>
          </cell>
          <cell r="AB10572" t="str">
            <v>line item not tagged</v>
          </cell>
        </row>
        <row r="10573">
          <cell r="W10573">
            <v>0</v>
          </cell>
          <cell r="AB10573" t="str">
            <v>line item not tagged</v>
          </cell>
        </row>
        <row r="10574">
          <cell r="W10574">
            <v>0</v>
          </cell>
          <cell r="AB10574" t="str">
            <v>line item not tagged</v>
          </cell>
        </row>
        <row r="10575">
          <cell r="W10575">
            <v>0</v>
          </cell>
          <cell r="AB10575" t="str">
            <v>line item not tagged</v>
          </cell>
        </row>
        <row r="10576">
          <cell r="W10576">
            <v>0</v>
          </cell>
          <cell r="AB10576" t="str">
            <v>line item not tagged</v>
          </cell>
        </row>
        <row r="10577">
          <cell r="W10577">
            <v>0</v>
          </cell>
          <cell r="AB10577" t="str">
            <v>line item not tagged</v>
          </cell>
        </row>
        <row r="10578">
          <cell r="W10578">
            <v>0</v>
          </cell>
          <cell r="AB10578" t="str">
            <v>line item not tagged</v>
          </cell>
        </row>
        <row r="10579">
          <cell r="W10579">
            <v>0</v>
          </cell>
          <cell r="AB10579" t="str">
            <v>line item not tagged</v>
          </cell>
        </row>
        <row r="10580">
          <cell r="W10580">
            <v>0</v>
          </cell>
          <cell r="AB10580" t="str">
            <v>line item not tagged</v>
          </cell>
        </row>
        <row r="10581">
          <cell r="W10581">
            <v>0</v>
          </cell>
          <cell r="AB10581" t="str">
            <v>line item not tagged</v>
          </cell>
        </row>
        <row r="10582">
          <cell r="W10582">
            <v>0</v>
          </cell>
          <cell r="AB10582" t="str">
            <v>line item not tagged</v>
          </cell>
        </row>
        <row r="10583">
          <cell r="W10583">
            <v>0</v>
          </cell>
          <cell r="AB10583" t="str">
            <v>line item not tagged</v>
          </cell>
        </row>
        <row r="10584">
          <cell r="W10584">
            <v>0</v>
          </cell>
          <cell r="AB10584" t="str">
            <v>line item not tagged</v>
          </cell>
        </row>
        <row r="10585">
          <cell r="W10585">
            <v>0</v>
          </cell>
          <cell r="AB10585" t="str">
            <v>line item not tagged</v>
          </cell>
        </row>
        <row r="10586">
          <cell r="W10586">
            <v>0</v>
          </cell>
          <cell r="AB10586" t="str">
            <v>line item not tagged</v>
          </cell>
        </row>
        <row r="10587">
          <cell r="W10587">
            <v>0</v>
          </cell>
          <cell r="AB10587" t="str">
            <v>line item not tagged</v>
          </cell>
        </row>
        <row r="10588">
          <cell r="W10588">
            <v>0</v>
          </cell>
          <cell r="AB10588" t="str">
            <v>line item not tagged</v>
          </cell>
        </row>
        <row r="10589">
          <cell r="W10589">
            <v>0</v>
          </cell>
          <cell r="AB10589" t="str">
            <v>line item not tagged</v>
          </cell>
        </row>
        <row r="10590">
          <cell r="W10590">
            <v>0</v>
          </cell>
          <cell r="AB10590" t="str">
            <v>line item not tagged</v>
          </cell>
        </row>
        <row r="10591">
          <cell r="W10591">
            <v>0</v>
          </cell>
          <cell r="AB10591" t="str">
            <v>line item not tagged</v>
          </cell>
        </row>
        <row r="10592">
          <cell r="W10592">
            <v>0</v>
          </cell>
          <cell r="AB10592" t="str">
            <v>line item not tagged</v>
          </cell>
        </row>
        <row r="10593">
          <cell r="W10593">
            <v>0</v>
          </cell>
          <cell r="AB10593" t="str">
            <v>line item not tagged</v>
          </cell>
        </row>
        <row r="10594">
          <cell r="W10594">
            <v>0</v>
          </cell>
          <cell r="AB10594" t="str">
            <v>line item not tagged</v>
          </cell>
        </row>
        <row r="10595">
          <cell r="W10595">
            <v>0</v>
          </cell>
          <cell r="AB10595" t="str">
            <v>line item not tagged</v>
          </cell>
        </row>
        <row r="10596">
          <cell r="W10596">
            <v>0</v>
          </cell>
          <cell r="AB10596" t="str">
            <v>line item not tagged</v>
          </cell>
        </row>
        <row r="10597">
          <cell r="W10597">
            <v>0</v>
          </cell>
          <cell r="AB10597" t="str">
            <v>line item not tagged</v>
          </cell>
        </row>
        <row r="10598">
          <cell r="W10598">
            <v>0</v>
          </cell>
          <cell r="AB10598" t="str">
            <v>line item not tagged</v>
          </cell>
        </row>
        <row r="10599">
          <cell r="W10599">
            <v>0</v>
          </cell>
          <cell r="AB10599" t="str">
            <v>line item not tagged</v>
          </cell>
        </row>
        <row r="10600">
          <cell r="W10600">
            <v>0</v>
          </cell>
          <cell r="AB10600" t="str">
            <v>line item not tagged</v>
          </cell>
        </row>
        <row r="10601">
          <cell r="W10601">
            <v>0</v>
          </cell>
          <cell r="AB10601" t="str">
            <v>line item not tagged</v>
          </cell>
        </row>
        <row r="10602">
          <cell r="W10602">
            <v>0</v>
          </cell>
          <cell r="AB10602" t="str">
            <v>line item not tagged</v>
          </cell>
        </row>
        <row r="10603">
          <cell r="W10603">
            <v>0</v>
          </cell>
          <cell r="AB10603" t="str">
            <v>line item not tagged</v>
          </cell>
        </row>
        <row r="10604">
          <cell r="W10604">
            <v>0</v>
          </cell>
          <cell r="AB10604" t="str">
            <v>line item not tagged</v>
          </cell>
        </row>
        <row r="10605">
          <cell r="W10605">
            <v>0</v>
          </cell>
          <cell r="AB10605" t="str">
            <v>line item not tagged</v>
          </cell>
        </row>
        <row r="10606">
          <cell r="W10606">
            <v>0</v>
          </cell>
          <cell r="AB10606" t="str">
            <v>line item not tagged</v>
          </cell>
        </row>
        <row r="10607">
          <cell r="W10607">
            <v>0</v>
          </cell>
          <cell r="AB10607" t="str">
            <v>line item not tagged</v>
          </cell>
        </row>
        <row r="10608">
          <cell r="W10608">
            <v>0</v>
          </cell>
          <cell r="AB10608" t="str">
            <v>line item not tagged</v>
          </cell>
        </row>
        <row r="10609">
          <cell r="W10609">
            <v>0</v>
          </cell>
          <cell r="AB10609" t="str">
            <v>line item not tagged</v>
          </cell>
        </row>
        <row r="10610">
          <cell r="W10610">
            <v>0</v>
          </cell>
          <cell r="AB10610" t="str">
            <v>line item not tagged</v>
          </cell>
        </row>
        <row r="10611">
          <cell r="W10611">
            <v>0</v>
          </cell>
          <cell r="AB10611" t="str">
            <v>line item not tagged</v>
          </cell>
        </row>
        <row r="10612">
          <cell r="W10612">
            <v>0</v>
          </cell>
          <cell r="AB10612" t="str">
            <v>line item not tagged</v>
          </cell>
        </row>
        <row r="10613">
          <cell r="W10613">
            <v>0</v>
          </cell>
          <cell r="AB10613" t="str">
            <v>line item not tagged</v>
          </cell>
        </row>
        <row r="10614">
          <cell r="W10614">
            <v>0</v>
          </cell>
          <cell r="AB10614" t="str">
            <v>line item not tagged</v>
          </cell>
        </row>
        <row r="10615">
          <cell r="W10615">
            <v>0</v>
          </cell>
          <cell r="AB10615" t="str">
            <v>line item not tagged</v>
          </cell>
        </row>
        <row r="10616">
          <cell r="W10616">
            <v>0</v>
          </cell>
          <cell r="AB10616" t="str">
            <v>line item not tagged</v>
          </cell>
        </row>
        <row r="10617">
          <cell r="W10617">
            <v>0</v>
          </cell>
          <cell r="AB10617" t="str">
            <v>line item not tagged</v>
          </cell>
        </row>
        <row r="10618">
          <cell r="W10618">
            <v>0</v>
          </cell>
          <cell r="AB10618" t="str">
            <v>line item not tagged</v>
          </cell>
        </row>
        <row r="10619">
          <cell r="W10619">
            <v>0</v>
          </cell>
          <cell r="AB10619" t="str">
            <v>line item not tagged</v>
          </cell>
        </row>
        <row r="10620">
          <cell r="W10620">
            <v>0</v>
          </cell>
          <cell r="AB10620" t="str">
            <v>line item not tagged</v>
          </cell>
        </row>
        <row r="10621">
          <cell r="W10621">
            <v>0</v>
          </cell>
          <cell r="AB10621" t="str">
            <v>line item not tagged</v>
          </cell>
        </row>
        <row r="10622">
          <cell r="W10622">
            <v>0</v>
          </cell>
          <cell r="AB10622" t="str">
            <v>line item not tagged</v>
          </cell>
        </row>
        <row r="10623">
          <cell r="W10623">
            <v>0</v>
          </cell>
          <cell r="AB10623" t="str">
            <v>line item not tagged</v>
          </cell>
        </row>
        <row r="10624">
          <cell r="W10624">
            <v>0</v>
          </cell>
          <cell r="AB10624" t="str">
            <v>line item not tagged</v>
          </cell>
        </row>
        <row r="10625">
          <cell r="W10625">
            <v>0</v>
          </cell>
          <cell r="AB10625" t="str">
            <v>line item not tagged</v>
          </cell>
        </row>
        <row r="10626">
          <cell r="W10626">
            <v>0</v>
          </cell>
          <cell r="AB10626" t="str">
            <v>line item not tagged</v>
          </cell>
        </row>
        <row r="10627">
          <cell r="W10627">
            <v>0</v>
          </cell>
          <cell r="AB10627" t="str">
            <v>line item not tagged</v>
          </cell>
        </row>
        <row r="10628">
          <cell r="W10628">
            <v>0</v>
          </cell>
          <cell r="AB10628" t="str">
            <v>line item not tagged</v>
          </cell>
        </row>
        <row r="10629">
          <cell r="W10629">
            <v>0</v>
          </cell>
          <cell r="AB10629" t="str">
            <v>line item not tagged</v>
          </cell>
        </row>
        <row r="10630">
          <cell r="W10630">
            <v>0</v>
          </cell>
          <cell r="AB10630" t="str">
            <v>line item not tagged</v>
          </cell>
        </row>
        <row r="10631">
          <cell r="W10631">
            <v>0</v>
          </cell>
          <cell r="AB10631" t="str">
            <v>line item not tagged</v>
          </cell>
        </row>
        <row r="10632">
          <cell r="W10632">
            <v>0</v>
          </cell>
          <cell r="AB10632" t="str">
            <v>line item not tagged</v>
          </cell>
        </row>
        <row r="10633">
          <cell r="W10633">
            <v>0</v>
          </cell>
          <cell r="AB10633" t="str">
            <v>line item not tagged</v>
          </cell>
        </row>
        <row r="10634">
          <cell r="W10634">
            <v>0</v>
          </cell>
          <cell r="AB10634" t="str">
            <v>line item not tagged</v>
          </cell>
        </row>
        <row r="10635">
          <cell r="W10635">
            <v>0</v>
          </cell>
          <cell r="AB10635" t="str">
            <v>line item not tagged</v>
          </cell>
        </row>
        <row r="10636">
          <cell r="W10636">
            <v>0</v>
          </cell>
          <cell r="AB10636" t="str">
            <v>line item not tagged</v>
          </cell>
        </row>
        <row r="10637">
          <cell r="W10637">
            <v>0</v>
          </cell>
          <cell r="AB10637" t="str">
            <v>line item not tagged</v>
          </cell>
        </row>
        <row r="10638">
          <cell r="W10638">
            <v>0</v>
          </cell>
          <cell r="AB10638" t="str">
            <v>line item not tagged</v>
          </cell>
        </row>
        <row r="10639">
          <cell r="W10639">
            <v>0</v>
          </cell>
          <cell r="AB10639" t="str">
            <v>line item not tagged</v>
          </cell>
        </row>
        <row r="10640">
          <cell r="W10640">
            <v>0</v>
          </cell>
          <cell r="AB10640" t="str">
            <v>line item not tagged</v>
          </cell>
        </row>
        <row r="10641">
          <cell r="W10641">
            <v>0</v>
          </cell>
          <cell r="AB10641" t="str">
            <v>line item not tagged</v>
          </cell>
        </row>
        <row r="10642">
          <cell r="W10642">
            <v>0</v>
          </cell>
          <cell r="AB10642" t="str">
            <v>line item not tagged</v>
          </cell>
        </row>
        <row r="10643">
          <cell r="W10643">
            <v>0</v>
          </cell>
          <cell r="AB10643" t="str">
            <v>line item not tagged</v>
          </cell>
        </row>
        <row r="10644">
          <cell r="W10644">
            <v>0</v>
          </cell>
          <cell r="AB10644" t="str">
            <v>line item not tagged</v>
          </cell>
        </row>
        <row r="10645">
          <cell r="W10645">
            <v>0</v>
          </cell>
          <cell r="AB10645" t="str">
            <v>line item not tagged</v>
          </cell>
        </row>
        <row r="10646">
          <cell r="W10646">
            <v>0</v>
          </cell>
          <cell r="AB10646" t="str">
            <v>line item not tagged</v>
          </cell>
        </row>
        <row r="10647">
          <cell r="W10647">
            <v>0</v>
          </cell>
          <cell r="AB10647" t="str">
            <v>line item not tagged</v>
          </cell>
        </row>
        <row r="10648">
          <cell r="W10648">
            <v>0</v>
          </cell>
          <cell r="AB10648" t="str">
            <v>line item not tagged</v>
          </cell>
        </row>
        <row r="10649">
          <cell r="W10649">
            <v>0</v>
          </cell>
          <cell r="AB10649" t="str">
            <v>line item not tagged</v>
          </cell>
        </row>
        <row r="10650">
          <cell r="W10650">
            <v>0</v>
          </cell>
          <cell r="AB10650" t="str">
            <v>line item not tagged</v>
          </cell>
        </row>
        <row r="10651">
          <cell r="W10651">
            <v>0</v>
          </cell>
          <cell r="AB10651" t="str">
            <v>line item not tagged</v>
          </cell>
        </row>
        <row r="10652">
          <cell r="W10652">
            <v>0</v>
          </cell>
          <cell r="AB10652" t="str">
            <v>line item not tagged</v>
          </cell>
        </row>
        <row r="10653">
          <cell r="W10653">
            <v>0</v>
          </cell>
          <cell r="AB10653" t="str">
            <v>line item not tagged</v>
          </cell>
        </row>
        <row r="10654">
          <cell r="W10654">
            <v>0</v>
          </cell>
          <cell r="AB10654" t="str">
            <v>line item not tagged</v>
          </cell>
        </row>
        <row r="10655">
          <cell r="W10655">
            <v>0</v>
          </cell>
          <cell r="AB10655" t="str">
            <v>line item not tagged</v>
          </cell>
        </row>
        <row r="10656">
          <cell r="W10656">
            <v>0</v>
          </cell>
          <cell r="AB10656" t="str">
            <v>line item not tagged</v>
          </cell>
        </row>
        <row r="10657">
          <cell r="W10657">
            <v>0</v>
          </cell>
          <cell r="AB10657" t="str">
            <v>line item not tagged</v>
          </cell>
        </row>
        <row r="10658">
          <cell r="W10658">
            <v>0</v>
          </cell>
          <cell r="AB10658" t="str">
            <v>line item not tagged</v>
          </cell>
        </row>
        <row r="10659">
          <cell r="W10659">
            <v>0</v>
          </cell>
          <cell r="AB10659" t="str">
            <v>line item not tagged</v>
          </cell>
        </row>
        <row r="10660">
          <cell r="W10660">
            <v>0</v>
          </cell>
          <cell r="AB10660" t="str">
            <v>line item not tagged</v>
          </cell>
        </row>
        <row r="10661">
          <cell r="W10661">
            <v>0</v>
          </cell>
          <cell r="AB10661" t="str">
            <v>line item not tagged</v>
          </cell>
        </row>
        <row r="10662">
          <cell r="W10662">
            <v>0</v>
          </cell>
          <cell r="AB10662" t="str">
            <v>line item not tagged</v>
          </cell>
        </row>
        <row r="10663">
          <cell r="W10663">
            <v>0</v>
          </cell>
          <cell r="AB10663" t="str">
            <v>line item not tagged</v>
          </cell>
        </row>
        <row r="10664">
          <cell r="W10664">
            <v>0</v>
          </cell>
          <cell r="AB10664" t="str">
            <v>line item not tagged</v>
          </cell>
        </row>
        <row r="10665">
          <cell r="W10665">
            <v>0</v>
          </cell>
          <cell r="AB10665" t="str">
            <v>line item not tagged</v>
          </cell>
        </row>
        <row r="10666">
          <cell r="W10666">
            <v>0</v>
          </cell>
          <cell r="AB10666" t="str">
            <v>line item not tagged</v>
          </cell>
        </row>
        <row r="10667">
          <cell r="W10667">
            <v>0</v>
          </cell>
          <cell r="AB10667" t="str">
            <v>line item not tagged</v>
          </cell>
        </row>
        <row r="10668">
          <cell r="W10668">
            <v>0</v>
          </cell>
          <cell r="AB10668" t="str">
            <v>line item not tagged</v>
          </cell>
        </row>
        <row r="10669">
          <cell r="W10669">
            <v>0</v>
          </cell>
          <cell r="AB10669" t="str">
            <v>line item not tagged</v>
          </cell>
        </row>
        <row r="10670">
          <cell r="W10670">
            <v>0</v>
          </cell>
          <cell r="AB10670" t="str">
            <v>line item not tagged</v>
          </cell>
        </row>
        <row r="10671">
          <cell r="W10671">
            <v>0</v>
          </cell>
          <cell r="AB10671" t="str">
            <v>line item not tagged</v>
          </cell>
        </row>
        <row r="10672">
          <cell r="W10672">
            <v>0</v>
          </cell>
          <cell r="AB10672" t="str">
            <v>line item not tagged</v>
          </cell>
        </row>
        <row r="10673">
          <cell r="W10673">
            <v>0</v>
          </cell>
          <cell r="AB10673" t="str">
            <v>line item not tagged</v>
          </cell>
        </row>
        <row r="10674">
          <cell r="W10674">
            <v>0</v>
          </cell>
          <cell r="AB10674" t="str">
            <v>line item not tagged</v>
          </cell>
        </row>
        <row r="10675">
          <cell r="W10675">
            <v>0</v>
          </cell>
          <cell r="AB10675" t="str">
            <v>line item not tagged</v>
          </cell>
        </row>
        <row r="10676">
          <cell r="W10676">
            <v>0</v>
          </cell>
          <cell r="AB10676" t="str">
            <v>line item not tagged</v>
          </cell>
        </row>
        <row r="10677">
          <cell r="W10677">
            <v>0</v>
          </cell>
          <cell r="AB10677" t="str">
            <v>line item not tagged</v>
          </cell>
        </row>
        <row r="10678">
          <cell r="W10678">
            <v>0</v>
          </cell>
          <cell r="AB10678" t="str">
            <v>line item not tagged</v>
          </cell>
        </row>
        <row r="10679">
          <cell r="W10679">
            <v>0</v>
          </cell>
          <cell r="AB10679" t="str">
            <v>line item not tagged</v>
          </cell>
        </row>
        <row r="10680">
          <cell r="W10680">
            <v>0</v>
          </cell>
          <cell r="AB10680" t="str">
            <v>line item not tagged</v>
          </cell>
        </row>
        <row r="10681">
          <cell r="W10681">
            <v>0</v>
          </cell>
          <cell r="AB10681" t="str">
            <v>line item not tagged</v>
          </cell>
        </row>
        <row r="10682">
          <cell r="W10682">
            <v>0</v>
          </cell>
          <cell r="AB10682" t="str">
            <v>line item not tagged</v>
          </cell>
        </row>
        <row r="10683">
          <cell r="W10683">
            <v>0</v>
          </cell>
          <cell r="AB10683" t="str">
            <v>line item not tagged</v>
          </cell>
        </row>
        <row r="10684">
          <cell r="W10684">
            <v>0</v>
          </cell>
          <cell r="AB10684" t="str">
            <v>line item not tagged</v>
          </cell>
        </row>
        <row r="10685">
          <cell r="W10685">
            <v>0</v>
          </cell>
          <cell r="AB10685" t="str">
            <v>line item not tagged</v>
          </cell>
        </row>
        <row r="10686">
          <cell r="W10686">
            <v>0</v>
          </cell>
          <cell r="AB10686" t="str">
            <v>line item not tagged</v>
          </cell>
        </row>
        <row r="10687">
          <cell r="W10687">
            <v>0</v>
          </cell>
          <cell r="AB10687" t="str">
            <v>line item not tagged</v>
          </cell>
        </row>
        <row r="10688">
          <cell r="W10688">
            <v>0</v>
          </cell>
          <cell r="AB10688" t="str">
            <v>line item not tagged</v>
          </cell>
        </row>
        <row r="10689">
          <cell r="W10689">
            <v>0</v>
          </cell>
          <cell r="AB10689" t="str">
            <v>line item not tagged</v>
          </cell>
        </row>
        <row r="10690">
          <cell r="W10690">
            <v>0</v>
          </cell>
          <cell r="AB10690" t="str">
            <v>line item not tagged</v>
          </cell>
        </row>
        <row r="10691">
          <cell r="W10691">
            <v>0</v>
          </cell>
          <cell r="AB10691" t="str">
            <v>line item not tagged</v>
          </cell>
        </row>
        <row r="10692">
          <cell r="W10692">
            <v>0</v>
          </cell>
          <cell r="AB10692" t="str">
            <v>line item not tagged</v>
          </cell>
        </row>
        <row r="10693">
          <cell r="W10693">
            <v>0</v>
          </cell>
          <cell r="AB10693" t="str">
            <v>line item not tagged</v>
          </cell>
        </row>
        <row r="10694">
          <cell r="W10694">
            <v>0</v>
          </cell>
          <cell r="AB10694" t="str">
            <v>line item not tagged</v>
          </cell>
        </row>
        <row r="10695">
          <cell r="W10695">
            <v>0</v>
          </cell>
          <cell r="AB10695" t="str">
            <v>line item not tagged</v>
          </cell>
        </row>
        <row r="10696">
          <cell r="W10696">
            <v>0</v>
          </cell>
          <cell r="AB10696" t="str">
            <v>line item not tagged</v>
          </cell>
        </row>
        <row r="10697">
          <cell r="W10697">
            <v>0</v>
          </cell>
          <cell r="AB10697" t="str">
            <v>line item not tagged</v>
          </cell>
        </row>
        <row r="10698">
          <cell r="W10698">
            <v>0</v>
          </cell>
          <cell r="AB10698" t="str">
            <v>line item not tagged</v>
          </cell>
        </row>
        <row r="10699">
          <cell r="W10699">
            <v>0</v>
          </cell>
          <cell r="AB10699" t="str">
            <v>line item not tagged</v>
          </cell>
        </row>
        <row r="10700">
          <cell r="W10700">
            <v>0</v>
          </cell>
          <cell r="AB10700" t="str">
            <v>line item not tagged</v>
          </cell>
        </row>
        <row r="10701">
          <cell r="W10701">
            <v>0</v>
          </cell>
          <cell r="AB10701" t="str">
            <v>line item not tagged</v>
          </cell>
        </row>
        <row r="10702">
          <cell r="W10702">
            <v>0</v>
          </cell>
          <cell r="AB10702" t="str">
            <v>line item not tagged</v>
          </cell>
        </row>
        <row r="10703">
          <cell r="W10703">
            <v>0</v>
          </cell>
          <cell r="AB10703" t="str">
            <v>line item not tagged</v>
          </cell>
        </row>
        <row r="10704">
          <cell r="W10704">
            <v>0</v>
          </cell>
          <cell r="AB10704" t="str">
            <v>line item not tagged</v>
          </cell>
        </row>
        <row r="10705">
          <cell r="W10705">
            <v>0</v>
          </cell>
          <cell r="AB10705" t="str">
            <v>line item not tagged</v>
          </cell>
        </row>
        <row r="10706">
          <cell r="W10706">
            <v>0</v>
          </cell>
          <cell r="AB10706" t="str">
            <v>line item not tagged</v>
          </cell>
        </row>
        <row r="10707">
          <cell r="W10707">
            <v>0</v>
          </cell>
          <cell r="AB10707" t="str">
            <v>line item not tagged</v>
          </cell>
        </row>
        <row r="10708">
          <cell r="W10708">
            <v>0</v>
          </cell>
          <cell r="AB10708" t="str">
            <v>line item not tagged</v>
          </cell>
        </row>
        <row r="10709">
          <cell r="W10709">
            <v>0</v>
          </cell>
          <cell r="AB10709" t="str">
            <v>line item not tagged</v>
          </cell>
        </row>
        <row r="10710">
          <cell r="W10710">
            <v>0</v>
          </cell>
          <cell r="AB10710" t="str">
            <v>line item not tagged</v>
          </cell>
        </row>
        <row r="10711">
          <cell r="W10711">
            <v>0</v>
          </cell>
          <cell r="AB10711" t="str">
            <v>line item not tagged</v>
          </cell>
        </row>
        <row r="10712">
          <cell r="W10712">
            <v>0</v>
          </cell>
          <cell r="AB10712" t="str">
            <v>line item not tagged</v>
          </cell>
        </row>
        <row r="10713">
          <cell r="W10713">
            <v>0</v>
          </cell>
          <cell r="AB10713" t="str">
            <v>line item not tagged</v>
          </cell>
        </row>
        <row r="10714">
          <cell r="W10714">
            <v>0</v>
          </cell>
          <cell r="AB10714" t="str">
            <v>line item not tagged</v>
          </cell>
        </row>
        <row r="10715">
          <cell r="W10715">
            <v>0</v>
          </cell>
          <cell r="AB10715" t="str">
            <v>line item not tagged</v>
          </cell>
        </row>
        <row r="10716">
          <cell r="W10716">
            <v>0</v>
          </cell>
          <cell r="AB10716" t="str">
            <v>line item not tagged</v>
          </cell>
        </row>
        <row r="10717">
          <cell r="W10717">
            <v>0</v>
          </cell>
          <cell r="AB10717" t="str">
            <v>line item not tagged</v>
          </cell>
        </row>
        <row r="10718">
          <cell r="W10718">
            <v>0</v>
          </cell>
          <cell r="AB10718" t="str">
            <v>line item not tagged</v>
          </cell>
        </row>
        <row r="10719">
          <cell r="W10719">
            <v>0</v>
          </cell>
          <cell r="AB10719" t="str">
            <v>line item not tagged</v>
          </cell>
        </row>
        <row r="10720">
          <cell r="W10720">
            <v>0</v>
          </cell>
          <cell r="AB10720" t="str">
            <v>line item not tagged</v>
          </cell>
        </row>
        <row r="10721">
          <cell r="W10721">
            <v>0</v>
          </cell>
          <cell r="AB10721" t="str">
            <v>line item not tagged</v>
          </cell>
        </row>
        <row r="10722">
          <cell r="W10722">
            <v>0</v>
          </cell>
          <cell r="AB10722" t="str">
            <v>line item not tagged</v>
          </cell>
        </row>
        <row r="10723">
          <cell r="W10723">
            <v>0</v>
          </cell>
          <cell r="AB10723" t="str">
            <v>line item not tagged</v>
          </cell>
        </row>
        <row r="10724">
          <cell r="W10724">
            <v>0</v>
          </cell>
          <cell r="AB10724" t="str">
            <v>line item not tagged</v>
          </cell>
        </row>
        <row r="10725">
          <cell r="W10725">
            <v>0</v>
          </cell>
          <cell r="AB10725" t="str">
            <v>line item not tagged</v>
          </cell>
        </row>
        <row r="10726">
          <cell r="W10726">
            <v>0</v>
          </cell>
          <cell r="AB10726" t="str">
            <v>line item not tagged</v>
          </cell>
        </row>
        <row r="10727">
          <cell r="W10727">
            <v>0</v>
          </cell>
          <cell r="AB10727" t="str">
            <v>line item not tagged</v>
          </cell>
        </row>
        <row r="10728">
          <cell r="W10728">
            <v>0</v>
          </cell>
          <cell r="AB10728" t="str">
            <v>line item not tagged</v>
          </cell>
        </row>
        <row r="10729">
          <cell r="W10729">
            <v>0</v>
          </cell>
          <cell r="AB10729" t="str">
            <v>line item not tagged</v>
          </cell>
        </row>
        <row r="10730">
          <cell r="W10730">
            <v>0</v>
          </cell>
          <cell r="AB10730" t="str">
            <v>line item not tagged</v>
          </cell>
        </row>
        <row r="10731">
          <cell r="W10731">
            <v>0</v>
          </cell>
          <cell r="AB10731" t="str">
            <v>line item not tagged</v>
          </cell>
        </row>
        <row r="10732">
          <cell r="W10732">
            <v>0</v>
          </cell>
          <cell r="AB10732" t="str">
            <v>line item not tagged</v>
          </cell>
        </row>
        <row r="10733">
          <cell r="W10733">
            <v>0</v>
          </cell>
          <cell r="AB10733" t="str">
            <v>line item not tagged</v>
          </cell>
        </row>
        <row r="10734">
          <cell r="W10734">
            <v>0</v>
          </cell>
          <cell r="AB10734" t="str">
            <v>line item not tagged</v>
          </cell>
        </row>
        <row r="10735">
          <cell r="W10735">
            <v>0</v>
          </cell>
          <cell r="AB10735" t="str">
            <v>line item not tagged</v>
          </cell>
        </row>
        <row r="10736">
          <cell r="W10736">
            <v>0</v>
          </cell>
          <cell r="AB10736" t="str">
            <v>line item not tagged</v>
          </cell>
        </row>
        <row r="10737">
          <cell r="W10737">
            <v>0</v>
          </cell>
          <cell r="AB10737" t="str">
            <v>line item not tagged</v>
          </cell>
        </row>
        <row r="10738">
          <cell r="W10738">
            <v>0</v>
          </cell>
          <cell r="AB10738" t="str">
            <v>line item not tagged</v>
          </cell>
        </row>
        <row r="10739">
          <cell r="W10739">
            <v>0</v>
          </cell>
          <cell r="AB10739" t="str">
            <v>line item not tagged</v>
          </cell>
        </row>
        <row r="10740">
          <cell r="W10740">
            <v>0</v>
          </cell>
          <cell r="AB10740" t="str">
            <v>line item not tagged</v>
          </cell>
        </row>
        <row r="10741">
          <cell r="W10741">
            <v>0</v>
          </cell>
          <cell r="AB10741" t="str">
            <v>line item not tagged</v>
          </cell>
        </row>
        <row r="10742">
          <cell r="W10742">
            <v>0</v>
          </cell>
          <cell r="AB10742" t="str">
            <v>line item not tagged</v>
          </cell>
        </row>
        <row r="10743">
          <cell r="W10743">
            <v>0</v>
          </cell>
          <cell r="AB10743" t="str">
            <v>line item not tagged</v>
          </cell>
        </row>
        <row r="10744">
          <cell r="W10744">
            <v>0</v>
          </cell>
          <cell r="AB10744" t="str">
            <v>line item not tagged</v>
          </cell>
        </row>
        <row r="10745">
          <cell r="W10745">
            <v>0</v>
          </cell>
          <cell r="AB10745" t="str">
            <v>line item not tagged</v>
          </cell>
        </row>
        <row r="10746">
          <cell r="W10746">
            <v>0</v>
          </cell>
          <cell r="AB10746" t="str">
            <v>line item not tagged</v>
          </cell>
        </row>
        <row r="10747">
          <cell r="W10747">
            <v>0</v>
          </cell>
          <cell r="AB10747" t="str">
            <v>line item not tagged</v>
          </cell>
        </row>
        <row r="10748">
          <cell r="W10748">
            <v>0</v>
          </cell>
          <cell r="AB10748" t="str">
            <v>line item not tagged</v>
          </cell>
        </row>
        <row r="10749">
          <cell r="W10749">
            <v>0</v>
          </cell>
          <cell r="AB10749" t="str">
            <v>line item not tagged</v>
          </cell>
        </row>
        <row r="10750">
          <cell r="W10750">
            <v>0</v>
          </cell>
          <cell r="AB10750" t="str">
            <v>line item not tagged</v>
          </cell>
        </row>
        <row r="10751">
          <cell r="W10751">
            <v>0</v>
          </cell>
          <cell r="AB10751" t="str">
            <v>line item not tagged</v>
          </cell>
        </row>
        <row r="10752">
          <cell r="W10752">
            <v>0</v>
          </cell>
          <cell r="AB10752" t="str">
            <v>line item not tagged</v>
          </cell>
        </row>
        <row r="10753">
          <cell r="W10753">
            <v>0</v>
          </cell>
          <cell r="AB10753" t="str">
            <v>line item not tagged</v>
          </cell>
        </row>
        <row r="10754">
          <cell r="W10754">
            <v>0</v>
          </cell>
          <cell r="AB10754" t="str">
            <v>line item not tagged</v>
          </cell>
        </row>
        <row r="10755">
          <cell r="W10755">
            <v>0</v>
          </cell>
          <cell r="AB10755" t="str">
            <v>line item not tagged</v>
          </cell>
        </row>
        <row r="10756">
          <cell r="W10756">
            <v>0</v>
          </cell>
          <cell r="AB10756" t="str">
            <v>line item not tagged</v>
          </cell>
        </row>
        <row r="10757">
          <cell r="W10757">
            <v>0</v>
          </cell>
          <cell r="AB10757" t="str">
            <v>line item not tagged</v>
          </cell>
        </row>
        <row r="10758">
          <cell r="W10758">
            <v>0</v>
          </cell>
          <cell r="AB10758" t="str">
            <v>line item not tagged</v>
          </cell>
        </row>
        <row r="10759">
          <cell r="W10759">
            <v>0</v>
          </cell>
          <cell r="AB10759" t="str">
            <v>line item not tagged</v>
          </cell>
        </row>
        <row r="10760">
          <cell r="W10760">
            <v>0</v>
          </cell>
          <cell r="AB10760" t="str">
            <v>line item not tagged</v>
          </cell>
        </row>
        <row r="10761">
          <cell r="W10761">
            <v>0</v>
          </cell>
          <cell r="AB10761" t="str">
            <v>line item not tagged</v>
          </cell>
        </row>
        <row r="10762">
          <cell r="W10762">
            <v>0</v>
          </cell>
          <cell r="AB10762" t="str">
            <v>line item not tagged</v>
          </cell>
        </row>
        <row r="10763">
          <cell r="W10763">
            <v>0</v>
          </cell>
          <cell r="AB10763" t="str">
            <v>line item not tagged</v>
          </cell>
        </row>
        <row r="10764">
          <cell r="W10764">
            <v>0</v>
          </cell>
          <cell r="AB10764" t="str">
            <v>line item not tagged</v>
          </cell>
        </row>
        <row r="10765">
          <cell r="W10765">
            <v>0</v>
          </cell>
          <cell r="AB10765" t="str">
            <v>line item not tagged</v>
          </cell>
        </row>
        <row r="10766">
          <cell r="W10766">
            <v>0</v>
          </cell>
          <cell r="AB10766" t="str">
            <v>line item not tagged</v>
          </cell>
        </row>
        <row r="10767">
          <cell r="W10767">
            <v>0</v>
          </cell>
          <cell r="AB10767" t="str">
            <v>line item not tagged</v>
          </cell>
        </row>
        <row r="10768">
          <cell r="W10768">
            <v>0</v>
          </cell>
          <cell r="AB10768" t="str">
            <v>line item not tagged</v>
          </cell>
        </row>
        <row r="10769">
          <cell r="W10769">
            <v>0</v>
          </cell>
          <cell r="AB10769" t="str">
            <v>line item not tagged</v>
          </cell>
        </row>
        <row r="10770">
          <cell r="W10770">
            <v>0</v>
          </cell>
          <cell r="AB10770" t="str">
            <v>line item not tagged</v>
          </cell>
        </row>
        <row r="10771">
          <cell r="W10771">
            <v>0</v>
          </cell>
          <cell r="AB10771" t="str">
            <v>line item not tagged</v>
          </cell>
        </row>
        <row r="10772">
          <cell r="W10772">
            <v>0</v>
          </cell>
          <cell r="AB10772" t="str">
            <v>line item not tagged</v>
          </cell>
        </row>
        <row r="10773">
          <cell r="W10773">
            <v>0</v>
          </cell>
          <cell r="AB10773" t="str">
            <v>line item not tagged</v>
          </cell>
        </row>
        <row r="10774">
          <cell r="W10774">
            <v>0</v>
          </cell>
          <cell r="AB10774" t="str">
            <v>line item not tagged</v>
          </cell>
        </row>
        <row r="10775">
          <cell r="W10775">
            <v>0</v>
          </cell>
          <cell r="AB10775" t="str">
            <v>line item not tagged</v>
          </cell>
        </row>
        <row r="10776">
          <cell r="W10776">
            <v>0</v>
          </cell>
          <cell r="AB10776" t="str">
            <v>line item not tagged</v>
          </cell>
        </row>
        <row r="10777">
          <cell r="W10777">
            <v>0</v>
          </cell>
          <cell r="AB10777" t="str">
            <v>line item not tagged</v>
          </cell>
        </row>
        <row r="10778">
          <cell r="W10778">
            <v>0</v>
          </cell>
          <cell r="AB10778" t="str">
            <v>line item not tagged</v>
          </cell>
        </row>
        <row r="10779">
          <cell r="W10779">
            <v>0</v>
          </cell>
          <cell r="AB10779" t="str">
            <v>line item not tagged</v>
          </cell>
        </row>
        <row r="10780">
          <cell r="W10780">
            <v>0</v>
          </cell>
          <cell r="AB10780" t="str">
            <v>line item not tagged</v>
          </cell>
        </row>
        <row r="10781">
          <cell r="W10781">
            <v>0</v>
          </cell>
          <cell r="AB10781" t="str">
            <v>line item not tagged</v>
          </cell>
        </row>
        <row r="10782">
          <cell r="W10782">
            <v>0</v>
          </cell>
          <cell r="AB10782" t="str">
            <v>line item not tagged</v>
          </cell>
        </row>
        <row r="10783">
          <cell r="W10783">
            <v>0</v>
          </cell>
          <cell r="AB10783" t="str">
            <v>line item not tagged</v>
          </cell>
        </row>
        <row r="10784">
          <cell r="W10784">
            <v>0</v>
          </cell>
          <cell r="AB10784" t="str">
            <v>line item not tagged</v>
          </cell>
        </row>
        <row r="10785">
          <cell r="W10785">
            <v>0</v>
          </cell>
          <cell r="AB10785" t="str">
            <v>line item not tagged</v>
          </cell>
        </row>
        <row r="10786">
          <cell r="W10786">
            <v>0</v>
          </cell>
          <cell r="AB10786" t="str">
            <v>line item not tagged</v>
          </cell>
        </row>
        <row r="10787">
          <cell r="W10787">
            <v>0</v>
          </cell>
          <cell r="AB10787" t="str">
            <v>line item not tagged</v>
          </cell>
        </row>
        <row r="10788">
          <cell r="W10788">
            <v>0</v>
          </cell>
          <cell r="AB10788" t="str">
            <v>line item not tagged</v>
          </cell>
        </row>
        <row r="10789">
          <cell r="W10789">
            <v>0</v>
          </cell>
          <cell r="AB10789" t="str">
            <v>line item not tagged</v>
          </cell>
        </row>
        <row r="10790">
          <cell r="W10790">
            <v>0</v>
          </cell>
          <cell r="AB10790" t="str">
            <v>line item not tagged</v>
          </cell>
        </row>
        <row r="10791">
          <cell r="W10791">
            <v>0</v>
          </cell>
          <cell r="AB10791" t="str">
            <v>line item not tagged</v>
          </cell>
        </row>
        <row r="10792">
          <cell r="W10792">
            <v>0</v>
          </cell>
          <cell r="AB10792" t="str">
            <v>line item not tagged</v>
          </cell>
        </row>
        <row r="10793">
          <cell r="W10793">
            <v>0</v>
          </cell>
          <cell r="AB10793" t="str">
            <v>line item not tagged</v>
          </cell>
        </row>
        <row r="10794">
          <cell r="W10794">
            <v>0</v>
          </cell>
          <cell r="AB10794" t="str">
            <v>line item not tagged</v>
          </cell>
        </row>
        <row r="10795">
          <cell r="W10795">
            <v>0</v>
          </cell>
          <cell r="AB10795" t="str">
            <v>line item not tagged</v>
          </cell>
        </row>
        <row r="10796">
          <cell r="W10796">
            <v>0</v>
          </cell>
          <cell r="AB10796" t="str">
            <v>line item not tagged</v>
          </cell>
        </row>
        <row r="10797">
          <cell r="W10797">
            <v>0</v>
          </cell>
          <cell r="AB10797" t="str">
            <v>line item not tagged</v>
          </cell>
        </row>
        <row r="10798">
          <cell r="W10798">
            <v>0</v>
          </cell>
          <cell r="AB10798" t="str">
            <v>line item not tagged</v>
          </cell>
        </row>
        <row r="10799">
          <cell r="W10799">
            <v>0</v>
          </cell>
          <cell r="AB10799" t="str">
            <v>line item not tagged</v>
          </cell>
        </row>
        <row r="10800">
          <cell r="W10800">
            <v>0</v>
          </cell>
          <cell r="AB10800" t="str">
            <v>line item not tagged</v>
          </cell>
        </row>
        <row r="10801">
          <cell r="W10801">
            <v>0</v>
          </cell>
          <cell r="AB10801" t="str">
            <v>line item not tagged</v>
          </cell>
        </row>
        <row r="10802">
          <cell r="W10802">
            <v>0</v>
          </cell>
          <cell r="AB10802" t="str">
            <v>line item not tagged</v>
          </cell>
        </row>
        <row r="10803">
          <cell r="W10803">
            <v>0</v>
          </cell>
          <cell r="AB10803" t="str">
            <v>line item not tagged</v>
          </cell>
        </row>
        <row r="10804">
          <cell r="W10804">
            <v>0</v>
          </cell>
          <cell r="AB10804" t="str">
            <v>line item not tagged</v>
          </cell>
        </row>
        <row r="10805">
          <cell r="W10805">
            <v>0</v>
          </cell>
          <cell r="AB10805" t="str">
            <v>line item not tagged</v>
          </cell>
        </row>
        <row r="10806">
          <cell r="W10806">
            <v>0</v>
          </cell>
          <cell r="AB10806" t="str">
            <v>line item not tagged</v>
          </cell>
        </row>
        <row r="10807">
          <cell r="W10807">
            <v>0</v>
          </cell>
          <cell r="AB10807" t="str">
            <v>line item not tagged</v>
          </cell>
        </row>
        <row r="10808">
          <cell r="W10808">
            <v>0</v>
          </cell>
          <cell r="AB10808" t="str">
            <v>line item not tagged</v>
          </cell>
        </row>
        <row r="10809">
          <cell r="W10809">
            <v>0</v>
          </cell>
          <cell r="AB10809" t="str">
            <v>line item not tagged</v>
          </cell>
        </row>
        <row r="10810">
          <cell r="W10810">
            <v>0</v>
          </cell>
          <cell r="AB10810" t="str">
            <v>line item not tagged</v>
          </cell>
        </row>
        <row r="10811">
          <cell r="W10811">
            <v>0</v>
          </cell>
          <cell r="AB10811" t="str">
            <v>line item not tagged</v>
          </cell>
        </row>
        <row r="10812">
          <cell r="W10812">
            <v>0</v>
          </cell>
          <cell r="AB10812" t="str">
            <v>line item not tagged</v>
          </cell>
        </row>
        <row r="10813">
          <cell r="W10813">
            <v>0</v>
          </cell>
          <cell r="AB10813" t="str">
            <v>line item not tagged</v>
          </cell>
        </row>
        <row r="10814">
          <cell r="W10814">
            <v>0</v>
          </cell>
          <cell r="AB10814" t="str">
            <v>line item not tagged</v>
          </cell>
        </row>
        <row r="10815">
          <cell r="W10815">
            <v>0</v>
          </cell>
          <cell r="AB10815" t="str">
            <v>line item not tagged</v>
          </cell>
        </row>
        <row r="10816">
          <cell r="W10816">
            <v>0</v>
          </cell>
          <cell r="AB10816" t="str">
            <v>line item not tagged</v>
          </cell>
        </row>
        <row r="10817">
          <cell r="W10817">
            <v>0</v>
          </cell>
          <cell r="AB10817" t="str">
            <v>line item not tagged</v>
          </cell>
        </row>
        <row r="10818">
          <cell r="W10818">
            <v>0</v>
          </cell>
          <cell r="AB10818" t="str">
            <v>line item not tagged</v>
          </cell>
        </row>
        <row r="10819">
          <cell r="W10819">
            <v>0</v>
          </cell>
          <cell r="AB10819" t="str">
            <v>line item not tagged</v>
          </cell>
        </row>
        <row r="10820">
          <cell r="W10820">
            <v>0</v>
          </cell>
          <cell r="AB10820" t="str">
            <v>line item not tagged</v>
          </cell>
        </row>
        <row r="10821">
          <cell r="W10821">
            <v>0</v>
          </cell>
          <cell r="AB10821" t="str">
            <v>line item not tagged</v>
          </cell>
        </row>
        <row r="10822">
          <cell r="W10822">
            <v>0</v>
          </cell>
          <cell r="AB10822" t="str">
            <v>line item not tagged</v>
          </cell>
        </row>
        <row r="10823">
          <cell r="W10823">
            <v>0</v>
          </cell>
          <cell r="AB10823" t="str">
            <v>line item not tagged</v>
          </cell>
        </row>
        <row r="10824">
          <cell r="W10824">
            <v>0</v>
          </cell>
          <cell r="AB10824" t="str">
            <v>line item not tagged</v>
          </cell>
        </row>
        <row r="10825">
          <cell r="W10825">
            <v>0</v>
          </cell>
          <cell r="AB10825" t="str">
            <v>line item not tagged</v>
          </cell>
        </row>
        <row r="10826">
          <cell r="W10826">
            <v>0</v>
          </cell>
          <cell r="AB10826" t="str">
            <v>line item not tagged</v>
          </cell>
        </row>
        <row r="10827">
          <cell r="W10827">
            <v>0</v>
          </cell>
          <cell r="AB10827" t="str">
            <v>line item not tagged</v>
          </cell>
        </row>
        <row r="10828">
          <cell r="W10828">
            <v>0</v>
          </cell>
          <cell r="AB10828" t="str">
            <v>line item not tagged</v>
          </cell>
        </row>
        <row r="10829">
          <cell r="W10829">
            <v>0</v>
          </cell>
          <cell r="AB10829" t="str">
            <v>line item not tagged</v>
          </cell>
        </row>
        <row r="10830">
          <cell r="W10830">
            <v>0</v>
          </cell>
          <cell r="AB10830" t="str">
            <v>line item not tagged</v>
          </cell>
        </row>
        <row r="10831">
          <cell r="W10831">
            <v>0</v>
          </cell>
          <cell r="AB10831" t="str">
            <v>line item not tagged</v>
          </cell>
        </row>
        <row r="10832">
          <cell r="W10832">
            <v>0</v>
          </cell>
          <cell r="AB10832" t="str">
            <v>line item not tagged</v>
          </cell>
        </row>
        <row r="10833">
          <cell r="W10833">
            <v>0</v>
          </cell>
          <cell r="AB10833" t="str">
            <v>line item not tagged</v>
          </cell>
        </row>
        <row r="10834">
          <cell r="W10834">
            <v>0</v>
          </cell>
          <cell r="AB10834" t="str">
            <v>line item not tagged</v>
          </cell>
        </row>
        <row r="10835">
          <cell r="W10835">
            <v>0</v>
          </cell>
          <cell r="AB10835" t="str">
            <v>line item not tagged</v>
          </cell>
        </row>
        <row r="10836">
          <cell r="W10836">
            <v>0</v>
          </cell>
          <cell r="AB10836" t="str">
            <v>line item not tagged</v>
          </cell>
        </row>
        <row r="10837">
          <cell r="W10837">
            <v>0</v>
          </cell>
          <cell r="AB10837" t="str">
            <v>line item not tagged</v>
          </cell>
        </row>
        <row r="10838">
          <cell r="W10838">
            <v>0</v>
          </cell>
          <cell r="AB10838" t="str">
            <v>line item not tagged</v>
          </cell>
        </row>
        <row r="10839">
          <cell r="W10839">
            <v>0</v>
          </cell>
          <cell r="AB10839" t="str">
            <v>line item not tagged</v>
          </cell>
        </row>
        <row r="10840">
          <cell r="W10840">
            <v>0</v>
          </cell>
          <cell r="AB10840" t="str">
            <v>line item not tagged</v>
          </cell>
        </row>
        <row r="10841">
          <cell r="W10841">
            <v>0</v>
          </cell>
          <cell r="AB10841" t="str">
            <v>line item not tagged</v>
          </cell>
        </row>
        <row r="10842">
          <cell r="W10842">
            <v>0</v>
          </cell>
          <cell r="AB10842" t="str">
            <v>line item not tagged</v>
          </cell>
        </row>
        <row r="10843">
          <cell r="W10843">
            <v>0</v>
          </cell>
          <cell r="AB10843" t="str">
            <v>line item not tagged</v>
          </cell>
        </row>
        <row r="10844">
          <cell r="W10844">
            <v>0</v>
          </cell>
          <cell r="AB10844" t="str">
            <v>line item not tagged</v>
          </cell>
        </row>
        <row r="10845">
          <cell r="W10845">
            <v>0</v>
          </cell>
          <cell r="AB10845" t="str">
            <v>line item not tagged</v>
          </cell>
        </row>
        <row r="10846">
          <cell r="W10846">
            <v>0</v>
          </cell>
          <cell r="AB10846" t="str">
            <v>line item not tagged</v>
          </cell>
        </row>
        <row r="10847">
          <cell r="W10847">
            <v>0</v>
          </cell>
          <cell r="AB10847" t="str">
            <v>line item not tagged</v>
          </cell>
        </row>
        <row r="10848">
          <cell r="W10848">
            <v>0</v>
          </cell>
          <cell r="AB10848" t="str">
            <v>line item not tagged</v>
          </cell>
        </row>
        <row r="10849">
          <cell r="W10849">
            <v>0</v>
          </cell>
          <cell r="AB10849" t="str">
            <v>line item not tagged</v>
          </cell>
        </row>
        <row r="10850">
          <cell r="W10850">
            <v>0</v>
          </cell>
          <cell r="AB10850" t="str">
            <v>line item not tagged</v>
          </cell>
        </row>
        <row r="10851">
          <cell r="W10851">
            <v>0</v>
          </cell>
          <cell r="AB10851" t="str">
            <v>line item not tagged</v>
          </cell>
        </row>
        <row r="10852">
          <cell r="W10852">
            <v>0</v>
          </cell>
          <cell r="AB10852" t="str">
            <v>line item not tagged</v>
          </cell>
        </row>
        <row r="10853">
          <cell r="W10853">
            <v>0</v>
          </cell>
          <cell r="AB10853" t="str">
            <v>line item not tagged</v>
          </cell>
        </row>
        <row r="10854">
          <cell r="W10854">
            <v>0</v>
          </cell>
          <cell r="AB10854" t="str">
            <v>line item not tagged</v>
          </cell>
        </row>
        <row r="10855">
          <cell r="W10855">
            <v>0</v>
          </cell>
          <cell r="AB10855" t="str">
            <v>line item not tagged</v>
          </cell>
        </row>
        <row r="10856">
          <cell r="W10856">
            <v>0</v>
          </cell>
          <cell r="AB10856" t="str">
            <v>line item not tagged</v>
          </cell>
        </row>
        <row r="10857">
          <cell r="W10857">
            <v>0</v>
          </cell>
          <cell r="AB10857" t="str">
            <v>line item not tagged</v>
          </cell>
        </row>
        <row r="10858">
          <cell r="W10858">
            <v>0</v>
          </cell>
          <cell r="AB10858" t="str">
            <v>line item not tagged</v>
          </cell>
        </row>
        <row r="10859">
          <cell r="W10859">
            <v>0</v>
          </cell>
          <cell r="AB10859" t="str">
            <v>line item not tagged</v>
          </cell>
        </row>
        <row r="10860">
          <cell r="W10860">
            <v>0</v>
          </cell>
          <cell r="AB10860" t="str">
            <v>line item not tagged</v>
          </cell>
        </row>
        <row r="10861">
          <cell r="W10861">
            <v>0</v>
          </cell>
          <cell r="AB10861" t="str">
            <v>line item not tagged</v>
          </cell>
        </row>
        <row r="10862">
          <cell r="W10862">
            <v>0</v>
          </cell>
          <cell r="AB10862" t="str">
            <v>line item not tagged</v>
          </cell>
        </row>
        <row r="10863">
          <cell r="W10863">
            <v>0</v>
          </cell>
          <cell r="AB10863" t="str">
            <v>line item not tagged</v>
          </cell>
        </row>
        <row r="10864">
          <cell r="W10864">
            <v>0</v>
          </cell>
          <cell r="AB10864" t="str">
            <v>line item not tagged</v>
          </cell>
        </row>
        <row r="10865">
          <cell r="W10865">
            <v>0</v>
          </cell>
          <cell r="AB10865" t="str">
            <v>line item not tagged</v>
          </cell>
        </row>
        <row r="10866">
          <cell r="W10866">
            <v>0</v>
          </cell>
          <cell r="AB10866" t="str">
            <v>line item not tagged</v>
          </cell>
        </row>
        <row r="10867">
          <cell r="W10867">
            <v>0</v>
          </cell>
          <cell r="AB10867" t="str">
            <v>line item not tagged</v>
          </cell>
        </row>
        <row r="10868">
          <cell r="W10868">
            <v>0</v>
          </cell>
          <cell r="AB10868" t="str">
            <v>line item not tagged</v>
          </cell>
        </row>
        <row r="10869">
          <cell r="W10869">
            <v>0</v>
          </cell>
          <cell r="AB10869" t="str">
            <v>line item not tagged</v>
          </cell>
        </row>
        <row r="10870">
          <cell r="W10870">
            <v>0</v>
          </cell>
          <cell r="AB10870" t="str">
            <v>line item not tagged</v>
          </cell>
        </row>
        <row r="10871">
          <cell r="W10871">
            <v>0</v>
          </cell>
          <cell r="AB10871" t="str">
            <v>line item not tagged</v>
          </cell>
        </row>
        <row r="10872">
          <cell r="W10872">
            <v>0</v>
          </cell>
          <cell r="AB10872" t="str">
            <v>line item not tagged</v>
          </cell>
        </row>
        <row r="10873">
          <cell r="W10873">
            <v>0</v>
          </cell>
          <cell r="AB10873" t="str">
            <v>line item not tagged</v>
          </cell>
        </row>
        <row r="10874">
          <cell r="W10874">
            <v>0</v>
          </cell>
          <cell r="AB10874" t="str">
            <v>line item not tagged</v>
          </cell>
        </row>
        <row r="10875">
          <cell r="W10875">
            <v>0</v>
          </cell>
          <cell r="AB10875" t="str">
            <v>line item not tagged</v>
          </cell>
        </row>
        <row r="10876">
          <cell r="W10876">
            <v>0</v>
          </cell>
          <cell r="AB10876" t="str">
            <v>line item not tagged</v>
          </cell>
        </row>
        <row r="10877">
          <cell r="W10877">
            <v>0</v>
          </cell>
          <cell r="AB10877" t="str">
            <v>line item not tagged</v>
          </cell>
        </row>
        <row r="10878">
          <cell r="W10878">
            <v>0</v>
          </cell>
          <cell r="AB10878" t="str">
            <v>line item not tagged</v>
          </cell>
        </row>
        <row r="10879">
          <cell r="W10879">
            <v>0</v>
          </cell>
          <cell r="AB10879" t="str">
            <v>line item not tagged</v>
          </cell>
        </row>
        <row r="10880">
          <cell r="W10880">
            <v>0</v>
          </cell>
          <cell r="AB10880" t="str">
            <v>line item not tagged</v>
          </cell>
        </row>
        <row r="10881">
          <cell r="W10881">
            <v>0</v>
          </cell>
          <cell r="AB10881" t="str">
            <v>line item not tagged</v>
          </cell>
        </row>
        <row r="10882">
          <cell r="W10882">
            <v>0</v>
          </cell>
          <cell r="AB10882" t="str">
            <v>line item not tagged</v>
          </cell>
        </row>
        <row r="10883">
          <cell r="W10883">
            <v>0</v>
          </cell>
          <cell r="AB10883" t="str">
            <v>line item not tagged</v>
          </cell>
        </row>
        <row r="10884">
          <cell r="W10884">
            <v>0</v>
          </cell>
          <cell r="AB10884" t="str">
            <v>line item not tagged</v>
          </cell>
        </row>
        <row r="10885">
          <cell r="W10885">
            <v>0</v>
          </cell>
          <cell r="AB10885" t="str">
            <v>line item not tagged</v>
          </cell>
        </row>
        <row r="10886">
          <cell r="W10886">
            <v>0</v>
          </cell>
          <cell r="AB10886" t="str">
            <v>line item not tagged</v>
          </cell>
        </row>
        <row r="10887">
          <cell r="W10887">
            <v>0</v>
          </cell>
          <cell r="AB10887" t="str">
            <v>line item not tagged</v>
          </cell>
        </row>
        <row r="10888">
          <cell r="W10888">
            <v>0</v>
          </cell>
          <cell r="AB10888" t="str">
            <v>line item not tagged</v>
          </cell>
        </row>
        <row r="10889">
          <cell r="W10889">
            <v>0</v>
          </cell>
          <cell r="AB10889" t="str">
            <v>line item not tagged</v>
          </cell>
        </row>
        <row r="10890">
          <cell r="W10890">
            <v>0</v>
          </cell>
          <cell r="AB10890" t="str">
            <v>line item not tagged</v>
          </cell>
        </row>
        <row r="10891">
          <cell r="W10891">
            <v>0</v>
          </cell>
          <cell r="AB10891" t="str">
            <v>line item not tagged</v>
          </cell>
        </row>
        <row r="10892">
          <cell r="W10892">
            <v>0</v>
          </cell>
          <cell r="AB10892" t="str">
            <v>line item not tagged</v>
          </cell>
        </row>
        <row r="10893">
          <cell r="W10893">
            <v>0</v>
          </cell>
          <cell r="AB10893" t="str">
            <v>line item not tagged</v>
          </cell>
        </row>
        <row r="10894">
          <cell r="W10894">
            <v>0</v>
          </cell>
          <cell r="AB10894" t="str">
            <v>line item not tagged</v>
          </cell>
        </row>
        <row r="10895">
          <cell r="W10895">
            <v>0</v>
          </cell>
          <cell r="AB10895" t="str">
            <v>line item not tagged</v>
          </cell>
        </row>
        <row r="10896">
          <cell r="W10896">
            <v>0</v>
          </cell>
          <cell r="AB10896" t="str">
            <v>line item not tagged</v>
          </cell>
        </row>
        <row r="10897">
          <cell r="W10897">
            <v>0</v>
          </cell>
          <cell r="AB10897" t="str">
            <v>line item not tagged</v>
          </cell>
        </row>
        <row r="10898">
          <cell r="W10898">
            <v>0</v>
          </cell>
          <cell r="AB10898" t="str">
            <v>line item not tagged</v>
          </cell>
        </row>
        <row r="10899">
          <cell r="W10899">
            <v>0</v>
          </cell>
          <cell r="AB10899" t="str">
            <v>line item not tagged</v>
          </cell>
        </row>
        <row r="10900">
          <cell r="W10900">
            <v>0</v>
          </cell>
          <cell r="AB10900" t="str">
            <v>line item not tagged</v>
          </cell>
        </row>
        <row r="10901">
          <cell r="W10901">
            <v>0</v>
          </cell>
          <cell r="AB10901" t="str">
            <v>line item not tagged</v>
          </cell>
        </row>
        <row r="10902">
          <cell r="W10902">
            <v>0</v>
          </cell>
          <cell r="AB10902" t="str">
            <v>line item not tagged</v>
          </cell>
        </row>
        <row r="10903">
          <cell r="W10903">
            <v>0</v>
          </cell>
          <cell r="AB10903" t="str">
            <v>line item not tagged</v>
          </cell>
        </row>
        <row r="10904">
          <cell r="W10904">
            <v>0</v>
          </cell>
          <cell r="AB10904" t="str">
            <v>line item not tagged</v>
          </cell>
        </row>
        <row r="10905">
          <cell r="W10905">
            <v>0</v>
          </cell>
          <cell r="AB10905" t="str">
            <v>line item not tagged</v>
          </cell>
        </row>
        <row r="10906">
          <cell r="W10906">
            <v>0</v>
          </cell>
          <cell r="AB10906" t="str">
            <v>line item not tagged</v>
          </cell>
        </row>
        <row r="10907">
          <cell r="W10907">
            <v>0</v>
          </cell>
          <cell r="AB10907" t="str">
            <v>line item not tagged</v>
          </cell>
        </row>
        <row r="10908">
          <cell r="W10908">
            <v>0</v>
          </cell>
          <cell r="AB10908" t="str">
            <v>line item not tagged</v>
          </cell>
        </row>
        <row r="10909">
          <cell r="W10909">
            <v>0</v>
          </cell>
          <cell r="AB10909" t="str">
            <v>line item not tagged</v>
          </cell>
        </row>
        <row r="10910">
          <cell r="W10910">
            <v>0</v>
          </cell>
          <cell r="AB10910" t="str">
            <v>line item not tagged</v>
          </cell>
        </row>
        <row r="10911">
          <cell r="W10911">
            <v>0</v>
          </cell>
          <cell r="AB10911" t="str">
            <v>line item not tagged</v>
          </cell>
        </row>
        <row r="10912">
          <cell r="W10912">
            <v>0</v>
          </cell>
          <cell r="AB10912" t="str">
            <v>line item not tagged</v>
          </cell>
        </row>
        <row r="10913">
          <cell r="W10913">
            <v>0</v>
          </cell>
          <cell r="AB10913" t="str">
            <v>line item not tagged</v>
          </cell>
        </row>
        <row r="10914">
          <cell r="W10914">
            <v>0</v>
          </cell>
          <cell r="AB10914" t="str">
            <v>line item not tagged</v>
          </cell>
        </row>
        <row r="10915">
          <cell r="W10915">
            <v>0</v>
          </cell>
          <cell r="AB10915" t="str">
            <v>line item not tagged</v>
          </cell>
        </row>
        <row r="10916">
          <cell r="W10916">
            <v>0</v>
          </cell>
          <cell r="AB10916" t="str">
            <v>line item not tagged</v>
          </cell>
        </row>
        <row r="10917">
          <cell r="W10917">
            <v>0</v>
          </cell>
          <cell r="AB10917" t="str">
            <v>line item not tagged</v>
          </cell>
        </row>
        <row r="10918">
          <cell r="W10918">
            <v>0</v>
          </cell>
          <cell r="AB10918" t="str">
            <v>line item not tagged</v>
          </cell>
        </row>
        <row r="10919">
          <cell r="W10919">
            <v>0</v>
          </cell>
          <cell r="AB10919" t="str">
            <v>line item not tagged</v>
          </cell>
        </row>
        <row r="10920">
          <cell r="W10920">
            <v>0</v>
          </cell>
          <cell r="AB10920" t="str">
            <v>line item not tagged</v>
          </cell>
        </row>
        <row r="10921">
          <cell r="W10921">
            <v>0</v>
          </cell>
          <cell r="AB10921" t="str">
            <v>line item not tagged</v>
          </cell>
        </row>
        <row r="10922">
          <cell r="W10922">
            <v>0</v>
          </cell>
          <cell r="AB10922" t="str">
            <v>line item not tagged</v>
          </cell>
        </row>
        <row r="10923">
          <cell r="W10923">
            <v>0</v>
          </cell>
          <cell r="AB10923" t="str">
            <v>line item not tagged</v>
          </cell>
        </row>
        <row r="10924">
          <cell r="W10924">
            <v>0</v>
          </cell>
          <cell r="AB10924" t="str">
            <v>line item not tagged</v>
          </cell>
        </row>
        <row r="10925">
          <cell r="W10925">
            <v>0</v>
          </cell>
          <cell r="AB10925" t="str">
            <v>line item not tagged</v>
          </cell>
        </row>
        <row r="10926">
          <cell r="W10926">
            <v>0</v>
          </cell>
          <cell r="AB10926" t="str">
            <v>line item not tagged</v>
          </cell>
        </row>
        <row r="10927">
          <cell r="W10927">
            <v>0</v>
          </cell>
          <cell r="AB10927" t="str">
            <v>line item not tagged</v>
          </cell>
        </row>
        <row r="10928">
          <cell r="W10928">
            <v>0</v>
          </cell>
          <cell r="AB10928" t="str">
            <v>line item not tagged</v>
          </cell>
        </row>
        <row r="10929">
          <cell r="W10929">
            <v>0</v>
          </cell>
          <cell r="AB10929" t="str">
            <v>line item not tagged</v>
          </cell>
        </row>
        <row r="10930">
          <cell r="W10930">
            <v>0</v>
          </cell>
          <cell r="AB10930" t="str">
            <v>line item not tagged</v>
          </cell>
        </row>
        <row r="10931">
          <cell r="W10931">
            <v>0</v>
          </cell>
          <cell r="AB10931" t="str">
            <v>line item not tagged</v>
          </cell>
        </row>
        <row r="10932">
          <cell r="W10932">
            <v>0</v>
          </cell>
          <cell r="AB10932" t="str">
            <v>line item not tagged</v>
          </cell>
        </row>
        <row r="10933">
          <cell r="W10933">
            <v>0</v>
          </cell>
          <cell r="AB10933" t="str">
            <v>line item not tagged</v>
          </cell>
        </row>
        <row r="10934">
          <cell r="W10934">
            <v>0</v>
          </cell>
          <cell r="AB10934" t="str">
            <v>line item not tagged</v>
          </cell>
        </row>
        <row r="10935">
          <cell r="W10935">
            <v>0</v>
          </cell>
          <cell r="AB10935" t="str">
            <v>line item not tagged</v>
          </cell>
        </row>
        <row r="10936">
          <cell r="W10936">
            <v>0</v>
          </cell>
          <cell r="AB10936" t="str">
            <v>line item not tagged</v>
          </cell>
        </row>
        <row r="10937">
          <cell r="W10937">
            <v>0</v>
          </cell>
          <cell r="AB10937" t="str">
            <v>line item not tagged</v>
          </cell>
        </row>
        <row r="10938">
          <cell r="W10938">
            <v>0</v>
          </cell>
          <cell r="AB10938" t="str">
            <v>line item not tagged</v>
          </cell>
        </row>
        <row r="10939">
          <cell r="W10939">
            <v>0</v>
          </cell>
          <cell r="AB10939" t="str">
            <v>line item not tagged</v>
          </cell>
        </row>
        <row r="10940">
          <cell r="W10940">
            <v>0</v>
          </cell>
          <cell r="AB10940" t="str">
            <v>line item not tagged</v>
          </cell>
        </row>
        <row r="10941">
          <cell r="W10941">
            <v>0</v>
          </cell>
          <cell r="AB10941" t="str">
            <v>line item not tagged</v>
          </cell>
        </row>
        <row r="10942">
          <cell r="W10942">
            <v>0</v>
          </cell>
          <cell r="AB10942" t="str">
            <v>line item not tagged</v>
          </cell>
        </row>
        <row r="10943">
          <cell r="W10943">
            <v>0</v>
          </cell>
          <cell r="AB10943" t="str">
            <v>line item not tagged</v>
          </cell>
        </row>
        <row r="10944">
          <cell r="W10944">
            <v>0</v>
          </cell>
          <cell r="AB10944" t="str">
            <v>line item not tagged</v>
          </cell>
        </row>
        <row r="10945">
          <cell r="W10945">
            <v>0</v>
          </cell>
          <cell r="AB10945" t="str">
            <v>line item not tagged</v>
          </cell>
        </row>
        <row r="10946">
          <cell r="W10946">
            <v>0</v>
          </cell>
          <cell r="AB10946" t="str">
            <v>line item not tagged</v>
          </cell>
        </row>
        <row r="10947">
          <cell r="W10947">
            <v>0</v>
          </cell>
          <cell r="AB10947" t="str">
            <v>line item not tagged</v>
          </cell>
        </row>
        <row r="10948">
          <cell r="W10948">
            <v>0</v>
          </cell>
          <cell r="AB10948" t="str">
            <v>line item not tagged</v>
          </cell>
        </row>
        <row r="10949">
          <cell r="W10949">
            <v>0</v>
          </cell>
          <cell r="AB10949" t="str">
            <v>line item not tagged</v>
          </cell>
        </row>
        <row r="10950">
          <cell r="W10950">
            <v>0</v>
          </cell>
          <cell r="AB10950" t="str">
            <v>line item not tagged</v>
          </cell>
        </row>
        <row r="10951">
          <cell r="W10951">
            <v>0</v>
          </cell>
          <cell r="AB10951" t="str">
            <v>line item not tagged</v>
          </cell>
        </row>
        <row r="10952">
          <cell r="W10952">
            <v>0</v>
          </cell>
          <cell r="AB10952" t="str">
            <v>line item not tagged</v>
          </cell>
        </row>
        <row r="10953">
          <cell r="W10953">
            <v>0</v>
          </cell>
          <cell r="AB10953" t="str">
            <v>line item not tagged</v>
          </cell>
        </row>
        <row r="10954">
          <cell r="W10954">
            <v>0</v>
          </cell>
          <cell r="AB10954" t="str">
            <v>line item not tagged</v>
          </cell>
        </row>
        <row r="10955">
          <cell r="W10955">
            <v>0</v>
          </cell>
          <cell r="AB10955" t="str">
            <v>line item not tagged</v>
          </cell>
        </row>
        <row r="10956">
          <cell r="W10956">
            <v>0</v>
          </cell>
          <cell r="AB10956" t="str">
            <v>line item not tagged</v>
          </cell>
        </row>
        <row r="10957">
          <cell r="W10957">
            <v>0</v>
          </cell>
          <cell r="AB10957" t="str">
            <v>line item not tagged</v>
          </cell>
        </row>
        <row r="10958">
          <cell r="W10958">
            <v>0</v>
          </cell>
          <cell r="AB10958" t="str">
            <v>line item not tagged</v>
          </cell>
        </row>
        <row r="10959">
          <cell r="W10959">
            <v>0</v>
          </cell>
          <cell r="AB10959" t="str">
            <v>line item not tagged</v>
          </cell>
        </row>
        <row r="10960">
          <cell r="W10960">
            <v>0</v>
          </cell>
          <cell r="AB10960" t="str">
            <v>line item not tagged</v>
          </cell>
        </row>
        <row r="10961">
          <cell r="W10961">
            <v>0</v>
          </cell>
          <cell r="AB10961" t="str">
            <v>line item not tagged</v>
          </cell>
        </row>
        <row r="10962">
          <cell r="W10962">
            <v>0</v>
          </cell>
          <cell r="AB10962" t="str">
            <v>line item not tagged</v>
          </cell>
        </row>
        <row r="10963">
          <cell r="W10963">
            <v>0</v>
          </cell>
          <cell r="AB10963" t="str">
            <v>line item not tagged</v>
          </cell>
        </row>
        <row r="10964">
          <cell r="W10964">
            <v>0</v>
          </cell>
          <cell r="AB10964" t="str">
            <v>line item not tagged</v>
          </cell>
        </row>
        <row r="10965">
          <cell r="W10965">
            <v>0</v>
          </cell>
          <cell r="AB10965" t="str">
            <v>line item not tagged</v>
          </cell>
        </row>
        <row r="10966">
          <cell r="W10966">
            <v>0</v>
          </cell>
          <cell r="AB10966" t="str">
            <v>line item not tagged</v>
          </cell>
        </row>
        <row r="10967">
          <cell r="W10967">
            <v>0</v>
          </cell>
          <cell r="AB10967" t="str">
            <v>line item not tagged</v>
          </cell>
        </row>
        <row r="10968">
          <cell r="W10968">
            <v>0</v>
          </cell>
          <cell r="AB10968" t="str">
            <v>line item not tagged</v>
          </cell>
        </row>
        <row r="10969">
          <cell r="W10969">
            <v>0</v>
          </cell>
          <cell r="AB10969" t="str">
            <v>line item not tagged</v>
          </cell>
        </row>
        <row r="10970">
          <cell r="W10970">
            <v>0</v>
          </cell>
          <cell r="AB10970" t="str">
            <v>line item not tagged</v>
          </cell>
        </row>
        <row r="10971">
          <cell r="W10971">
            <v>0</v>
          </cell>
          <cell r="AB10971" t="str">
            <v>line item not tagged</v>
          </cell>
        </row>
        <row r="10972">
          <cell r="W10972">
            <v>0</v>
          </cell>
          <cell r="AB10972" t="str">
            <v>line item not tagged</v>
          </cell>
        </row>
        <row r="10973">
          <cell r="W10973">
            <v>0</v>
          </cell>
          <cell r="AB10973" t="str">
            <v>line item not tagged</v>
          </cell>
        </row>
        <row r="10974">
          <cell r="W10974">
            <v>0</v>
          </cell>
          <cell r="AB10974" t="str">
            <v>line item not tagged</v>
          </cell>
        </row>
        <row r="10975">
          <cell r="W10975">
            <v>0</v>
          </cell>
          <cell r="AB10975" t="str">
            <v>line item not tagged</v>
          </cell>
        </row>
        <row r="10976">
          <cell r="W10976">
            <v>0</v>
          </cell>
          <cell r="AB10976" t="str">
            <v>line item not tagged</v>
          </cell>
        </row>
        <row r="10977">
          <cell r="W10977">
            <v>0</v>
          </cell>
          <cell r="AB10977" t="str">
            <v>line item not tagged</v>
          </cell>
        </row>
        <row r="10978">
          <cell r="W10978">
            <v>0</v>
          </cell>
          <cell r="AB10978" t="str">
            <v>line item not tagged</v>
          </cell>
        </row>
        <row r="10979">
          <cell r="W10979">
            <v>0</v>
          </cell>
          <cell r="AB10979" t="str">
            <v>line item not tagged</v>
          </cell>
        </row>
        <row r="10980">
          <cell r="W10980">
            <v>0</v>
          </cell>
          <cell r="AB10980" t="str">
            <v>line item not tagged</v>
          </cell>
        </row>
        <row r="10981">
          <cell r="W10981">
            <v>0</v>
          </cell>
          <cell r="AB10981" t="str">
            <v>line item not tagged</v>
          </cell>
        </row>
        <row r="10982">
          <cell r="W10982">
            <v>0</v>
          </cell>
          <cell r="AB10982" t="str">
            <v>line item not tagged</v>
          </cell>
        </row>
        <row r="10983">
          <cell r="W10983">
            <v>0</v>
          </cell>
          <cell r="AB10983" t="str">
            <v>line item not tagged</v>
          </cell>
        </row>
        <row r="10984">
          <cell r="W10984">
            <v>0</v>
          </cell>
          <cell r="AB10984" t="str">
            <v>line item not tagged</v>
          </cell>
        </row>
        <row r="10985">
          <cell r="W10985">
            <v>0</v>
          </cell>
          <cell r="AB10985" t="str">
            <v>line item not tagged</v>
          </cell>
        </row>
        <row r="10986">
          <cell r="W10986">
            <v>0</v>
          </cell>
          <cell r="AB10986" t="str">
            <v>line item not tagged</v>
          </cell>
        </row>
        <row r="10987">
          <cell r="W10987">
            <v>0</v>
          </cell>
          <cell r="AB10987" t="str">
            <v>line item not tagged</v>
          </cell>
        </row>
        <row r="10988">
          <cell r="W10988">
            <v>0</v>
          </cell>
          <cell r="AB10988" t="str">
            <v>line item not tagged</v>
          </cell>
        </row>
        <row r="10989">
          <cell r="W10989">
            <v>0</v>
          </cell>
          <cell r="AB10989" t="str">
            <v>line item not tagged</v>
          </cell>
        </row>
        <row r="10990">
          <cell r="W10990">
            <v>0</v>
          </cell>
          <cell r="AB10990" t="str">
            <v>line item not tagged</v>
          </cell>
        </row>
        <row r="10991">
          <cell r="W10991">
            <v>0</v>
          </cell>
          <cell r="AB10991" t="str">
            <v>line item not tagged</v>
          </cell>
        </row>
        <row r="10992">
          <cell r="W10992">
            <v>0</v>
          </cell>
          <cell r="AB10992" t="str">
            <v>line item not tagged</v>
          </cell>
        </row>
        <row r="10993">
          <cell r="W10993">
            <v>0</v>
          </cell>
          <cell r="AB10993" t="str">
            <v>line item not tagged</v>
          </cell>
        </row>
        <row r="10994">
          <cell r="W10994">
            <v>0</v>
          </cell>
          <cell r="AB10994" t="str">
            <v>line item not tagged</v>
          </cell>
        </row>
        <row r="10995">
          <cell r="W10995">
            <v>0</v>
          </cell>
          <cell r="AB10995" t="str">
            <v>line item not tagged</v>
          </cell>
        </row>
        <row r="10996">
          <cell r="W10996">
            <v>0</v>
          </cell>
          <cell r="AB10996" t="str">
            <v>line item not tagged</v>
          </cell>
        </row>
        <row r="10997">
          <cell r="W10997">
            <v>0</v>
          </cell>
          <cell r="AB10997" t="str">
            <v>line item not tagged</v>
          </cell>
        </row>
        <row r="10998">
          <cell r="W10998">
            <v>0</v>
          </cell>
          <cell r="AB10998" t="str">
            <v>line item not tagged</v>
          </cell>
        </row>
        <row r="10999">
          <cell r="W10999">
            <v>0</v>
          </cell>
          <cell r="AB10999" t="str">
            <v>line item not tagged</v>
          </cell>
        </row>
        <row r="11000">
          <cell r="W11000">
            <v>0</v>
          </cell>
          <cell r="AB11000" t="str">
            <v>line item not tagged</v>
          </cell>
        </row>
        <row r="11001">
          <cell r="W11001">
            <v>0</v>
          </cell>
          <cell r="AB11001" t="str">
            <v>line item not tagged</v>
          </cell>
        </row>
        <row r="11002">
          <cell r="W11002">
            <v>0</v>
          </cell>
          <cell r="AB11002" t="str">
            <v>line item not tagged</v>
          </cell>
        </row>
        <row r="11003">
          <cell r="W11003">
            <v>0</v>
          </cell>
          <cell r="AB11003" t="str">
            <v>line item not tagged</v>
          </cell>
        </row>
        <row r="11004">
          <cell r="W11004">
            <v>0</v>
          </cell>
          <cell r="AB11004" t="str">
            <v>line item not tagged</v>
          </cell>
        </row>
        <row r="11005">
          <cell r="W11005">
            <v>0</v>
          </cell>
          <cell r="AB11005" t="str">
            <v>line item not tagged</v>
          </cell>
        </row>
        <row r="11006">
          <cell r="W11006">
            <v>0</v>
          </cell>
          <cell r="AB11006" t="str">
            <v>line item not tagged</v>
          </cell>
        </row>
        <row r="11007">
          <cell r="W11007">
            <v>0</v>
          </cell>
          <cell r="AB11007" t="str">
            <v>line item not tagged</v>
          </cell>
        </row>
        <row r="11008">
          <cell r="W11008">
            <v>0</v>
          </cell>
          <cell r="AB11008" t="str">
            <v>line item not tagged</v>
          </cell>
        </row>
        <row r="11009">
          <cell r="W11009">
            <v>0</v>
          </cell>
          <cell r="AB11009" t="str">
            <v>line item not tagged</v>
          </cell>
        </row>
        <row r="11010">
          <cell r="W11010">
            <v>0</v>
          </cell>
          <cell r="AB11010" t="str">
            <v>line item not tagged</v>
          </cell>
        </row>
        <row r="11011">
          <cell r="W11011">
            <v>0</v>
          </cell>
          <cell r="AB11011" t="str">
            <v>line item not tagged</v>
          </cell>
        </row>
        <row r="11012">
          <cell r="W11012">
            <v>0</v>
          </cell>
          <cell r="AB11012" t="str">
            <v>line item not tagged</v>
          </cell>
        </row>
        <row r="11013">
          <cell r="W11013">
            <v>0</v>
          </cell>
          <cell r="AB11013" t="str">
            <v>line item not tagged</v>
          </cell>
        </row>
        <row r="11014">
          <cell r="W11014">
            <v>0</v>
          </cell>
          <cell r="AB11014" t="str">
            <v>line item not tagged</v>
          </cell>
        </row>
        <row r="11015">
          <cell r="W11015">
            <v>0</v>
          </cell>
          <cell r="AB11015" t="str">
            <v>line item not tagged</v>
          </cell>
        </row>
        <row r="11016">
          <cell r="W11016">
            <v>0</v>
          </cell>
          <cell r="AB11016" t="str">
            <v>line item not tagged</v>
          </cell>
        </row>
        <row r="11017">
          <cell r="W11017">
            <v>0</v>
          </cell>
          <cell r="AB11017" t="str">
            <v>line item not tagged</v>
          </cell>
        </row>
        <row r="11018">
          <cell r="W11018">
            <v>0</v>
          </cell>
          <cell r="AB11018" t="str">
            <v>line item not tagged</v>
          </cell>
        </row>
        <row r="11019">
          <cell r="W11019">
            <v>0</v>
          </cell>
          <cell r="AB11019" t="str">
            <v>line item not tagged</v>
          </cell>
        </row>
        <row r="11020">
          <cell r="W11020">
            <v>0</v>
          </cell>
          <cell r="AB11020" t="str">
            <v>line item not tagged</v>
          </cell>
        </row>
        <row r="11021">
          <cell r="W11021">
            <v>0</v>
          </cell>
          <cell r="AB11021" t="str">
            <v>line item not tagged</v>
          </cell>
        </row>
        <row r="11022">
          <cell r="W11022">
            <v>0</v>
          </cell>
          <cell r="AB11022" t="str">
            <v>line item not tagged</v>
          </cell>
        </row>
        <row r="11023">
          <cell r="W11023">
            <v>0</v>
          </cell>
          <cell r="AB11023" t="str">
            <v>line item not tagged</v>
          </cell>
        </row>
        <row r="11024">
          <cell r="W11024">
            <v>0</v>
          </cell>
          <cell r="AB11024" t="str">
            <v>line item not tagged</v>
          </cell>
        </row>
        <row r="11025">
          <cell r="W11025">
            <v>0</v>
          </cell>
          <cell r="AB11025" t="str">
            <v>line item not tagged</v>
          </cell>
        </row>
        <row r="11026">
          <cell r="W11026">
            <v>0</v>
          </cell>
          <cell r="AB11026" t="str">
            <v>line item not tagged</v>
          </cell>
        </row>
        <row r="11027">
          <cell r="W11027">
            <v>0</v>
          </cell>
          <cell r="AB11027" t="str">
            <v>line item not tagged</v>
          </cell>
        </row>
        <row r="11028">
          <cell r="W11028">
            <v>0</v>
          </cell>
          <cell r="AB11028" t="str">
            <v>line item not tagged</v>
          </cell>
        </row>
        <row r="11029">
          <cell r="W11029">
            <v>0</v>
          </cell>
          <cell r="AB11029" t="str">
            <v>line item not tagged</v>
          </cell>
        </row>
        <row r="11030">
          <cell r="W11030">
            <v>0</v>
          </cell>
          <cell r="AB11030" t="str">
            <v>line item not tagged</v>
          </cell>
        </row>
        <row r="11031">
          <cell r="W11031">
            <v>0</v>
          </cell>
          <cell r="AB11031" t="str">
            <v>line item not tagged</v>
          </cell>
        </row>
        <row r="11032">
          <cell r="W11032">
            <v>0</v>
          </cell>
          <cell r="AB11032" t="str">
            <v>line item not tagged</v>
          </cell>
        </row>
        <row r="11033">
          <cell r="W11033">
            <v>0</v>
          </cell>
          <cell r="AB11033" t="str">
            <v>line item not tagged</v>
          </cell>
        </row>
        <row r="11034">
          <cell r="W11034">
            <v>0</v>
          </cell>
          <cell r="AB11034" t="str">
            <v>line item not tagged</v>
          </cell>
        </row>
        <row r="11035">
          <cell r="W11035">
            <v>0</v>
          </cell>
          <cell r="AB11035" t="str">
            <v>line item not tagged</v>
          </cell>
        </row>
        <row r="11036">
          <cell r="W11036">
            <v>0</v>
          </cell>
          <cell r="AB11036" t="str">
            <v>line item not tagged</v>
          </cell>
        </row>
        <row r="11037">
          <cell r="W11037">
            <v>0</v>
          </cell>
          <cell r="AB11037" t="str">
            <v>line item not tagged</v>
          </cell>
        </row>
        <row r="11038">
          <cell r="W11038">
            <v>0</v>
          </cell>
          <cell r="AB11038" t="str">
            <v>line item not tagged</v>
          </cell>
        </row>
        <row r="11039">
          <cell r="W11039">
            <v>0</v>
          </cell>
          <cell r="AB11039" t="str">
            <v>line item not tagged</v>
          </cell>
        </row>
        <row r="11040">
          <cell r="W11040">
            <v>0</v>
          </cell>
          <cell r="AB11040" t="str">
            <v>line item not tagged</v>
          </cell>
        </row>
        <row r="11041">
          <cell r="W11041">
            <v>0</v>
          </cell>
          <cell r="AB11041" t="str">
            <v>line item not tagged</v>
          </cell>
        </row>
        <row r="11042">
          <cell r="W11042">
            <v>0</v>
          </cell>
          <cell r="AB11042" t="str">
            <v>line item not tagged</v>
          </cell>
        </row>
        <row r="11043">
          <cell r="W11043">
            <v>0</v>
          </cell>
          <cell r="AB11043" t="str">
            <v>line item not tagged</v>
          </cell>
        </row>
        <row r="11044">
          <cell r="W11044">
            <v>0</v>
          </cell>
          <cell r="AB11044" t="str">
            <v>line item not tagged</v>
          </cell>
        </row>
        <row r="11045">
          <cell r="W11045">
            <v>0</v>
          </cell>
          <cell r="AB11045" t="str">
            <v>line item not tagged</v>
          </cell>
        </row>
        <row r="11046">
          <cell r="W11046">
            <v>0</v>
          </cell>
          <cell r="AB11046" t="str">
            <v>line item not tagged</v>
          </cell>
        </row>
        <row r="11047">
          <cell r="W11047">
            <v>0</v>
          </cell>
          <cell r="AB11047" t="str">
            <v>line item not tagged</v>
          </cell>
        </row>
        <row r="11048">
          <cell r="W11048">
            <v>0</v>
          </cell>
          <cell r="AB11048" t="str">
            <v>line item not tagged</v>
          </cell>
        </row>
        <row r="11049">
          <cell r="W11049">
            <v>0</v>
          </cell>
          <cell r="AB11049" t="str">
            <v>line item not tagged</v>
          </cell>
        </row>
        <row r="11050">
          <cell r="W11050">
            <v>0</v>
          </cell>
          <cell r="AB11050" t="str">
            <v>line item not tagged</v>
          </cell>
        </row>
        <row r="11051">
          <cell r="W11051">
            <v>0</v>
          </cell>
          <cell r="AB11051" t="str">
            <v>line item not tagged</v>
          </cell>
        </row>
        <row r="11052">
          <cell r="W11052">
            <v>0</v>
          </cell>
          <cell r="AB11052" t="str">
            <v>line item not tagged</v>
          </cell>
        </row>
        <row r="11053">
          <cell r="W11053">
            <v>0</v>
          </cell>
          <cell r="AB11053" t="str">
            <v>line item not tagged</v>
          </cell>
        </row>
        <row r="11054">
          <cell r="W11054">
            <v>0</v>
          </cell>
          <cell r="AB11054" t="str">
            <v>line item not tagged</v>
          </cell>
        </row>
        <row r="11055">
          <cell r="W11055">
            <v>0</v>
          </cell>
          <cell r="AB11055" t="str">
            <v>line item not tagged</v>
          </cell>
        </row>
        <row r="11056">
          <cell r="W11056">
            <v>0</v>
          </cell>
          <cell r="AB11056" t="str">
            <v>line item not tagged</v>
          </cell>
        </row>
        <row r="11057">
          <cell r="W11057">
            <v>0</v>
          </cell>
          <cell r="AB11057" t="str">
            <v>line item not tagged</v>
          </cell>
        </row>
        <row r="11058">
          <cell r="W11058">
            <v>0</v>
          </cell>
          <cell r="AB11058" t="str">
            <v>line item not tagged</v>
          </cell>
        </row>
        <row r="11059">
          <cell r="W11059">
            <v>0</v>
          </cell>
          <cell r="AB11059" t="str">
            <v>line item not tagged</v>
          </cell>
        </row>
        <row r="11060">
          <cell r="W11060">
            <v>0</v>
          </cell>
          <cell r="AB11060" t="str">
            <v>line item not tagged</v>
          </cell>
        </row>
        <row r="11061">
          <cell r="W11061">
            <v>0</v>
          </cell>
          <cell r="AB11061" t="str">
            <v>line item not tagged</v>
          </cell>
        </row>
        <row r="11062">
          <cell r="W11062">
            <v>0</v>
          </cell>
          <cell r="AB11062" t="str">
            <v>line item not tagged</v>
          </cell>
        </row>
        <row r="11063">
          <cell r="W11063">
            <v>0</v>
          </cell>
          <cell r="AB11063" t="str">
            <v>line item not tagged</v>
          </cell>
        </row>
        <row r="11064">
          <cell r="W11064">
            <v>0</v>
          </cell>
          <cell r="AB11064" t="str">
            <v>line item not tagged</v>
          </cell>
        </row>
        <row r="11065">
          <cell r="W11065">
            <v>0</v>
          </cell>
          <cell r="AB11065" t="str">
            <v>line item not tagged</v>
          </cell>
        </row>
        <row r="11066">
          <cell r="W11066">
            <v>0</v>
          </cell>
          <cell r="AB11066" t="str">
            <v>line item not tagged</v>
          </cell>
        </row>
        <row r="11067">
          <cell r="W11067">
            <v>0</v>
          </cell>
          <cell r="AB11067" t="str">
            <v>line item not tagged</v>
          </cell>
        </row>
        <row r="11068">
          <cell r="W11068">
            <v>0</v>
          </cell>
          <cell r="AB11068" t="str">
            <v>line item not tagged</v>
          </cell>
        </row>
        <row r="11069">
          <cell r="W11069">
            <v>0</v>
          </cell>
          <cell r="AB11069" t="str">
            <v>line item not tagged</v>
          </cell>
        </row>
        <row r="11070">
          <cell r="W11070">
            <v>0</v>
          </cell>
          <cell r="AB11070" t="str">
            <v>line item not tagged</v>
          </cell>
        </row>
        <row r="11071">
          <cell r="W11071">
            <v>0</v>
          </cell>
          <cell r="AB11071" t="str">
            <v>line item not tagged</v>
          </cell>
        </row>
        <row r="11072">
          <cell r="W11072">
            <v>0</v>
          </cell>
          <cell r="AB11072" t="str">
            <v>line item not tagged</v>
          </cell>
        </row>
        <row r="11073">
          <cell r="W11073">
            <v>0</v>
          </cell>
          <cell r="AB11073" t="str">
            <v>line item not tagged</v>
          </cell>
        </row>
        <row r="11074">
          <cell r="W11074">
            <v>0</v>
          </cell>
          <cell r="AB11074" t="str">
            <v>line item not tagged</v>
          </cell>
        </row>
        <row r="11075">
          <cell r="W11075">
            <v>0</v>
          </cell>
          <cell r="AB11075" t="str">
            <v>line item not tagged</v>
          </cell>
        </row>
        <row r="11076">
          <cell r="W11076">
            <v>0</v>
          </cell>
          <cell r="AB11076" t="str">
            <v>line item not tagged</v>
          </cell>
        </row>
        <row r="11077">
          <cell r="W11077">
            <v>0</v>
          </cell>
          <cell r="AB11077" t="str">
            <v>line item not tagged</v>
          </cell>
        </row>
        <row r="11078">
          <cell r="W11078">
            <v>0</v>
          </cell>
          <cell r="AB11078" t="str">
            <v>line item not tagged</v>
          </cell>
        </row>
        <row r="11079">
          <cell r="W11079">
            <v>0</v>
          </cell>
          <cell r="AB11079" t="str">
            <v>line item not tagged</v>
          </cell>
        </row>
        <row r="11080">
          <cell r="W11080">
            <v>0</v>
          </cell>
          <cell r="AB11080" t="str">
            <v>line item not tagged</v>
          </cell>
        </row>
        <row r="11081">
          <cell r="W11081">
            <v>0</v>
          </cell>
          <cell r="AB11081" t="str">
            <v>line item not tagged</v>
          </cell>
        </row>
        <row r="11082">
          <cell r="W11082">
            <v>0</v>
          </cell>
          <cell r="AB11082" t="str">
            <v>line item not tagged</v>
          </cell>
        </row>
        <row r="11083">
          <cell r="W11083">
            <v>0</v>
          </cell>
          <cell r="AB11083" t="str">
            <v>line item not tagged</v>
          </cell>
        </row>
        <row r="11084">
          <cell r="W11084">
            <v>0</v>
          </cell>
          <cell r="AB11084" t="str">
            <v>line item not tagged</v>
          </cell>
        </row>
        <row r="11085">
          <cell r="W11085">
            <v>0</v>
          </cell>
          <cell r="AB11085" t="str">
            <v>line item not tagged</v>
          </cell>
        </row>
        <row r="11086">
          <cell r="W11086">
            <v>0</v>
          </cell>
          <cell r="AB11086" t="str">
            <v>line item not tagged</v>
          </cell>
        </row>
        <row r="11087">
          <cell r="W11087">
            <v>0</v>
          </cell>
          <cell r="AB11087" t="str">
            <v>line item not tagged</v>
          </cell>
        </row>
        <row r="11088">
          <cell r="W11088">
            <v>0</v>
          </cell>
          <cell r="AB11088" t="str">
            <v>line item not tagged</v>
          </cell>
        </row>
        <row r="11089">
          <cell r="W11089">
            <v>0</v>
          </cell>
          <cell r="AB11089" t="str">
            <v>line item not tagged</v>
          </cell>
        </row>
        <row r="11090">
          <cell r="W11090">
            <v>0</v>
          </cell>
          <cell r="AB11090" t="str">
            <v>line item not tagged</v>
          </cell>
        </row>
        <row r="11091">
          <cell r="W11091">
            <v>0</v>
          </cell>
          <cell r="AB11091" t="str">
            <v>line item not tagged</v>
          </cell>
        </row>
        <row r="11092">
          <cell r="W11092">
            <v>0</v>
          </cell>
          <cell r="AB11092" t="str">
            <v>line item not tagged</v>
          </cell>
        </row>
        <row r="11093">
          <cell r="W11093">
            <v>0</v>
          </cell>
          <cell r="AB11093" t="str">
            <v>line item not tagged</v>
          </cell>
        </row>
        <row r="11094">
          <cell r="W11094">
            <v>0</v>
          </cell>
          <cell r="AB11094" t="str">
            <v>line item not tagged</v>
          </cell>
        </row>
        <row r="11095">
          <cell r="W11095">
            <v>0</v>
          </cell>
          <cell r="AB11095" t="str">
            <v>line item not tagged</v>
          </cell>
        </row>
        <row r="11096">
          <cell r="W11096">
            <v>0</v>
          </cell>
          <cell r="AB11096" t="str">
            <v>line item not tagged</v>
          </cell>
        </row>
        <row r="11097">
          <cell r="W11097">
            <v>0</v>
          </cell>
          <cell r="AB11097" t="str">
            <v>line item not tagged</v>
          </cell>
        </row>
        <row r="11098">
          <cell r="W11098">
            <v>0</v>
          </cell>
          <cell r="AB11098" t="str">
            <v>line item not tagged</v>
          </cell>
        </row>
        <row r="11099">
          <cell r="W11099">
            <v>0</v>
          </cell>
          <cell r="AB11099" t="str">
            <v>line item not tagged</v>
          </cell>
        </row>
        <row r="11100">
          <cell r="W11100">
            <v>0</v>
          </cell>
          <cell r="AB11100" t="str">
            <v>line item not tagged</v>
          </cell>
        </row>
        <row r="11101">
          <cell r="W11101">
            <v>0</v>
          </cell>
          <cell r="AB11101" t="str">
            <v>line item not tagged</v>
          </cell>
        </row>
        <row r="11102">
          <cell r="W11102">
            <v>0</v>
          </cell>
          <cell r="AB11102" t="str">
            <v>line item not tagged</v>
          </cell>
        </row>
        <row r="11103">
          <cell r="W11103">
            <v>0</v>
          </cell>
          <cell r="AB11103" t="str">
            <v>line item not tagged</v>
          </cell>
        </row>
        <row r="11104">
          <cell r="W11104">
            <v>0</v>
          </cell>
          <cell r="AB11104" t="str">
            <v>line item not tagged</v>
          </cell>
        </row>
        <row r="11105">
          <cell r="W11105">
            <v>0</v>
          </cell>
          <cell r="AB11105" t="str">
            <v>line item not tagged</v>
          </cell>
        </row>
        <row r="11106">
          <cell r="W11106">
            <v>0</v>
          </cell>
          <cell r="AB11106" t="str">
            <v>line item not tagged</v>
          </cell>
        </row>
        <row r="11107">
          <cell r="W11107">
            <v>0</v>
          </cell>
          <cell r="AB11107" t="str">
            <v>line item not tagged</v>
          </cell>
        </row>
        <row r="11108">
          <cell r="W11108">
            <v>0</v>
          </cell>
          <cell r="AB11108" t="str">
            <v>line item not tagged</v>
          </cell>
        </row>
        <row r="11109">
          <cell r="W11109">
            <v>0</v>
          </cell>
          <cell r="AB11109" t="str">
            <v>line item not tagged</v>
          </cell>
        </row>
        <row r="11110">
          <cell r="W11110">
            <v>0</v>
          </cell>
          <cell r="AB11110" t="str">
            <v>line item not tagged</v>
          </cell>
        </row>
        <row r="11111">
          <cell r="W11111">
            <v>0</v>
          </cell>
          <cell r="AB11111" t="str">
            <v>line item not tagged</v>
          </cell>
        </row>
        <row r="11112">
          <cell r="W11112">
            <v>0</v>
          </cell>
          <cell r="AB11112" t="str">
            <v>line item not tagged</v>
          </cell>
        </row>
        <row r="11113">
          <cell r="W11113">
            <v>0</v>
          </cell>
          <cell r="AB11113" t="str">
            <v>line item not tagged</v>
          </cell>
        </row>
        <row r="11114">
          <cell r="W11114">
            <v>0</v>
          </cell>
          <cell r="AB11114" t="str">
            <v>line item not tagged</v>
          </cell>
        </row>
        <row r="11115">
          <cell r="W11115">
            <v>0</v>
          </cell>
          <cell r="AB11115" t="str">
            <v>line item not tagged</v>
          </cell>
        </row>
        <row r="11116">
          <cell r="W11116">
            <v>0</v>
          </cell>
          <cell r="AB11116" t="str">
            <v>line item not tagged</v>
          </cell>
        </row>
        <row r="11117">
          <cell r="W11117">
            <v>0</v>
          </cell>
          <cell r="AB11117" t="str">
            <v>line item not tagged</v>
          </cell>
        </row>
        <row r="11118">
          <cell r="W11118">
            <v>0</v>
          </cell>
          <cell r="AB11118" t="str">
            <v>line item not tagged</v>
          </cell>
        </row>
        <row r="11119">
          <cell r="W11119">
            <v>0</v>
          </cell>
          <cell r="AB11119" t="str">
            <v>line item not tagged</v>
          </cell>
        </row>
        <row r="11120">
          <cell r="W11120">
            <v>0</v>
          </cell>
          <cell r="AB11120" t="str">
            <v>line item not tagged</v>
          </cell>
        </row>
        <row r="11121">
          <cell r="W11121">
            <v>0</v>
          </cell>
          <cell r="AB11121" t="str">
            <v>line item not tagged</v>
          </cell>
        </row>
        <row r="11122">
          <cell r="W11122">
            <v>0</v>
          </cell>
          <cell r="AB11122" t="str">
            <v>line item not tagged</v>
          </cell>
        </row>
        <row r="11123">
          <cell r="W11123">
            <v>0</v>
          </cell>
          <cell r="AB11123" t="str">
            <v>line item not tagged</v>
          </cell>
        </row>
        <row r="11124">
          <cell r="W11124">
            <v>0</v>
          </cell>
          <cell r="AB11124" t="str">
            <v>line item not tagged</v>
          </cell>
        </row>
        <row r="11125">
          <cell r="W11125">
            <v>0</v>
          </cell>
          <cell r="AB11125" t="str">
            <v>line item not tagged</v>
          </cell>
        </row>
        <row r="11126">
          <cell r="W11126">
            <v>0</v>
          </cell>
          <cell r="AB11126" t="str">
            <v>line item not tagged</v>
          </cell>
        </row>
        <row r="11127">
          <cell r="W11127">
            <v>0</v>
          </cell>
          <cell r="AB11127" t="str">
            <v>line item not tagged</v>
          </cell>
        </row>
        <row r="11128">
          <cell r="W11128">
            <v>0</v>
          </cell>
          <cell r="AB11128" t="str">
            <v>line item not tagged</v>
          </cell>
        </row>
        <row r="11129">
          <cell r="W11129">
            <v>0</v>
          </cell>
          <cell r="AB11129" t="str">
            <v>line item not tagged</v>
          </cell>
        </row>
        <row r="11130">
          <cell r="W11130">
            <v>0</v>
          </cell>
          <cell r="AB11130" t="str">
            <v>line item not tagged</v>
          </cell>
        </row>
        <row r="11131">
          <cell r="W11131">
            <v>0</v>
          </cell>
          <cell r="AB11131" t="str">
            <v>line item not tagged</v>
          </cell>
        </row>
        <row r="11132">
          <cell r="W11132">
            <v>0</v>
          </cell>
          <cell r="AB11132" t="str">
            <v>line item not tagged</v>
          </cell>
        </row>
        <row r="11133">
          <cell r="W11133">
            <v>0</v>
          </cell>
          <cell r="AB11133" t="str">
            <v>line item not tagged</v>
          </cell>
        </row>
        <row r="11134">
          <cell r="W11134">
            <v>0</v>
          </cell>
          <cell r="AB11134" t="str">
            <v>line item not tagged</v>
          </cell>
        </row>
        <row r="11135">
          <cell r="W11135">
            <v>0</v>
          </cell>
          <cell r="AB11135" t="str">
            <v>line item not tagged</v>
          </cell>
        </row>
        <row r="11136">
          <cell r="W11136">
            <v>0</v>
          </cell>
          <cell r="AB11136" t="str">
            <v>line item not tagged</v>
          </cell>
        </row>
        <row r="11137">
          <cell r="W11137">
            <v>0</v>
          </cell>
          <cell r="AB11137" t="str">
            <v>line item not tagged</v>
          </cell>
        </row>
        <row r="11138">
          <cell r="W11138">
            <v>0</v>
          </cell>
          <cell r="AB11138" t="str">
            <v>line item not tagged</v>
          </cell>
        </row>
        <row r="11139">
          <cell r="W11139">
            <v>0</v>
          </cell>
          <cell r="AB11139" t="str">
            <v>line item not tagged</v>
          </cell>
        </row>
        <row r="11140">
          <cell r="W11140">
            <v>0</v>
          </cell>
          <cell r="AB11140" t="str">
            <v>line item not tagged</v>
          </cell>
        </row>
        <row r="11141">
          <cell r="W11141">
            <v>0</v>
          </cell>
          <cell r="AB11141" t="str">
            <v>line item not tagged</v>
          </cell>
        </row>
        <row r="11142">
          <cell r="W11142">
            <v>0</v>
          </cell>
          <cell r="AB11142" t="str">
            <v>line item not tagged</v>
          </cell>
        </row>
        <row r="11143">
          <cell r="W11143">
            <v>0</v>
          </cell>
          <cell r="AB11143" t="str">
            <v>line item not tagged</v>
          </cell>
        </row>
        <row r="11144">
          <cell r="W11144">
            <v>0</v>
          </cell>
          <cell r="AB11144" t="str">
            <v>line item not tagged</v>
          </cell>
        </row>
        <row r="11145">
          <cell r="W11145">
            <v>0</v>
          </cell>
          <cell r="AB11145" t="str">
            <v>line item not tagged</v>
          </cell>
        </row>
        <row r="11146">
          <cell r="W11146">
            <v>0</v>
          </cell>
          <cell r="AB11146" t="str">
            <v>line item not tagged</v>
          </cell>
        </row>
        <row r="11147">
          <cell r="W11147">
            <v>0</v>
          </cell>
          <cell r="AB11147" t="str">
            <v>line item not tagged</v>
          </cell>
        </row>
        <row r="11148">
          <cell r="W11148">
            <v>0</v>
          </cell>
          <cell r="AB11148" t="str">
            <v>line item not tagged</v>
          </cell>
        </row>
        <row r="11149">
          <cell r="W11149">
            <v>0</v>
          </cell>
          <cell r="AB11149" t="str">
            <v>line item not tagged</v>
          </cell>
        </row>
        <row r="11150">
          <cell r="W11150">
            <v>0</v>
          </cell>
          <cell r="AB11150" t="str">
            <v>line item not tagged</v>
          </cell>
        </row>
        <row r="11151">
          <cell r="W11151">
            <v>0</v>
          </cell>
          <cell r="AB11151" t="str">
            <v>line item not tagged</v>
          </cell>
        </row>
        <row r="11152">
          <cell r="W11152">
            <v>0</v>
          </cell>
          <cell r="AB11152" t="str">
            <v>line item not tagged</v>
          </cell>
        </row>
        <row r="11153">
          <cell r="W11153">
            <v>0</v>
          </cell>
          <cell r="AB11153" t="str">
            <v>line item not tagged</v>
          </cell>
        </row>
        <row r="11154">
          <cell r="W11154">
            <v>0</v>
          </cell>
          <cell r="AB11154" t="str">
            <v>line item not tagged</v>
          </cell>
        </row>
        <row r="11155">
          <cell r="W11155">
            <v>0</v>
          </cell>
          <cell r="AB11155" t="str">
            <v>line item not tagged</v>
          </cell>
        </row>
        <row r="11156">
          <cell r="W11156">
            <v>0</v>
          </cell>
          <cell r="AB11156" t="str">
            <v>line item not tagged</v>
          </cell>
        </row>
        <row r="11157">
          <cell r="W11157">
            <v>0</v>
          </cell>
          <cell r="AB11157" t="str">
            <v>line item not tagged</v>
          </cell>
        </row>
        <row r="11158">
          <cell r="W11158">
            <v>0</v>
          </cell>
          <cell r="AB11158" t="str">
            <v>line item not tagged</v>
          </cell>
        </row>
        <row r="11159">
          <cell r="W11159">
            <v>0</v>
          </cell>
          <cell r="AB11159" t="str">
            <v>line item not tagged</v>
          </cell>
        </row>
        <row r="11160">
          <cell r="W11160">
            <v>0</v>
          </cell>
          <cell r="AB11160" t="str">
            <v>line item not tagged</v>
          </cell>
        </row>
        <row r="11161">
          <cell r="W11161">
            <v>0</v>
          </cell>
          <cell r="AB11161" t="str">
            <v>line item not tagged</v>
          </cell>
        </row>
        <row r="11162">
          <cell r="W11162">
            <v>0</v>
          </cell>
          <cell r="AB11162" t="str">
            <v>line item not tagged</v>
          </cell>
        </row>
        <row r="11163">
          <cell r="W11163">
            <v>0</v>
          </cell>
          <cell r="AB11163" t="str">
            <v>line item not tagged</v>
          </cell>
        </row>
        <row r="11164">
          <cell r="W11164">
            <v>0</v>
          </cell>
          <cell r="AB11164" t="str">
            <v>line item not tagged</v>
          </cell>
        </row>
        <row r="11165">
          <cell r="W11165">
            <v>0</v>
          </cell>
          <cell r="AB11165" t="str">
            <v>line item not tagged</v>
          </cell>
        </row>
        <row r="11166">
          <cell r="W11166">
            <v>0</v>
          </cell>
          <cell r="AB11166" t="str">
            <v>line item not tagged</v>
          </cell>
        </row>
        <row r="11167">
          <cell r="W11167">
            <v>0</v>
          </cell>
          <cell r="AB11167" t="str">
            <v>line item not tagged</v>
          </cell>
        </row>
        <row r="11168">
          <cell r="W11168">
            <v>0</v>
          </cell>
          <cell r="AB11168" t="str">
            <v>line item not tagged</v>
          </cell>
        </row>
        <row r="11169">
          <cell r="W11169">
            <v>0</v>
          </cell>
          <cell r="AB11169" t="str">
            <v>line item not tagged</v>
          </cell>
        </row>
        <row r="11170">
          <cell r="W11170">
            <v>0</v>
          </cell>
          <cell r="AB11170" t="str">
            <v>line item not tagged</v>
          </cell>
        </row>
        <row r="11171">
          <cell r="W11171">
            <v>0</v>
          </cell>
          <cell r="AB11171" t="str">
            <v>line item not tagged</v>
          </cell>
        </row>
        <row r="11172">
          <cell r="W11172">
            <v>0</v>
          </cell>
          <cell r="AB11172" t="str">
            <v>line item not tagged</v>
          </cell>
        </row>
        <row r="11173">
          <cell r="W11173">
            <v>0</v>
          </cell>
          <cell r="AB11173" t="str">
            <v>line item not tagged</v>
          </cell>
        </row>
        <row r="11174">
          <cell r="W11174">
            <v>0</v>
          </cell>
          <cell r="AB11174" t="str">
            <v>line item not tagged</v>
          </cell>
        </row>
        <row r="11175">
          <cell r="W11175">
            <v>0</v>
          </cell>
          <cell r="AB11175" t="str">
            <v>line item not tagged</v>
          </cell>
        </row>
        <row r="11176">
          <cell r="W11176">
            <v>0</v>
          </cell>
          <cell r="AB11176" t="str">
            <v>line item not tagged</v>
          </cell>
        </row>
        <row r="11177">
          <cell r="W11177">
            <v>0</v>
          </cell>
          <cell r="AB11177" t="str">
            <v>line item not tagged</v>
          </cell>
        </row>
        <row r="11178">
          <cell r="W11178">
            <v>0</v>
          </cell>
          <cell r="AB11178" t="str">
            <v>line item not tagged</v>
          </cell>
        </row>
        <row r="11179">
          <cell r="W11179">
            <v>0</v>
          </cell>
          <cell r="AB11179" t="str">
            <v>line item not tagged</v>
          </cell>
        </row>
        <row r="11180">
          <cell r="W11180">
            <v>0</v>
          </cell>
          <cell r="AB11180" t="str">
            <v>line item not tagged</v>
          </cell>
        </row>
        <row r="11181">
          <cell r="W11181">
            <v>0</v>
          </cell>
          <cell r="AB11181" t="str">
            <v>line item not tagged</v>
          </cell>
        </row>
        <row r="11182">
          <cell r="W11182">
            <v>0</v>
          </cell>
          <cell r="AB11182" t="str">
            <v>line item not tagged</v>
          </cell>
        </row>
        <row r="11183">
          <cell r="W11183">
            <v>0</v>
          </cell>
          <cell r="AB11183" t="str">
            <v>line item not tagged</v>
          </cell>
        </row>
        <row r="11184">
          <cell r="W11184">
            <v>0</v>
          </cell>
          <cell r="AB11184" t="str">
            <v>line item not tagged</v>
          </cell>
        </row>
        <row r="11185">
          <cell r="W11185">
            <v>0</v>
          </cell>
          <cell r="AB11185" t="str">
            <v>line item not tagged</v>
          </cell>
        </row>
        <row r="11186">
          <cell r="W11186">
            <v>0</v>
          </cell>
          <cell r="AB11186" t="str">
            <v>line item not tagged</v>
          </cell>
        </row>
        <row r="11187">
          <cell r="W11187">
            <v>0</v>
          </cell>
          <cell r="AB11187" t="str">
            <v>line item not tagged</v>
          </cell>
        </row>
        <row r="11188">
          <cell r="W11188">
            <v>0</v>
          </cell>
          <cell r="AB11188" t="str">
            <v>line item not tagged</v>
          </cell>
        </row>
        <row r="11189">
          <cell r="W11189">
            <v>0</v>
          </cell>
          <cell r="AB11189" t="str">
            <v>line item not tagged</v>
          </cell>
        </row>
        <row r="11190">
          <cell r="W11190">
            <v>0</v>
          </cell>
          <cell r="AB11190" t="str">
            <v>line item not tagged</v>
          </cell>
        </row>
        <row r="11191">
          <cell r="W11191">
            <v>0</v>
          </cell>
          <cell r="AB11191" t="str">
            <v>line item not tagged</v>
          </cell>
        </row>
        <row r="11192">
          <cell r="W11192">
            <v>0</v>
          </cell>
          <cell r="AB11192" t="str">
            <v>line item not tagged</v>
          </cell>
        </row>
        <row r="11193">
          <cell r="W11193">
            <v>0</v>
          </cell>
          <cell r="AB11193" t="str">
            <v>line item not tagged</v>
          </cell>
        </row>
        <row r="11194">
          <cell r="W11194">
            <v>0</v>
          </cell>
          <cell r="AB11194" t="str">
            <v>line item not tagged</v>
          </cell>
        </row>
        <row r="11195">
          <cell r="W11195">
            <v>0</v>
          </cell>
          <cell r="AB11195" t="str">
            <v>line item not tagged</v>
          </cell>
        </row>
        <row r="11196">
          <cell r="W11196">
            <v>0</v>
          </cell>
          <cell r="AB11196" t="str">
            <v>line item not tagged</v>
          </cell>
        </row>
        <row r="11197">
          <cell r="W11197">
            <v>0</v>
          </cell>
          <cell r="AB11197" t="str">
            <v>line item not tagged</v>
          </cell>
        </row>
        <row r="11198">
          <cell r="W11198">
            <v>0</v>
          </cell>
          <cell r="AB11198" t="str">
            <v>line item not tagged</v>
          </cell>
        </row>
        <row r="11199">
          <cell r="W11199">
            <v>0</v>
          </cell>
          <cell r="AB11199" t="str">
            <v>line item not tagged</v>
          </cell>
        </row>
        <row r="11200">
          <cell r="W11200">
            <v>0</v>
          </cell>
          <cell r="AB11200" t="str">
            <v>line item not tagged</v>
          </cell>
        </row>
        <row r="11201">
          <cell r="W11201">
            <v>0</v>
          </cell>
          <cell r="AB11201" t="str">
            <v>line item not tagged</v>
          </cell>
        </row>
        <row r="11202">
          <cell r="W11202">
            <v>0</v>
          </cell>
          <cell r="AB11202" t="str">
            <v>line item not tagged</v>
          </cell>
        </row>
        <row r="11203">
          <cell r="W11203">
            <v>0</v>
          </cell>
          <cell r="AB11203" t="str">
            <v>line item not tagged</v>
          </cell>
        </row>
        <row r="11204">
          <cell r="W11204">
            <v>0</v>
          </cell>
          <cell r="AB11204" t="str">
            <v>line item not tagged</v>
          </cell>
        </row>
        <row r="11205">
          <cell r="W11205">
            <v>0</v>
          </cell>
          <cell r="AB11205" t="str">
            <v>line item not tagged</v>
          </cell>
        </row>
        <row r="11206">
          <cell r="W11206">
            <v>0</v>
          </cell>
          <cell r="AB11206" t="str">
            <v>line item not tagged</v>
          </cell>
        </row>
        <row r="11207">
          <cell r="W11207">
            <v>0</v>
          </cell>
          <cell r="AB11207" t="str">
            <v>line item not tagged</v>
          </cell>
        </row>
        <row r="11208">
          <cell r="W11208">
            <v>0</v>
          </cell>
          <cell r="AB11208" t="str">
            <v>line item not tagged</v>
          </cell>
        </row>
        <row r="11209">
          <cell r="W11209">
            <v>0</v>
          </cell>
          <cell r="AB11209" t="str">
            <v>line item not tagged</v>
          </cell>
        </row>
        <row r="11210">
          <cell r="W11210">
            <v>0</v>
          </cell>
          <cell r="AB11210" t="str">
            <v>line item not tagged</v>
          </cell>
        </row>
        <row r="11211">
          <cell r="W11211">
            <v>0</v>
          </cell>
          <cell r="AB11211" t="str">
            <v>line item not tagged</v>
          </cell>
        </row>
        <row r="11212">
          <cell r="W11212">
            <v>0</v>
          </cell>
          <cell r="AB11212" t="str">
            <v>line item not tagged</v>
          </cell>
        </row>
        <row r="11213">
          <cell r="W11213">
            <v>0</v>
          </cell>
          <cell r="AB11213" t="str">
            <v>line item not tagged</v>
          </cell>
        </row>
        <row r="11214">
          <cell r="W11214">
            <v>0</v>
          </cell>
          <cell r="AB11214" t="str">
            <v>line item not tagged</v>
          </cell>
        </row>
        <row r="11215">
          <cell r="W11215">
            <v>0</v>
          </cell>
          <cell r="AB11215" t="str">
            <v>line item not tagged</v>
          </cell>
        </row>
        <row r="11216">
          <cell r="W11216">
            <v>0</v>
          </cell>
          <cell r="AB11216" t="str">
            <v>line item not tagged</v>
          </cell>
        </row>
        <row r="11217">
          <cell r="W11217">
            <v>0</v>
          </cell>
          <cell r="AB11217" t="str">
            <v>line item not tagged</v>
          </cell>
        </row>
        <row r="11218">
          <cell r="W11218">
            <v>0</v>
          </cell>
          <cell r="AB11218" t="str">
            <v>line item not tagged</v>
          </cell>
        </row>
        <row r="11219">
          <cell r="W11219">
            <v>0</v>
          </cell>
          <cell r="AB11219" t="str">
            <v>line item not tagged</v>
          </cell>
        </row>
        <row r="11220">
          <cell r="W11220">
            <v>0</v>
          </cell>
          <cell r="AB11220" t="str">
            <v>line item not tagged</v>
          </cell>
        </row>
        <row r="11221">
          <cell r="W11221">
            <v>0</v>
          </cell>
          <cell r="AB11221" t="str">
            <v>line item not tagged</v>
          </cell>
        </row>
        <row r="11222">
          <cell r="W11222">
            <v>0</v>
          </cell>
          <cell r="AB11222" t="str">
            <v>line item not tagged</v>
          </cell>
        </row>
        <row r="11223">
          <cell r="W11223">
            <v>0</v>
          </cell>
          <cell r="AB11223" t="str">
            <v>line item not tagged</v>
          </cell>
        </row>
        <row r="11224">
          <cell r="W11224">
            <v>0</v>
          </cell>
          <cell r="AB11224" t="str">
            <v>line item not tagged</v>
          </cell>
        </row>
        <row r="11225">
          <cell r="W11225">
            <v>0</v>
          </cell>
          <cell r="AB11225" t="str">
            <v>line item not tagged</v>
          </cell>
        </row>
        <row r="11226">
          <cell r="W11226">
            <v>0</v>
          </cell>
          <cell r="AB11226" t="str">
            <v>line item not tagged</v>
          </cell>
        </row>
        <row r="11227">
          <cell r="W11227">
            <v>0</v>
          </cell>
          <cell r="AB11227" t="str">
            <v>line item not tagged</v>
          </cell>
        </row>
        <row r="11228">
          <cell r="W11228">
            <v>0</v>
          </cell>
          <cell r="AB11228" t="str">
            <v>line item not tagged</v>
          </cell>
        </row>
        <row r="11229">
          <cell r="W11229">
            <v>0</v>
          </cell>
          <cell r="AB11229" t="str">
            <v>line item not tagged</v>
          </cell>
        </row>
        <row r="11230">
          <cell r="W11230">
            <v>0</v>
          </cell>
          <cell r="AB11230" t="str">
            <v>line item not tagged</v>
          </cell>
        </row>
        <row r="11231">
          <cell r="W11231">
            <v>0</v>
          </cell>
          <cell r="AB11231" t="str">
            <v>line item not tagged</v>
          </cell>
        </row>
        <row r="11232">
          <cell r="W11232">
            <v>0</v>
          </cell>
          <cell r="AB11232" t="str">
            <v>line item not tagged</v>
          </cell>
        </row>
        <row r="11233">
          <cell r="W11233">
            <v>0</v>
          </cell>
          <cell r="AB11233" t="str">
            <v>line item not tagged</v>
          </cell>
        </row>
        <row r="11234">
          <cell r="W11234">
            <v>0</v>
          </cell>
          <cell r="AB11234" t="str">
            <v>line item not tagged</v>
          </cell>
        </row>
        <row r="11235">
          <cell r="W11235">
            <v>0</v>
          </cell>
          <cell r="AB11235" t="str">
            <v>line item not tagged</v>
          </cell>
        </row>
        <row r="11236">
          <cell r="W11236">
            <v>0</v>
          </cell>
          <cell r="AB11236" t="str">
            <v>line item not tagged</v>
          </cell>
        </row>
        <row r="11237">
          <cell r="W11237">
            <v>0</v>
          </cell>
          <cell r="AB11237" t="str">
            <v>line item not tagged</v>
          </cell>
        </row>
        <row r="11238">
          <cell r="W11238">
            <v>0</v>
          </cell>
          <cell r="AB11238" t="str">
            <v>line item not tagged</v>
          </cell>
        </row>
        <row r="11239">
          <cell r="W11239">
            <v>0</v>
          </cell>
          <cell r="AB11239" t="str">
            <v>line item not tagged</v>
          </cell>
        </row>
        <row r="11240">
          <cell r="W11240">
            <v>0</v>
          </cell>
          <cell r="AB11240" t="str">
            <v>line item not tagged</v>
          </cell>
        </row>
        <row r="11241">
          <cell r="W11241">
            <v>0</v>
          </cell>
          <cell r="AB11241" t="str">
            <v>line item not tagged</v>
          </cell>
        </row>
        <row r="11242">
          <cell r="W11242">
            <v>0</v>
          </cell>
          <cell r="AB11242" t="str">
            <v>line item not tagged</v>
          </cell>
        </row>
        <row r="11243">
          <cell r="W11243">
            <v>0</v>
          </cell>
          <cell r="AB11243" t="str">
            <v>line item not tagged</v>
          </cell>
        </row>
        <row r="11244">
          <cell r="W11244">
            <v>0</v>
          </cell>
          <cell r="AB11244" t="str">
            <v>line item not tagged</v>
          </cell>
        </row>
        <row r="11245">
          <cell r="W11245">
            <v>0</v>
          </cell>
          <cell r="AB11245" t="str">
            <v>line item not tagged</v>
          </cell>
        </row>
        <row r="11246">
          <cell r="W11246">
            <v>0</v>
          </cell>
          <cell r="AB11246" t="str">
            <v>line item not tagged</v>
          </cell>
        </row>
        <row r="11247">
          <cell r="W11247">
            <v>0</v>
          </cell>
          <cell r="AB11247" t="str">
            <v>line item not tagged</v>
          </cell>
        </row>
        <row r="11248">
          <cell r="W11248">
            <v>0</v>
          </cell>
          <cell r="AB11248" t="str">
            <v>line item not tagged</v>
          </cell>
        </row>
        <row r="11249">
          <cell r="W11249">
            <v>0</v>
          </cell>
          <cell r="AB11249" t="str">
            <v>line item not tagged</v>
          </cell>
        </row>
        <row r="11250">
          <cell r="W11250">
            <v>0</v>
          </cell>
          <cell r="AB11250" t="str">
            <v>line item not tagged</v>
          </cell>
        </row>
        <row r="11251">
          <cell r="W11251">
            <v>0</v>
          </cell>
          <cell r="AB11251" t="str">
            <v>line item not tagged</v>
          </cell>
        </row>
        <row r="11252">
          <cell r="W11252">
            <v>0</v>
          </cell>
          <cell r="AB11252" t="str">
            <v>line item not tagged</v>
          </cell>
        </row>
        <row r="11253">
          <cell r="W11253">
            <v>0</v>
          </cell>
          <cell r="AB11253" t="str">
            <v>line item not tagged</v>
          </cell>
        </row>
        <row r="11254">
          <cell r="W11254">
            <v>0</v>
          </cell>
          <cell r="AB11254" t="str">
            <v>line item not tagged</v>
          </cell>
        </row>
        <row r="11255">
          <cell r="W11255">
            <v>0</v>
          </cell>
          <cell r="AB11255" t="str">
            <v>line item not tagged</v>
          </cell>
        </row>
        <row r="11256">
          <cell r="W11256">
            <v>0</v>
          </cell>
          <cell r="AB11256" t="str">
            <v>line item not tagged</v>
          </cell>
        </row>
        <row r="11257">
          <cell r="W11257">
            <v>0</v>
          </cell>
          <cell r="AB11257" t="str">
            <v>line item not tagged</v>
          </cell>
        </row>
        <row r="11258">
          <cell r="W11258">
            <v>0</v>
          </cell>
          <cell r="AB11258" t="str">
            <v>line item not tagged</v>
          </cell>
        </row>
        <row r="11259">
          <cell r="W11259">
            <v>0</v>
          </cell>
          <cell r="AB11259" t="str">
            <v>line item not tagged</v>
          </cell>
        </row>
        <row r="11260">
          <cell r="W11260">
            <v>0</v>
          </cell>
          <cell r="AB11260" t="str">
            <v>line item not tagged</v>
          </cell>
        </row>
        <row r="11261">
          <cell r="W11261">
            <v>0</v>
          </cell>
          <cell r="AB11261" t="str">
            <v>line item not tagged</v>
          </cell>
        </row>
        <row r="11262">
          <cell r="W11262">
            <v>0</v>
          </cell>
          <cell r="AB11262" t="str">
            <v>line item not tagged</v>
          </cell>
        </row>
        <row r="11263">
          <cell r="W11263">
            <v>0</v>
          </cell>
          <cell r="AB11263" t="str">
            <v>line item not tagged</v>
          </cell>
        </row>
        <row r="11264">
          <cell r="W11264">
            <v>0</v>
          </cell>
          <cell r="AB11264" t="str">
            <v>line item not tagged</v>
          </cell>
        </row>
        <row r="11265">
          <cell r="W11265">
            <v>0</v>
          </cell>
          <cell r="AB11265" t="str">
            <v>line item not tagged</v>
          </cell>
        </row>
        <row r="11266">
          <cell r="W11266">
            <v>0</v>
          </cell>
          <cell r="AB11266" t="str">
            <v>line item not tagged</v>
          </cell>
        </row>
        <row r="11267">
          <cell r="W11267">
            <v>0</v>
          </cell>
          <cell r="AB11267" t="str">
            <v>line item not tagged</v>
          </cell>
        </row>
        <row r="11268">
          <cell r="W11268">
            <v>0</v>
          </cell>
          <cell r="AB11268" t="str">
            <v>line item not tagged</v>
          </cell>
        </row>
        <row r="11269">
          <cell r="W11269">
            <v>0</v>
          </cell>
          <cell r="AB11269" t="str">
            <v>line item not tagged</v>
          </cell>
        </row>
        <row r="11270">
          <cell r="W11270">
            <v>0</v>
          </cell>
          <cell r="AB11270" t="str">
            <v>line item not tagged</v>
          </cell>
        </row>
        <row r="11271">
          <cell r="W11271">
            <v>0</v>
          </cell>
          <cell r="AB11271" t="str">
            <v>line item not tagged</v>
          </cell>
        </row>
        <row r="11272">
          <cell r="W11272">
            <v>0</v>
          </cell>
          <cell r="AB11272" t="str">
            <v>line item not tagged</v>
          </cell>
        </row>
        <row r="11273">
          <cell r="W11273">
            <v>0</v>
          </cell>
          <cell r="AB11273" t="str">
            <v>line item not tagged</v>
          </cell>
        </row>
        <row r="11274">
          <cell r="W11274">
            <v>0</v>
          </cell>
          <cell r="AB11274" t="str">
            <v>line item not tagged</v>
          </cell>
        </row>
        <row r="11275">
          <cell r="W11275">
            <v>0</v>
          </cell>
          <cell r="AB11275" t="str">
            <v>line item not tagged</v>
          </cell>
        </row>
        <row r="11276">
          <cell r="W11276">
            <v>0</v>
          </cell>
          <cell r="AB11276" t="str">
            <v>line item not tagged</v>
          </cell>
        </row>
        <row r="11277">
          <cell r="W11277">
            <v>0</v>
          </cell>
          <cell r="AB11277" t="str">
            <v>line item not tagged</v>
          </cell>
        </row>
        <row r="11278">
          <cell r="W11278">
            <v>0</v>
          </cell>
          <cell r="AB11278" t="str">
            <v>line item not tagged</v>
          </cell>
        </row>
        <row r="11279">
          <cell r="W11279">
            <v>0</v>
          </cell>
          <cell r="AB11279" t="str">
            <v>line item not tagged</v>
          </cell>
        </row>
        <row r="11280">
          <cell r="W11280">
            <v>0</v>
          </cell>
          <cell r="AB11280" t="str">
            <v>line item not tagged</v>
          </cell>
        </row>
        <row r="11281">
          <cell r="W11281">
            <v>0</v>
          </cell>
          <cell r="AB11281" t="str">
            <v>line item not tagged</v>
          </cell>
        </row>
        <row r="11282">
          <cell r="W11282">
            <v>0</v>
          </cell>
          <cell r="AB11282" t="str">
            <v>line item not tagged</v>
          </cell>
        </row>
        <row r="11283">
          <cell r="W11283">
            <v>0</v>
          </cell>
          <cell r="AB11283" t="str">
            <v>line item not tagged</v>
          </cell>
        </row>
        <row r="11284">
          <cell r="W11284">
            <v>0</v>
          </cell>
          <cell r="AB11284" t="str">
            <v>line item not tagged</v>
          </cell>
        </row>
        <row r="11285">
          <cell r="W11285">
            <v>0</v>
          </cell>
          <cell r="AB11285" t="str">
            <v>line item not tagged</v>
          </cell>
        </row>
        <row r="11286">
          <cell r="W11286">
            <v>0</v>
          </cell>
          <cell r="AB11286" t="str">
            <v>line item not tagged</v>
          </cell>
        </row>
        <row r="11287">
          <cell r="W11287">
            <v>0</v>
          </cell>
          <cell r="AB11287" t="str">
            <v>line item not tagged</v>
          </cell>
        </row>
        <row r="11288">
          <cell r="W11288">
            <v>0</v>
          </cell>
          <cell r="AB11288" t="str">
            <v>line item not tagged</v>
          </cell>
        </row>
        <row r="11289">
          <cell r="W11289">
            <v>0</v>
          </cell>
          <cell r="AB11289" t="str">
            <v>line item not tagged</v>
          </cell>
        </row>
        <row r="11290">
          <cell r="W11290">
            <v>0</v>
          </cell>
          <cell r="AB11290" t="str">
            <v>line item not tagged</v>
          </cell>
        </row>
        <row r="11291">
          <cell r="W11291">
            <v>0</v>
          </cell>
          <cell r="AB11291" t="str">
            <v>line item not tagged</v>
          </cell>
        </row>
        <row r="11292">
          <cell r="W11292">
            <v>0</v>
          </cell>
          <cell r="AB11292" t="str">
            <v>line item not tagged</v>
          </cell>
        </row>
        <row r="11293">
          <cell r="W11293">
            <v>0</v>
          </cell>
          <cell r="AB11293" t="str">
            <v>line item not tagged</v>
          </cell>
        </row>
        <row r="11294">
          <cell r="W11294">
            <v>0</v>
          </cell>
          <cell r="AB11294" t="str">
            <v>line item not tagged</v>
          </cell>
        </row>
        <row r="11295">
          <cell r="W11295">
            <v>0</v>
          </cell>
          <cell r="AB11295" t="str">
            <v>line item not tagged</v>
          </cell>
        </row>
        <row r="11296">
          <cell r="W11296">
            <v>0</v>
          </cell>
          <cell r="AB11296" t="str">
            <v>line item not tagged</v>
          </cell>
        </row>
        <row r="11297">
          <cell r="W11297">
            <v>0</v>
          </cell>
          <cell r="AB11297" t="str">
            <v>line item not tagged</v>
          </cell>
        </row>
        <row r="11298">
          <cell r="W11298">
            <v>0</v>
          </cell>
          <cell r="AB11298" t="str">
            <v>line item not tagged</v>
          </cell>
        </row>
        <row r="11299">
          <cell r="W11299">
            <v>0</v>
          </cell>
          <cell r="AB11299" t="str">
            <v>line item not tagged</v>
          </cell>
        </row>
        <row r="11300">
          <cell r="W11300">
            <v>0</v>
          </cell>
          <cell r="AB11300" t="str">
            <v>line item not tagged</v>
          </cell>
        </row>
        <row r="11301">
          <cell r="W11301">
            <v>0</v>
          </cell>
          <cell r="AB11301" t="str">
            <v>line item not tagged</v>
          </cell>
        </row>
        <row r="11302">
          <cell r="W11302">
            <v>0</v>
          </cell>
          <cell r="AB11302" t="str">
            <v>line item not tagged</v>
          </cell>
        </row>
        <row r="11303">
          <cell r="W11303">
            <v>0</v>
          </cell>
          <cell r="AB11303" t="str">
            <v>line item not tagged</v>
          </cell>
        </row>
        <row r="11304">
          <cell r="W11304">
            <v>0</v>
          </cell>
          <cell r="AB11304" t="str">
            <v>line item not tagged</v>
          </cell>
        </row>
        <row r="11305">
          <cell r="W11305">
            <v>0</v>
          </cell>
          <cell r="AB11305" t="str">
            <v>line item not tagged</v>
          </cell>
        </row>
        <row r="11306">
          <cell r="W11306">
            <v>0</v>
          </cell>
          <cell r="AB11306" t="str">
            <v>line item not tagged</v>
          </cell>
        </row>
        <row r="11307">
          <cell r="W11307">
            <v>0</v>
          </cell>
          <cell r="AB11307" t="str">
            <v>line item not tagged</v>
          </cell>
        </row>
        <row r="11308">
          <cell r="W11308">
            <v>0</v>
          </cell>
          <cell r="AB11308" t="str">
            <v>line item not tagged</v>
          </cell>
        </row>
        <row r="11309">
          <cell r="W11309">
            <v>0</v>
          </cell>
          <cell r="AB11309" t="str">
            <v>line item not tagged</v>
          </cell>
        </row>
        <row r="11310">
          <cell r="W11310">
            <v>0</v>
          </cell>
          <cell r="AB11310" t="str">
            <v>line item not tagged</v>
          </cell>
        </row>
        <row r="11311">
          <cell r="W11311">
            <v>0</v>
          </cell>
          <cell r="AB11311" t="str">
            <v>line item not tagged</v>
          </cell>
        </row>
        <row r="11312">
          <cell r="W11312">
            <v>0</v>
          </cell>
          <cell r="AB11312" t="str">
            <v>line item not tagged</v>
          </cell>
        </row>
        <row r="11313">
          <cell r="W11313">
            <v>0</v>
          </cell>
          <cell r="AB11313" t="str">
            <v>line item not tagged</v>
          </cell>
        </row>
        <row r="11314">
          <cell r="W11314">
            <v>0</v>
          </cell>
          <cell r="AB11314" t="str">
            <v>line item not tagged</v>
          </cell>
        </row>
        <row r="11315">
          <cell r="W11315">
            <v>0</v>
          </cell>
          <cell r="AB11315" t="str">
            <v>line item not tagged</v>
          </cell>
        </row>
        <row r="11316">
          <cell r="W11316">
            <v>0</v>
          </cell>
          <cell r="AB11316" t="str">
            <v>line item not tagged</v>
          </cell>
        </row>
        <row r="11317">
          <cell r="W11317">
            <v>0</v>
          </cell>
          <cell r="AB11317" t="str">
            <v>line item not tagged</v>
          </cell>
        </row>
        <row r="11318">
          <cell r="W11318">
            <v>0</v>
          </cell>
          <cell r="AB11318" t="str">
            <v>line item not tagged</v>
          </cell>
        </row>
        <row r="11319">
          <cell r="W11319">
            <v>0</v>
          </cell>
          <cell r="AB11319" t="str">
            <v>line item not tagged</v>
          </cell>
        </row>
        <row r="11320">
          <cell r="W11320">
            <v>0</v>
          </cell>
          <cell r="AB11320" t="str">
            <v>line item not tagged</v>
          </cell>
        </row>
        <row r="11321">
          <cell r="W11321">
            <v>0</v>
          </cell>
          <cell r="AB11321" t="str">
            <v>line item not tagged</v>
          </cell>
        </row>
        <row r="11322">
          <cell r="W11322">
            <v>0</v>
          </cell>
          <cell r="AB11322" t="str">
            <v>line item not tagged</v>
          </cell>
        </row>
        <row r="11323">
          <cell r="W11323">
            <v>0</v>
          </cell>
          <cell r="AB11323" t="str">
            <v>line item not tagged</v>
          </cell>
        </row>
        <row r="11324">
          <cell r="W11324">
            <v>0</v>
          </cell>
          <cell r="AB11324" t="str">
            <v>line item not tagged</v>
          </cell>
        </row>
        <row r="11325">
          <cell r="W11325">
            <v>0</v>
          </cell>
          <cell r="AB11325" t="str">
            <v>line item not tagged</v>
          </cell>
        </row>
        <row r="11326">
          <cell r="W11326">
            <v>0</v>
          </cell>
          <cell r="AB11326" t="str">
            <v>line item not tagged</v>
          </cell>
        </row>
        <row r="11327">
          <cell r="W11327">
            <v>0</v>
          </cell>
          <cell r="AB11327" t="str">
            <v>line item not tagged</v>
          </cell>
        </row>
        <row r="11328">
          <cell r="W11328">
            <v>0</v>
          </cell>
          <cell r="AB11328" t="str">
            <v>line item not tagged</v>
          </cell>
        </row>
        <row r="11329">
          <cell r="W11329">
            <v>0</v>
          </cell>
          <cell r="AB11329" t="str">
            <v>line item not tagged</v>
          </cell>
        </row>
        <row r="11330">
          <cell r="W11330">
            <v>0</v>
          </cell>
          <cell r="AB11330" t="str">
            <v>line item not tagged</v>
          </cell>
        </row>
        <row r="11331">
          <cell r="W11331">
            <v>0</v>
          </cell>
          <cell r="AB11331" t="str">
            <v>line item not tagged</v>
          </cell>
        </row>
        <row r="11332">
          <cell r="W11332">
            <v>0</v>
          </cell>
          <cell r="AB11332" t="str">
            <v>line item not tagged</v>
          </cell>
        </row>
        <row r="11333">
          <cell r="W11333">
            <v>0</v>
          </cell>
          <cell r="AB11333" t="str">
            <v>line item not tagged</v>
          </cell>
        </row>
        <row r="11334">
          <cell r="W11334">
            <v>0</v>
          </cell>
          <cell r="AB11334" t="str">
            <v>line item not tagged</v>
          </cell>
        </row>
        <row r="11335">
          <cell r="W11335">
            <v>0</v>
          </cell>
          <cell r="AB11335" t="str">
            <v>line item not tagged</v>
          </cell>
        </row>
        <row r="11336">
          <cell r="W11336">
            <v>0</v>
          </cell>
          <cell r="AB11336" t="str">
            <v>line item not tagged</v>
          </cell>
        </row>
        <row r="11337">
          <cell r="W11337">
            <v>0</v>
          </cell>
          <cell r="AB11337" t="str">
            <v>line item not tagged</v>
          </cell>
        </row>
        <row r="11338">
          <cell r="W11338">
            <v>0</v>
          </cell>
          <cell r="AB11338" t="str">
            <v>line item not tagged</v>
          </cell>
        </row>
        <row r="11339">
          <cell r="W11339">
            <v>0</v>
          </cell>
          <cell r="AB11339" t="str">
            <v>line item not tagged</v>
          </cell>
        </row>
        <row r="11340">
          <cell r="W11340">
            <v>0</v>
          </cell>
          <cell r="AB11340" t="str">
            <v>line item not tagged</v>
          </cell>
        </row>
        <row r="11341">
          <cell r="W11341">
            <v>0</v>
          </cell>
          <cell r="AB11341" t="str">
            <v>line item not tagged</v>
          </cell>
        </row>
        <row r="11342">
          <cell r="W11342">
            <v>0</v>
          </cell>
          <cell r="AB11342" t="str">
            <v>line item not tagged</v>
          </cell>
        </row>
        <row r="11343">
          <cell r="W11343">
            <v>0</v>
          </cell>
          <cell r="AB11343" t="str">
            <v>line item not tagged</v>
          </cell>
        </row>
        <row r="11344">
          <cell r="W11344">
            <v>0</v>
          </cell>
          <cell r="AB11344" t="str">
            <v>line item not tagged</v>
          </cell>
        </row>
        <row r="11345">
          <cell r="W11345">
            <v>0</v>
          </cell>
          <cell r="AB11345" t="str">
            <v>line item not tagged</v>
          </cell>
        </row>
        <row r="11346">
          <cell r="W11346">
            <v>0</v>
          </cell>
          <cell r="AB11346" t="str">
            <v>line item not tagged</v>
          </cell>
        </row>
        <row r="11347">
          <cell r="W11347">
            <v>0</v>
          </cell>
          <cell r="AB11347" t="str">
            <v>line item not tagged</v>
          </cell>
        </row>
        <row r="11348">
          <cell r="W11348">
            <v>0</v>
          </cell>
          <cell r="AB11348" t="str">
            <v>line item not tagged</v>
          </cell>
        </row>
        <row r="11349">
          <cell r="W11349">
            <v>0</v>
          </cell>
          <cell r="AB11349" t="str">
            <v>line item not tagged</v>
          </cell>
        </row>
        <row r="11350">
          <cell r="W11350">
            <v>0</v>
          </cell>
          <cell r="AB11350" t="str">
            <v>line item not tagged</v>
          </cell>
        </row>
        <row r="11351">
          <cell r="W11351">
            <v>0</v>
          </cell>
          <cell r="AB11351" t="str">
            <v>line item not tagged</v>
          </cell>
        </row>
        <row r="11352">
          <cell r="W11352">
            <v>0</v>
          </cell>
          <cell r="AB11352" t="str">
            <v>line item not tagged</v>
          </cell>
        </row>
        <row r="11353">
          <cell r="W11353">
            <v>0</v>
          </cell>
          <cell r="AB11353" t="str">
            <v>line item not tagged</v>
          </cell>
        </row>
        <row r="11354">
          <cell r="W11354">
            <v>0</v>
          </cell>
          <cell r="AB11354" t="str">
            <v>line item not tagged</v>
          </cell>
        </row>
        <row r="11355">
          <cell r="W11355">
            <v>0</v>
          </cell>
          <cell r="AB11355" t="str">
            <v>line item not tagged</v>
          </cell>
        </row>
        <row r="11356">
          <cell r="W11356">
            <v>0</v>
          </cell>
          <cell r="AB11356" t="str">
            <v>line item not tagged</v>
          </cell>
        </row>
        <row r="11357">
          <cell r="W11357">
            <v>0</v>
          </cell>
          <cell r="AB11357" t="str">
            <v>line item not tagged</v>
          </cell>
        </row>
        <row r="11358">
          <cell r="W11358">
            <v>0</v>
          </cell>
          <cell r="AB11358" t="str">
            <v>line item not tagged</v>
          </cell>
        </row>
        <row r="11359">
          <cell r="W11359">
            <v>0</v>
          </cell>
          <cell r="AB11359" t="str">
            <v>line item not tagged</v>
          </cell>
        </row>
        <row r="11360">
          <cell r="W11360">
            <v>0</v>
          </cell>
          <cell r="AB11360" t="str">
            <v>line item not tagged</v>
          </cell>
        </row>
        <row r="11361">
          <cell r="W11361">
            <v>0</v>
          </cell>
          <cell r="AB11361" t="str">
            <v>line item not tagged</v>
          </cell>
        </row>
        <row r="11362">
          <cell r="W11362">
            <v>0</v>
          </cell>
          <cell r="AB11362" t="str">
            <v>line item not tagged</v>
          </cell>
        </row>
        <row r="11363">
          <cell r="W11363">
            <v>0</v>
          </cell>
          <cell r="AB11363" t="str">
            <v>line item not tagged</v>
          </cell>
        </row>
        <row r="11364">
          <cell r="W11364">
            <v>0</v>
          </cell>
          <cell r="AB11364" t="str">
            <v>line item not tagged</v>
          </cell>
        </row>
        <row r="11365">
          <cell r="W11365">
            <v>0</v>
          </cell>
          <cell r="AB11365" t="str">
            <v>line item not tagged</v>
          </cell>
        </row>
        <row r="11366">
          <cell r="W11366">
            <v>0</v>
          </cell>
          <cell r="AB11366" t="str">
            <v>line item not tagged</v>
          </cell>
        </row>
        <row r="11367">
          <cell r="W11367">
            <v>0</v>
          </cell>
          <cell r="AB11367" t="str">
            <v>line item not tagged</v>
          </cell>
        </row>
        <row r="11368">
          <cell r="W11368">
            <v>0</v>
          </cell>
          <cell r="AB11368" t="str">
            <v>line item not tagged</v>
          </cell>
        </row>
        <row r="11369">
          <cell r="W11369">
            <v>0</v>
          </cell>
          <cell r="AB11369" t="str">
            <v>line item not tagged</v>
          </cell>
        </row>
        <row r="11370">
          <cell r="W11370">
            <v>0</v>
          </cell>
          <cell r="AB11370" t="str">
            <v>line item not tagged</v>
          </cell>
        </row>
        <row r="11371">
          <cell r="W11371">
            <v>0</v>
          </cell>
          <cell r="AB11371" t="str">
            <v>line item not tagged</v>
          </cell>
        </row>
        <row r="11372">
          <cell r="W11372">
            <v>0</v>
          </cell>
          <cell r="AB11372" t="str">
            <v>line item not tagged</v>
          </cell>
        </row>
        <row r="11373">
          <cell r="W11373">
            <v>0</v>
          </cell>
          <cell r="AB11373" t="str">
            <v>line item not tagged</v>
          </cell>
        </row>
        <row r="11374">
          <cell r="W11374">
            <v>0</v>
          </cell>
          <cell r="AB11374" t="str">
            <v>line item not tagged</v>
          </cell>
        </row>
        <row r="11375">
          <cell r="W11375">
            <v>0</v>
          </cell>
          <cell r="AB11375" t="str">
            <v>line item not tagged</v>
          </cell>
        </row>
        <row r="11376">
          <cell r="W11376">
            <v>0</v>
          </cell>
          <cell r="AB11376" t="str">
            <v>line item not tagged</v>
          </cell>
        </row>
        <row r="11377">
          <cell r="W11377">
            <v>0</v>
          </cell>
          <cell r="AB11377" t="str">
            <v>line item not tagged</v>
          </cell>
        </row>
        <row r="11378">
          <cell r="W11378">
            <v>0</v>
          </cell>
          <cell r="AB11378" t="str">
            <v>line item not tagged</v>
          </cell>
        </row>
        <row r="11379">
          <cell r="W11379">
            <v>0</v>
          </cell>
          <cell r="AB11379" t="str">
            <v>line item not tagged</v>
          </cell>
        </row>
        <row r="11380">
          <cell r="W11380">
            <v>0</v>
          </cell>
          <cell r="AB11380" t="str">
            <v>line item not tagged</v>
          </cell>
        </row>
        <row r="11381">
          <cell r="W11381">
            <v>0</v>
          </cell>
          <cell r="AB11381" t="str">
            <v>line item not tagged</v>
          </cell>
        </row>
        <row r="11382">
          <cell r="W11382">
            <v>0</v>
          </cell>
          <cell r="AB11382" t="str">
            <v>line item not tagged</v>
          </cell>
        </row>
        <row r="11383">
          <cell r="W11383">
            <v>0</v>
          </cell>
          <cell r="AB11383" t="str">
            <v>line item not tagged</v>
          </cell>
        </row>
        <row r="11384">
          <cell r="W11384">
            <v>0</v>
          </cell>
          <cell r="AB11384" t="str">
            <v>line item not tagged</v>
          </cell>
        </row>
        <row r="11385">
          <cell r="W11385">
            <v>0</v>
          </cell>
          <cell r="AB11385" t="str">
            <v>line item not tagged</v>
          </cell>
        </row>
        <row r="11386">
          <cell r="W11386">
            <v>0</v>
          </cell>
          <cell r="AB11386" t="str">
            <v>line item not tagged</v>
          </cell>
        </row>
        <row r="11387">
          <cell r="W11387">
            <v>0</v>
          </cell>
          <cell r="AB11387" t="str">
            <v>line item not tagged</v>
          </cell>
        </row>
        <row r="11388">
          <cell r="W11388">
            <v>0</v>
          </cell>
          <cell r="AB11388" t="str">
            <v>line item not tagged</v>
          </cell>
        </row>
        <row r="11389">
          <cell r="W11389">
            <v>0</v>
          </cell>
          <cell r="AB11389" t="str">
            <v>line item not tagged</v>
          </cell>
        </row>
        <row r="11390">
          <cell r="W11390">
            <v>0</v>
          </cell>
          <cell r="AB11390" t="str">
            <v>line item not tagged</v>
          </cell>
        </row>
        <row r="11391">
          <cell r="W11391">
            <v>0</v>
          </cell>
          <cell r="AB11391" t="str">
            <v>line item not tagged</v>
          </cell>
        </row>
        <row r="11392">
          <cell r="W11392">
            <v>0</v>
          </cell>
          <cell r="AB11392" t="str">
            <v>line item not tagged</v>
          </cell>
        </row>
        <row r="11393">
          <cell r="W11393">
            <v>0</v>
          </cell>
          <cell r="AB11393" t="str">
            <v>line item not tagged</v>
          </cell>
        </row>
        <row r="11394">
          <cell r="W11394">
            <v>0</v>
          </cell>
          <cell r="AB11394" t="str">
            <v>line item not tagged</v>
          </cell>
        </row>
        <row r="11395">
          <cell r="W11395">
            <v>0</v>
          </cell>
          <cell r="AB11395" t="str">
            <v>line item not tagged</v>
          </cell>
        </row>
        <row r="11396">
          <cell r="W11396">
            <v>0</v>
          </cell>
          <cell r="AB11396" t="str">
            <v>line item not tagged</v>
          </cell>
        </row>
        <row r="11397">
          <cell r="W11397">
            <v>0</v>
          </cell>
          <cell r="AB11397" t="str">
            <v>line item not tagged</v>
          </cell>
        </row>
        <row r="11398">
          <cell r="W11398">
            <v>0</v>
          </cell>
          <cell r="AB11398" t="str">
            <v>line item not tagged</v>
          </cell>
        </row>
        <row r="11399">
          <cell r="W11399">
            <v>0</v>
          </cell>
          <cell r="AB11399" t="str">
            <v>line item not tagged</v>
          </cell>
        </row>
        <row r="11400">
          <cell r="W11400">
            <v>0</v>
          </cell>
          <cell r="AB11400" t="str">
            <v>line item not tagged</v>
          </cell>
        </row>
        <row r="11401">
          <cell r="W11401">
            <v>0</v>
          </cell>
          <cell r="AB11401" t="str">
            <v>line item not tagged</v>
          </cell>
        </row>
        <row r="11402">
          <cell r="W11402">
            <v>0</v>
          </cell>
          <cell r="AB11402" t="str">
            <v>line item not tagged</v>
          </cell>
        </row>
        <row r="11403">
          <cell r="W11403">
            <v>0</v>
          </cell>
          <cell r="AB11403" t="str">
            <v>line item not tagged</v>
          </cell>
        </row>
        <row r="11404">
          <cell r="W11404">
            <v>0</v>
          </cell>
          <cell r="AB11404" t="str">
            <v>line item not tagged</v>
          </cell>
        </row>
        <row r="11405">
          <cell r="W11405">
            <v>0</v>
          </cell>
          <cell r="AB11405" t="str">
            <v>line item not tagged</v>
          </cell>
        </row>
        <row r="11406">
          <cell r="W11406">
            <v>0</v>
          </cell>
          <cell r="AB11406" t="str">
            <v>line item not tagged</v>
          </cell>
        </row>
        <row r="11407">
          <cell r="W11407">
            <v>0</v>
          </cell>
          <cell r="AB11407" t="str">
            <v>line item not tagged</v>
          </cell>
        </row>
        <row r="11408">
          <cell r="W11408">
            <v>0</v>
          </cell>
          <cell r="AB11408" t="str">
            <v>line item not tagged</v>
          </cell>
        </row>
        <row r="11409">
          <cell r="W11409">
            <v>0</v>
          </cell>
          <cell r="AB11409" t="str">
            <v>line item not tagged</v>
          </cell>
        </row>
        <row r="11410">
          <cell r="W11410">
            <v>0</v>
          </cell>
          <cell r="AB11410" t="str">
            <v>line item not tagged</v>
          </cell>
        </row>
        <row r="11411">
          <cell r="W11411">
            <v>0</v>
          </cell>
          <cell r="AB11411" t="str">
            <v>line item not tagged</v>
          </cell>
        </row>
        <row r="11412">
          <cell r="W11412">
            <v>0</v>
          </cell>
          <cell r="AB11412" t="str">
            <v>line item not tagged</v>
          </cell>
        </row>
        <row r="11413">
          <cell r="W11413">
            <v>0</v>
          </cell>
          <cell r="AB11413" t="str">
            <v>line item not tagged</v>
          </cell>
        </row>
        <row r="11414">
          <cell r="W11414">
            <v>0</v>
          </cell>
          <cell r="AB11414" t="str">
            <v>line item not tagged</v>
          </cell>
        </row>
        <row r="11415">
          <cell r="W11415">
            <v>0</v>
          </cell>
          <cell r="AB11415" t="str">
            <v>line item not tagged</v>
          </cell>
        </row>
        <row r="11416">
          <cell r="W11416">
            <v>0</v>
          </cell>
          <cell r="AB11416" t="str">
            <v>line item not tagged</v>
          </cell>
        </row>
        <row r="11417">
          <cell r="W11417">
            <v>0</v>
          </cell>
          <cell r="AB11417" t="str">
            <v>line item not tagged</v>
          </cell>
        </row>
        <row r="11418">
          <cell r="W11418">
            <v>0</v>
          </cell>
          <cell r="AB11418" t="str">
            <v>line item not tagged</v>
          </cell>
        </row>
        <row r="11419">
          <cell r="W11419">
            <v>0</v>
          </cell>
          <cell r="AB11419" t="str">
            <v>line item not tagged</v>
          </cell>
        </row>
        <row r="11420">
          <cell r="W11420">
            <v>0</v>
          </cell>
          <cell r="AB11420" t="str">
            <v>line item not tagged</v>
          </cell>
        </row>
        <row r="11421">
          <cell r="W11421">
            <v>0</v>
          </cell>
          <cell r="AB11421" t="str">
            <v>line item not tagged</v>
          </cell>
        </row>
        <row r="11422">
          <cell r="W11422">
            <v>0</v>
          </cell>
          <cell r="AB11422" t="str">
            <v>line item not tagged</v>
          </cell>
        </row>
        <row r="11423">
          <cell r="W11423">
            <v>0</v>
          </cell>
          <cell r="AB11423" t="str">
            <v>line item not tagged</v>
          </cell>
        </row>
        <row r="11424">
          <cell r="W11424">
            <v>0</v>
          </cell>
          <cell r="AB11424" t="str">
            <v>line item not tagged</v>
          </cell>
        </row>
        <row r="11425">
          <cell r="W11425">
            <v>0</v>
          </cell>
          <cell r="AB11425" t="str">
            <v>line item not tagged</v>
          </cell>
        </row>
        <row r="11426">
          <cell r="W11426">
            <v>0</v>
          </cell>
          <cell r="AB11426" t="str">
            <v>line item not tagged</v>
          </cell>
        </row>
        <row r="11427">
          <cell r="W11427">
            <v>0</v>
          </cell>
          <cell r="AB11427" t="str">
            <v>line item not tagged</v>
          </cell>
        </row>
        <row r="11428">
          <cell r="W11428">
            <v>0</v>
          </cell>
          <cell r="AB11428" t="str">
            <v>line item not tagged</v>
          </cell>
        </row>
        <row r="11429">
          <cell r="W11429">
            <v>0</v>
          </cell>
          <cell r="AB11429" t="str">
            <v>line item not tagged</v>
          </cell>
        </row>
        <row r="11430">
          <cell r="W11430">
            <v>0</v>
          </cell>
          <cell r="AB11430" t="str">
            <v>line item not tagged</v>
          </cell>
        </row>
        <row r="11431">
          <cell r="W11431">
            <v>0</v>
          </cell>
          <cell r="AB11431" t="str">
            <v>line item not tagged</v>
          </cell>
        </row>
        <row r="11432">
          <cell r="W11432">
            <v>0</v>
          </cell>
          <cell r="AB11432" t="str">
            <v>line item not tagged</v>
          </cell>
        </row>
        <row r="11433">
          <cell r="W11433">
            <v>0</v>
          </cell>
          <cell r="AB11433" t="str">
            <v>line item not tagged</v>
          </cell>
        </row>
        <row r="11434">
          <cell r="W11434">
            <v>0</v>
          </cell>
          <cell r="AB11434" t="str">
            <v>line item not tagged</v>
          </cell>
        </row>
        <row r="11435">
          <cell r="W11435">
            <v>0</v>
          </cell>
          <cell r="AB11435" t="str">
            <v>line item not tagged</v>
          </cell>
        </row>
        <row r="11436">
          <cell r="W11436">
            <v>0</v>
          </cell>
          <cell r="AB11436" t="str">
            <v>line item not tagged</v>
          </cell>
        </row>
        <row r="11437">
          <cell r="W11437">
            <v>0</v>
          </cell>
          <cell r="AB11437" t="str">
            <v>line item not tagged</v>
          </cell>
        </row>
        <row r="11438">
          <cell r="W11438">
            <v>0</v>
          </cell>
          <cell r="AB11438" t="str">
            <v>line item not tagged</v>
          </cell>
        </row>
        <row r="11439">
          <cell r="W11439">
            <v>0</v>
          </cell>
          <cell r="AB11439" t="str">
            <v>line item not tagged</v>
          </cell>
        </row>
        <row r="11440">
          <cell r="W11440">
            <v>0</v>
          </cell>
          <cell r="AB11440" t="str">
            <v>line item not tagged</v>
          </cell>
        </row>
        <row r="11441">
          <cell r="W11441">
            <v>0</v>
          </cell>
          <cell r="AB11441" t="str">
            <v>line item not tagged</v>
          </cell>
        </row>
        <row r="11442">
          <cell r="W11442">
            <v>0</v>
          </cell>
          <cell r="AB11442" t="str">
            <v>line item not tagged</v>
          </cell>
        </row>
        <row r="11443">
          <cell r="W11443">
            <v>0</v>
          </cell>
          <cell r="AB11443" t="str">
            <v>line item not tagged</v>
          </cell>
        </row>
        <row r="11444">
          <cell r="W11444">
            <v>0</v>
          </cell>
          <cell r="AB11444" t="str">
            <v>line item not tagged</v>
          </cell>
        </row>
        <row r="11445">
          <cell r="W11445">
            <v>0</v>
          </cell>
          <cell r="AB11445" t="str">
            <v>line item not tagged</v>
          </cell>
        </row>
        <row r="11446">
          <cell r="W11446">
            <v>0</v>
          </cell>
          <cell r="AB11446" t="str">
            <v>line item not tagged</v>
          </cell>
        </row>
        <row r="11447">
          <cell r="W11447">
            <v>0</v>
          </cell>
          <cell r="AB11447" t="str">
            <v>line item not tagged</v>
          </cell>
        </row>
        <row r="11448">
          <cell r="W11448">
            <v>0</v>
          </cell>
          <cell r="AB11448" t="str">
            <v>line item not tagged</v>
          </cell>
        </row>
        <row r="11449">
          <cell r="W11449">
            <v>0</v>
          </cell>
          <cell r="AB11449" t="str">
            <v>line item not tagged</v>
          </cell>
        </row>
        <row r="11450">
          <cell r="W11450">
            <v>0</v>
          </cell>
          <cell r="AB11450" t="str">
            <v>line item not tagged</v>
          </cell>
        </row>
        <row r="11451">
          <cell r="W11451">
            <v>0</v>
          </cell>
          <cell r="AB11451" t="str">
            <v>line item not tagged</v>
          </cell>
        </row>
        <row r="11452">
          <cell r="W11452">
            <v>0</v>
          </cell>
          <cell r="AB11452" t="str">
            <v>line item not tagged</v>
          </cell>
        </row>
        <row r="11453">
          <cell r="W11453">
            <v>0</v>
          </cell>
          <cell r="AB11453" t="str">
            <v>line item not tagged</v>
          </cell>
        </row>
        <row r="11454">
          <cell r="W11454">
            <v>0</v>
          </cell>
          <cell r="AB11454" t="str">
            <v>line item not tagged</v>
          </cell>
        </row>
        <row r="11455">
          <cell r="W11455">
            <v>0</v>
          </cell>
          <cell r="AB11455" t="str">
            <v>line item not tagged</v>
          </cell>
        </row>
        <row r="11456">
          <cell r="W11456">
            <v>0</v>
          </cell>
          <cell r="AB11456" t="str">
            <v>line item not tagged</v>
          </cell>
        </row>
        <row r="11457">
          <cell r="W11457">
            <v>0</v>
          </cell>
          <cell r="AB11457" t="str">
            <v>line item not tagged</v>
          </cell>
        </row>
        <row r="11458">
          <cell r="W11458">
            <v>0</v>
          </cell>
          <cell r="AB11458" t="str">
            <v>line item not tagged</v>
          </cell>
        </row>
        <row r="11459">
          <cell r="W11459">
            <v>0</v>
          </cell>
          <cell r="AB11459" t="str">
            <v>line item not tagged</v>
          </cell>
        </row>
        <row r="11460">
          <cell r="W11460">
            <v>0</v>
          </cell>
          <cell r="AB11460" t="str">
            <v>line item not tagged</v>
          </cell>
        </row>
        <row r="11461">
          <cell r="W11461">
            <v>0</v>
          </cell>
          <cell r="AB11461" t="str">
            <v>line item not tagged</v>
          </cell>
        </row>
        <row r="11462">
          <cell r="W11462">
            <v>0</v>
          </cell>
          <cell r="AB11462" t="str">
            <v>line item not tagged</v>
          </cell>
        </row>
        <row r="11463">
          <cell r="W11463">
            <v>0</v>
          </cell>
          <cell r="AB11463" t="str">
            <v>line item not tagged</v>
          </cell>
        </row>
        <row r="11464">
          <cell r="W11464">
            <v>0</v>
          </cell>
          <cell r="AB11464" t="str">
            <v>line item not tagged</v>
          </cell>
        </row>
        <row r="11465">
          <cell r="W11465">
            <v>0</v>
          </cell>
          <cell r="AB11465" t="str">
            <v>line item not tagged</v>
          </cell>
        </row>
        <row r="11466">
          <cell r="W11466">
            <v>0</v>
          </cell>
          <cell r="AB11466" t="str">
            <v>line item not tagged</v>
          </cell>
        </row>
        <row r="11467">
          <cell r="W11467">
            <v>0</v>
          </cell>
          <cell r="AB11467" t="str">
            <v>line item not tagged</v>
          </cell>
        </row>
        <row r="11468">
          <cell r="W11468">
            <v>0</v>
          </cell>
          <cell r="AB11468" t="str">
            <v>line item not tagged</v>
          </cell>
        </row>
        <row r="11469">
          <cell r="W11469">
            <v>0</v>
          </cell>
          <cell r="AB11469" t="str">
            <v>line item not tagged</v>
          </cell>
        </row>
        <row r="11470">
          <cell r="W11470">
            <v>0</v>
          </cell>
          <cell r="AB11470" t="str">
            <v>line item not tagged</v>
          </cell>
        </row>
        <row r="11471">
          <cell r="W11471">
            <v>0</v>
          </cell>
          <cell r="AB11471" t="str">
            <v>line item not tagged</v>
          </cell>
        </row>
        <row r="11472">
          <cell r="W11472">
            <v>0</v>
          </cell>
          <cell r="AB11472" t="str">
            <v>line item not tagged</v>
          </cell>
        </row>
        <row r="11473">
          <cell r="W11473">
            <v>0</v>
          </cell>
          <cell r="AB11473" t="str">
            <v>line item not tagged</v>
          </cell>
        </row>
        <row r="11474">
          <cell r="W11474">
            <v>0</v>
          </cell>
          <cell r="AB11474" t="str">
            <v>line item not tagged</v>
          </cell>
        </row>
        <row r="11475">
          <cell r="W11475">
            <v>0</v>
          </cell>
          <cell r="AB11475" t="str">
            <v>line item not tagged</v>
          </cell>
        </row>
        <row r="11476">
          <cell r="W11476">
            <v>0</v>
          </cell>
          <cell r="AB11476" t="str">
            <v>line item not tagged</v>
          </cell>
        </row>
        <row r="11477">
          <cell r="W11477">
            <v>0</v>
          </cell>
          <cell r="AB11477" t="str">
            <v>line item not tagged</v>
          </cell>
        </row>
        <row r="11478">
          <cell r="W11478">
            <v>0</v>
          </cell>
          <cell r="AB11478" t="str">
            <v>line item not tagged</v>
          </cell>
        </row>
        <row r="11479">
          <cell r="W11479">
            <v>0</v>
          </cell>
          <cell r="AB11479" t="str">
            <v>line item not tagged</v>
          </cell>
        </row>
        <row r="11480">
          <cell r="W11480">
            <v>0</v>
          </cell>
          <cell r="AB11480" t="str">
            <v>line item not tagged</v>
          </cell>
        </row>
        <row r="11481">
          <cell r="W11481">
            <v>0</v>
          </cell>
          <cell r="AB11481" t="str">
            <v>line item not tagged</v>
          </cell>
        </row>
        <row r="11482">
          <cell r="W11482">
            <v>0</v>
          </cell>
          <cell r="AB11482" t="str">
            <v>line item not tagged</v>
          </cell>
        </row>
        <row r="11483">
          <cell r="W11483">
            <v>0</v>
          </cell>
          <cell r="AB11483" t="str">
            <v>line item not tagged</v>
          </cell>
        </row>
        <row r="11484">
          <cell r="W11484">
            <v>0</v>
          </cell>
          <cell r="AB11484" t="str">
            <v>line item not tagged</v>
          </cell>
        </row>
        <row r="11485">
          <cell r="W11485">
            <v>0</v>
          </cell>
          <cell r="AB11485" t="str">
            <v>line item not tagged</v>
          </cell>
        </row>
        <row r="11486">
          <cell r="W11486">
            <v>0</v>
          </cell>
          <cell r="AB11486" t="str">
            <v>line item not tagged</v>
          </cell>
        </row>
        <row r="11487">
          <cell r="W11487">
            <v>0</v>
          </cell>
          <cell r="AB11487" t="str">
            <v>line item not tagged</v>
          </cell>
        </row>
        <row r="11488">
          <cell r="W11488">
            <v>0</v>
          </cell>
          <cell r="AB11488" t="str">
            <v>line item not tagged</v>
          </cell>
        </row>
        <row r="11489">
          <cell r="W11489">
            <v>0</v>
          </cell>
          <cell r="AB11489" t="str">
            <v>line item not tagged</v>
          </cell>
        </row>
        <row r="11490">
          <cell r="W11490">
            <v>0</v>
          </cell>
          <cell r="AB11490" t="str">
            <v>line item not tagged</v>
          </cell>
        </row>
        <row r="11491">
          <cell r="W11491">
            <v>0</v>
          </cell>
          <cell r="AB11491" t="str">
            <v>line item not tagged</v>
          </cell>
        </row>
        <row r="11492">
          <cell r="W11492">
            <v>0</v>
          </cell>
          <cell r="AB11492" t="str">
            <v>line item not tagged</v>
          </cell>
        </row>
        <row r="11493">
          <cell r="W11493">
            <v>0</v>
          </cell>
          <cell r="AB11493" t="str">
            <v>line item not tagged</v>
          </cell>
        </row>
        <row r="11494">
          <cell r="W11494">
            <v>0</v>
          </cell>
          <cell r="AB11494" t="str">
            <v>line item not tagged</v>
          </cell>
        </row>
        <row r="11495">
          <cell r="W11495">
            <v>0</v>
          </cell>
          <cell r="AB11495" t="str">
            <v>line item not tagged</v>
          </cell>
        </row>
        <row r="11496">
          <cell r="W11496">
            <v>0</v>
          </cell>
          <cell r="AB11496" t="str">
            <v>line item not tagged</v>
          </cell>
        </row>
        <row r="11497">
          <cell r="W11497">
            <v>0</v>
          </cell>
          <cell r="AB11497" t="str">
            <v>line item not tagged</v>
          </cell>
        </row>
        <row r="11498">
          <cell r="W11498">
            <v>0</v>
          </cell>
          <cell r="AB11498" t="str">
            <v>line item not tagged</v>
          </cell>
        </row>
        <row r="11499">
          <cell r="W11499">
            <v>0</v>
          </cell>
          <cell r="AB11499" t="str">
            <v>line item not tagged</v>
          </cell>
        </row>
        <row r="11500">
          <cell r="W11500">
            <v>0</v>
          </cell>
          <cell r="AB11500" t="str">
            <v>line item not tagged</v>
          </cell>
        </row>
        <row r="11501">
          <cell r="W11501">
            <v>0</v>
          </cell>
          <cell r="AB11501" t="str">
            <v>line item not tagged</v>
          </cell>
        </row>
        <row r="11502">
          <cell r="W11502">
            <v>0</v>
          </cell>
          <cell r="AB11502" t="str">
            <v>line item not tagged</v>
          </cell>
        </row>
        <row r="11503">
          <cell r="W11503">
            <v>0</v>
          </cell>
          <cell r="AB11503" t="str">
            <v>line item not tagged</v>
          </cell>
        </row>
        <row r="11504">
          <cell r="W11504">
            <v>0</v>
          </cell>
          <cell r="AB11504" t="str">
            <v>line item not tagged</v>
          </cell>
        </row>
        <row r="11505">
          <cell r="W11505">
            <v>0</v>
          </cell>
          <cell r="AB11505" t="str">
            <v>line item not tagged</v>
          </cell>
        </row>
        <row r="11506">
          <cell r="W11506">
            <v>0</v>
          </cell>
          <cell r="AB11506" t="str">
            <v>line item not tagged</v>
          </cell>
        </row>
        <row r="11507">
          <cell r="W11507">
            <v>0</v>
          </cell>
          <cell r="AB11507" t="str">
            <v>line item not tagged</v>
          </cell>
        </row>
        <row r="11508">
          <cell r="W11508">
            <v>0</v>
          </cell>
          <cell r="AB11508" t="str">
            <v>line item not tagged</v>
          </cell>
        </row>
        <row r="11509">
          <cell r="W11509">
            <v>0</v>
          </cell>
          <cell r="AB11509" t="str">
            <v>line item not tagged</v>
          </cell>
        </row>
        <row r="11510">
          <cell r="W11510">
            <v>0</v>
          </cell>
          <cell r="AB11510" t="str">
            <v>line item not tagged</v>
          </cell>
        </row>
        <row r="11511">
          <cell r="W11511">
            <v>0</v>
          </cell>
          <cell r="AB11511" t="str">
            <v>line item not tagged</v>
          </cell>
        </row>
        <row r="11512">
          <cell r="W11512">
            <v>0</v>
          </cell>
          <cell r="AB11512" t="str">
            <v>line item not tagged</v>
          </cell>
        </row>
        <row r="11513">
          <cell r="W11513">
            <v>0</v>
          </cell>
          <cell r="AB11513" t="str">
            <v>line item not tagged</v>
          </cell>
        </row>
        <row r="11514">
          <cell r="W11514">
            <v>0</v>
          </cell>
          <cell r="AB11514" t="str">
            <v>line item not tagged</v>
          </cell>
        </row>
        <row r="11515">
          <cell r="W11515">
            <v>0</v>
          </cell>
          <cell r="AB11515" t="str">
            <v>line item not tagged</v>
          </cell>
        </row>
        <row r="11516">
          <cell r="W11516">
            <v>0</v>
          </cell>
          <cell r="AB11516" t="str">
            <v>line item not tagged</v>
          </cell>
        </row>
        <row r="11517">
          <cell r="W11517">
            <v>0</v>
          </cell>
          <cell r="AB11517" t="str">
            <v>line item not tagged</v>
          </cell>
        </row>
        <row r="11518">
          <cell r="W11518">
            <v>0</v>
          </cell>
          <cell r="AB11518" t="str">
            <v>line item not tagged</v>
          </cell>
        </row>
        <row r="11519">
          <cell r="W11519">
            <v>0</v>
          </cell>
          <cell r="AB11519" t="str">
            <v>line item not tagged</v>
          </cell>
        </row>
        <row r="11520">
          <cell r="W11520">
            <v>0</v>
          </cell>
          <cell r="AB11520" t="str">
            <v>line item not tagged</v>
          </cell>
        </row>
        <row r="11521">
          <cell r="W11521">
            <v>0</v>
          </cell>
          <cell r="AB11521" t="str">
            <v>line item not tagged</v>
          </cell>
        </row>
        <row r="11522">
          <cell r="W11522">
            <v>0</v>
          </cell>
          <cell r="AB11522" t="str">
            <v>line item not tagged</v>
          </cell>
        </row>
        <row r="11523">
          <cell r="W11523">
            <v>0</v>
          </cell>
          <cell r="AB11523" t="str">
            <v>line item not tagged</v>
          </cell>
        </row>
        <row r="11524">
          <cell r="W11524">
            <v>0</v>
          </cell>
          <cell r="AB11524" t="str">
            <v>line item not tagged</v>
          </cell>
        </row>
        <row r="11525">
          <cell r="W11525">
            <v>0</v>
          </cell>
          <cell r="AB11525" t="str">
            <v>line item not tagged</v>
          </cell>
        </row>
        <row r="11526">
          <cell r="W11526">
            <v>0</v>
          </cell>
          <cell r="AB11526" t="str">
            <v>line item not tagged</v>
          </cell>
        </row>
        <row r="11527">
          <cell r="W11527">
            <v>0</v>
          </cell>
          <cell r="AB11527" t="str">
            <v>line item not tagged</v>
          </cell>
        </row>
        <row r="11528">
          <cell r="W11528">
            <v>0</v>
          </cell>
          <cell r="AB11528" t="str">
            <v>line item not tagged</v>
          </cell>
        </row>
        <row r="11529">
          <cell r="W11529">
            <v>0</v>
          </cell>
          <cell r="AB11529" t="str">
            <v>line item not tagged</v>
          </cell>
        </row>
        <row r="11530">
          <cell r="W11530">
            <v>0</v>
          </cell>
          <cell r="AB11530" t="str">
            <v>line item not tagged</v>
          </cell>
        </row>
        <row r="11531">
          <cell r="W11531">
            <v>0</v>
          </cell>
          <cell r="AB11531" t="str">
            <v>line item not tagged</v>
          </cell>
        </row>
        <row r="11532">
          <cell r="W11532">
            <v>0</v>
          </cell>
          <cell r="AB11532" t="str">
            <v>line item not tagged</v>
          </cell>
        </row>
        <row r="11533">
          <cell r="W11533">
            <v>0</v>
          </cell>
          <cell r="AB11533" t="str">
            <v>line item not tagged</v>
          </cell>
        </row>
        <row r="11534">
          <cell r="W11534">
            <v>0</v>
          </cell>
          <cell r="AB11534" t="str">
            <v>line item not tagged</v>
          </cell>
        </row>
        <row r="11535">
          <cell r="W11535">
            <v>0</v>
          </cell>
          <cell r="AB11535" t="str">
            <v>line item not tagged</v>
          </cell>
        </row>
        <row r="11536">
          <cell r="W11536">
            <v>0</v>
          </cell>
          <cell r="AB11536" t="str">
            <v>line item not tagged</v>
          </cell>
        </row>
        <row r="11537">
          <cell r="W11537">
            <v>0</v>
          </cell>
          <cell r="AB11537" t="str">
            <v>line item not tagged</v>
          </cell>
        </row>
        <row r="11538">
          <cell r="W11538">
            <v>0</v>
          </cell>
          <cell r="AB11538" t="str">
            <v>line item not tagged</v>
          </cell>
        </row>
        <row r="11539">
          <cell r="W11539">
            <v>0</v>
          </cell>
          <cell r="AB11539" t="str">
            <v>line item not tagged</v>
          </cell>
        </row>
        <row r="11540">
          <cell r="W11540">
            <v>0</v>
          </cell>
          <cell r="AB11540" t="str">
            <v>line item not tagged</v>
          </cell>
        </row>
        <row r="11541">
          <cell r="W11541">
            <v>0</v>
          </cell>
          <cell r="AB11541" t="str">
            <v>line item not tagged</v>
          </cell>
        </row>
        <row r="11542">
          <cell r="W11542">
            <v>0</v>
          </cell>
          <cell r="AB11542" t="str">
            <v>line item not tagged</v>
          </cell>
        </row>
        <row r="11543">
          <cell r="W11543">
            <v>0</v>
          </cell>
          <cell r="AB11543" t="str">
            <v>line item not tagged</v>
          </cell>
        </row>
        <row r="11544">
          <cell r="W11544">
            <v>0</v>
          </cell>
          <cell r="AB11544" t="str">
            <v>line item not tagged</v>
          </cell>
        </row>
        <row r="11545">
          <cell r="W11545">
            <v>0</v>
          </cell>
          <cell r="AB11545" t="str">
            <v>line item not tagged</v>
          </cell>
        </row>
        <row r="11546">
          <cell r="W11546">
            <v>0</v>
          </cell>
          <cell r="AB11546" t="str">
            <v>line item not tagged</v>
          </cell>
        </row>
        <row r="11547">
          <cell r="W11547">
            <v>0</v>
          </cell>
          <cell r="AB11547" t="str">
            <v>line item not tagged</v>
          </cell>
        </row>
        <row r="11548">
          <cell r="W11548">
            <v>0</v>
          </cell>
          <cell r="AB11548" t="str">
            <v>line item not tagged</v>
          </cell>
        </row>
        <row r="11549">
          <cell r="W11549">
            <v>0</v>
          </cell>
          <cell r="AB11549" t="str">
            <v>line item not tagged</v>
          </cell>
        </row>
        <row r="11550">
          <cell r="W11550">
            <v>0</v>
          </cell>
          <cell r="AB11550" t="str">
            <v>line item not tagged</v>
          </cell>
        </row>
        <row r="11551">
          <cell r="W11551">
            <v>0</v>
          </cell>
          <cell r="AB11551" t="str">
            <v>line item not tagged</v>
          </cell>
        </row>
        <row r="11552">
          <cell r="W11552">
            <v>0</v>
          </cell>
          <cell r="AB11552" t="str">
            <v>line item not tagged</v>
          </cell>
        </row>
        <row r="11553">
          <cell r="W11553">
            <v>0</v>
          </cell>
          <cell r="AB11553" t="str">
            <v>line item not tagged</v>
          </cell>
        </row>
        <row r="11554">
          <cell r="W11554">
            <v>0</v>
          </cell>
          <cell r="AB11554" t="str">
            <v>line item not tagged</v>
          </cell>
        </row>
        <row r="11555">
          <cell r="W11555">
            <v>0</v>
          </cell>
          <cell r="AB11555" t="str">
            <v>line item not tagged</v>
          </cell>
        </row>
        <row r="11556">
          <cell r="W11556">
            <v>0</v>
          </cell>
          <cell r="AB11556" t="str">
            <v>line item not tagged</v>
          </cell>
        </row>
        <row r="11557">
          <cell r="W11557">
            <v>0</v>
          </cell>
          <cell r="AB11557" t="str">
            <v>line item not tagged</v>
          </cell>
        </row>
        <row r="11558">
          <cell r="W11558">
            <v>0</v>
          </cell>
          <cell r="AB11558" t="str">
            <v>line item not tagged</v>
          </cell>
        </row>
        <row r="11559">
          <cell r="W11559">
            <v>0</v>
          </cell>
          <cell r="AB11559" t="str">
            <v>line item not tagged</v>
          </cell>
        </row>
        <row r="11560">
          <cell r="W11560">
            <v>0</v>
          </cell>
          <cell r="AB11560" t="str">
            <v>line item not tagged</v>
          </cell>
        </row>
        <row r="11561">
          <cell r="W11561">
            <v>0</v>
          </cell>
          <cell r="AB11561" t="str">
            <v>line item not tagged</v>
          </cell>
        </row>
        <row r="11562">
          <cell r="W11562">
            <v>0</v>
          </cell>
          <cell r="AB11562" t="str">
            <v>line item not tagged</v>
          </cell>
        </row>
        <row r="11563">
          <cell r="W11563">
            <v>0</v>
          </cell>
          <cell r="AB11563" t="str">
            <v>line item not tagged</v>
          </cell>
        </row>
        <row r="11564">
          <cell r="W11564">
            <v>0</v>
          </cell>
          <cell r="AB11564" t="str">
            <v>line item not tagged</v>
          </cell>
        </row>
        <row r="11565">
          <cell r="W11565">
            <v>0</v>
          </cell>
          <cell r="AB11565" t="str">
            <v>line item not tagged</v>
          </cell>
        </row>
        <row r="11566">
          <cell r="W11566">
            <v>0</v>
          </cell>
          <cell r="AB11566" t="str">
            <v>line item not tagged</v>
          </cell>
        </row>
        <row r="11567">
          <cell r="W11567">
            <v>0</v>
          </cell>
          <cell r="AB11567" t="str">
            <v>line item not tagged</v>
          </cell>
        </row>
        <row r="11568">
          <cell r="W11568">
            <v>0</v>
          </cell>
          <cell r="AB11568" t="str">
            <v>line item not tagged</v>
          </cell>
        </row>
        <row r="11569">
          <cell r="W11569">
            <v>0</v>
          </cell>
          <cell r="AB11569" t="str">
            <v>line item not tagged</v>
          </cell>
        </row>
        <row r="11570">
          <cell r="W11570">
            <v>0</v>
          </cell>
          <cell r="AB11570" t="str">
            <v>line item not tagged</v>
          </cell>
        </row>
        <row r="11571">
          <cell r="W11571">
            <v>0</v>
          </cell>
          <cell r="AB11571" t="str">
            <v>line item not tagged</v>
          </cell>
        </row>
        <row r="11572">
          <cell r="W11572">
            <v>0</v>
          </cell>
          <cell r="AB11572" t="str">
            <v>line item not tagged</v>
          </cell>
        </row>
        <row r="11573">
          <cell r="W11573">
            <v>0</v>
          </cell>
          <cell r="AB11573" t="str">
            <v>line item not tagged</v>
          </cell>
        </row>
        <row r="11574">
          <cell r="W11574">
            <v>0</v>
          </cell>
          <cell r="AB11574" t="str">
            <v>line item not tagged</v>
          </cell>
        </row>
        <row r="11575">
          <cell r="W11575">
            <v>0</v>
          </cell>
          <cell r="AB11575" t="str">
            <v>line item not tagged</v>
          </cell>
        </row>
        <row r="11576">
          <cell r="W11576">
            <v>0</v>
          </cell>
          <cell r="AB11576" t="str">
            <v>line item not tagged</v>
          </cell>
        </row>
        <row r="11577">
          <cell r="W11577">
            <v>0</v>
          </cell>
          <cell r="AB11577" t="str">
            <v>line item not tagged</v>
          </cell>
        </row>
        <row r="11578">
          <cell r="W11578">
            <v>0</v>
          </cell>
          <cell r="AB11578" t="str">
            <v>line item not tagged</v>
          </cell>
        </row>
        <row r="11579">
          <cell r="W11579">
            <v>0</v>
          </cell>
          <cell r="AB11579" t="str">
            <v>line item not tagged</v>
          </cell>
        </row>
        <row r="11580">
          <cell r="W11580">
            <v>0</v>
          </cell>
          <cell r="AB11580" t="str">
            <v>line item not tagged</v>
          </cell>
        </row>
        <row r="11581">
          <cell r="W11581">
            <v>0</v>
          </cell>
          <cell r="AB11581" t="str">
            <v>line item not tagged</v>
          </cell>
        </row>
        <row r="11582">
          <cell r="W11582">
            <v>0</v>
          </cell>
          <cell r="AB11582" t="str">
            <v>line item not tagged</v>
          </cell>
        </row>
        <row r="11583">
          <cell r="W11583">
            <v>0</v>
          </cell>
          <cell r="AB11583" t="str">
            <v>line item not tagged</v>
          </cell>
        </row>
        <row r="11584">
          <cell r="W11584">
            <v>0</v>
          </cell>
          <cell r="AB11584" t="str">
            <v>line item not tagged</v>
          </cell>
        </row>
        <row r="11585">
          <cell r="W11585">
            <v>0</v>
          </cell>
          <cell r="AB11585" t="str">
            <v>line item not tagged</v>
          </cell>
        </row>
        <row r="11586">
          <cell r="W11586">
            <v>0</v>
          </cell>
          <cell r="AB11586" t="str">
            <v>line item not tagged</v>
          </cell>
        </row>
        <row r="11587">
          <cell r="W11587">
            <v>0</v>
          </cell>
          <cell r="AB11587" t="str">
            <v>line item not tagged</v>
          </cell>
        </row>
        <row r="11588">
          <cell r="W11588">
            <v>0</v>
          </cell>
          <cell r="AB11588" t="str">
            <v>line item not tagged</v>
          </cell>
        </row>
        <row r="11589">
          <cell r="W11589">
            <v>0</v>
          </cell>
          <cell r="AB11589" t="str">
            <v>line item not tagged</v>
          </cell>
        </row>
        <row r="11590">
          <cell r="W11590">
            <v>0</v>
          </cell>
          <cell r="AB11590" t="str">
            <v>line item not tagged</v>
          </cell>
        </row>
        <row r="11591">
          <cell r="W11591">
            <v>0</v>
          </cell>
          <cell r="AB11591" t="str">
            <v>line item not tagged</v>
          </cell>
        </row>
        <row r="11592">
          <cell r="W11592">
            <v>0</v>
          </cell>
          <cell r="AB11592" t="str">
            <v>line item not tagged</v>
          </cell>
        </row>
        <row r="11593">
          <cell r="W11593">
            <v>0</v>
          </cell>
          <cell r="AB11593" t="str">
            <v>line item not tagged</v>
          </cell>
        </row>
        <row r="11594">
          <cell r="W11594">
            <v>0</v>
          </cell>
          <cell r="AB11594" t="str">
            <v>line item not tagged</v>
          </cell>
        </row>
        <row r="11595">
          <cell r="W11595">
            <v>0</v>
          </cell>
          <cell r="AB11595" t="str">
            <v>line item not tagged</v>
          </cell>
        </row>
        <row r="11596">
          <cell r="W11596">
            <v>0</v>
          </cell>
          <cell r="AB11596" t="str">
            <v>line item not tagged</v>
          </cell>
        </row>
        <row r="11597">
          <cell r="W11597">
            <v>0</v>
          </cell>
          <cell r="AB11597" t="str">
            <v>line item not tagged</v>
          </cell>
        </row>
        <row r="11598">
          <cell r="W11598">
            <v>0</v>
          </cell>
          <cell r="AB11598" t="str">
            <v>line item not tagged</v>
          </cell>
        </row>
        <row r="11599">
          <cell r="W11599">
            <v>0</v>
          </cell>
          <cell r="AB11599" t="str">
            <v>line item not tagged</v>
          </cell>
        </row>
        <row r="11600">
          <cell r="W11600">
            <v>0</v>
          </cell>
          <cell r="AB11600" t="str">
            <v>line item not tagged</v>
          </cell>
        </row>
        <row r="11601">
          <cell r="W11601">
            <v>0</v>
          </cell>
          <cell r="AB11601" t="str">
            <v>line item not tagged</v>
          </cell>
        </row>
        <row r="11602">
          <cell r="W11602">
            <v>0</v>
          </cell>
          <cell r="AB11602" t="str">
            <v>line item not tagged</v>
          </cell>
        </row>
        <row r="11603">
          <cell r="W11603">
            <v>0</v>
          </cell>
          <cell r="AB11603" t="str">
            <v>line item not tagged</v>
          </cell>
        </row>
        <row r="11604">
          <cell r="W11604">
            <v>0</v>
          </cell>
          <cell r="AB11604" t="str">
            <v>line item not tagged</v>
          </cell>
        </row>
        <row r="11605">
          <cell r="W11605">
            <v>0</v>
          </cell>
          <cell r="AB11605" t="str">
            <v>line item not tagged</v>
          </cell>
        </row>
        <row r="11606">
          <cell r="W11606">
            <v>0</v>
          </cell>
          <cell r="AB11606" t="str">
            <v>line item not tagged</v>
          </cell>
        </row>
        <row r="11607">
          <cell r="W11607">
            <v>0</v>
          </cell>
          <cell r="AB11607" t="str">
            <v>line item not tagged</v>
          </cell>
        </row>
        <row r="11608">
          <cell r="W11608">
            <v>0</v>
          </cell>
          <cell r="AB11608" t="str">
            <v>line item not tagged</v>
          </cell>
        </row>
        <row r="11609">
          <cell r="W11609">
            <v>0</v>
          </cell>
          <cell r="AB11609" t="str">
            <v>line item not tagged</v>
          </cell>
        </row>
        <row r="11610">
          <cell r="W11610">
            <v>0</v>
          </cell>
          <cell r="AB11610" t="str">
            <v>line item not tagged</v>
          </cell>
        </row>
        <row r="11611">
          <cell r="W11611">
            <v>0</v>
          </cell>
          <cell r="AB11611" t="str">
            <v>line item not tagged</v>
          </cell>
        </row>
        <row r="11612">
          <cell r="W11612">
            <v>0</v>
          </cell>
          <cell r="AB11612" t="str">
            <v>line item not tagged</v>
          </cell>
        </row>
        <row r="11613">
          <cell r="W11613">
            <v>0</v>
          </cell>
          <cell r="AB11613" t="str">
            <v>line item not tagged</v>
          </cell>
        </row>
        <row r="11614">
          <cell r="W11614">
            <v>0</v>
          </cell>
          <cell r="AB11614" t="str">
            <v>line item not tagged</v>
          </cell>
        </row>
        <row r="11615">
          <cell r="W11615">
            <v>0</v>
          </cell>
          <cell r="AB11615" t="str">
            <v>line item not tagged</v>
          </cell>
        </row>
        <row r="11616">
          <cell r="W11616">
            <v>0</v>
          </cell>
          <cell r="AB11616" t="str">
            <v>line item not tagged</v>
          </cell>
        </row>
        <row r="11617">
          <cell r="W11617">
            <v>0</v>
          </cell>
          <cell r="AB11617" t="str">
            <v>line item not tagged</v>
          </cell>
        </row>
        <row r="11618">
          <cell r="W11618">
            <v>0</v>
          </cell>
          <cell r="AB11618" t="str">
            <v>line item not tagged</v>
          </cell>
        </row>
        <row r="11619">
          <cell r="W11619">
            <v>0</v>
          </cell>
          <cell r="AB11619" t="str">
            <v>line item not tagged</v>
          </cell>
        </row>
        <row r="11620">
          <cell r="W11620">
            <v>0</v>
          </cell>
          <cell r="AB11620" t="str">
            <v>line item not tagged</v>
          </cell>
        </row>
        <row r="11621">
          <cell r="W11621">
            <v>0</v>
          </cell>
          <cell r="AB11621" t="str">
            <v>line item not tagged</v>
          </cell>
        </row>
        <row r="11622">
          <cell r="W11622">
            <v>0</v>
          </cell>
          <cell r="AB11622" t="str">
            <v>line item not tagged</v>
          </cell>
        </row>
        <row r="11623">
          <cell r="W11623">
            <v>0</v>
          </cell>
          <cell r="AB11623" t="str">
            <v>line item not tagged</v>
          </cell>
        </row>
        <row r="11624">
          <cell r="W11624">
            <v>0</v>
          </cell>
          <cell r="AB11624" t="str">
            <v>line item not tagged</v>
          </cell>
        </row>
        <row r="11625">
          <cell r="W11625">
            <v>0</v>
          </cell>
          <cell r="AB11625" t="str">
            <v>line item not tagged</v>
          </cell>
        </row>
        <row r="11626">
          <cell r="W11626">
            <v>0</v>
          </cell>
          <cell r="AB11626" t="str">
            <v>line item not tagged</v>
          </cell>
        </row>
        <row r="11627">
          <cell r="W11627">
            <v>0</v>
          </cell>
          <cell r="AB11627" t="str">
            <v>line item not tagged</v>
          </cell>
        </row>
        <row r="11628">
          <cell r="W11628">
            <v>0</v>
          </cell>
          <cell r="AB11628" t="str">
            <v>line item not tagged</v>
          </cell>
        </row>
        <row r="11629">
          <cell r="W11629">
            <v>0</v>
          </cell>
          <cell r="AB11629" t="str">
            <v>line item not tagged</v>
          </cell>
        </row>
        <row r="11630">
          <cell r="W11630">
            <v>0</v>
          </cell>
          <cell r="AB11630" t="str">
            <v>line item not tagged</v>
          </cell>
        </row>
        <row r="11631">
          <cell r="W11631">
            <v>0</v>
          </cell>
          <cell r="AB11631" t="str">
            <v>line item not tagged</v>
          </cell>
        </row>
        <row r="11632">
          <cell r="W11632">
            <v>0</v>
          </cell>
          <cell r="AB11632" t="str">
            <v>line item not tagged</v>
          </cell>
        </row>
        <row r="11633">
          <cell r="W11633">
            <v>0</v>
          </cell>
          <cell r="AB11633" t="str">
            <v>line item not tagged</v>
          </cell>
        </row>
        <row r="11634">
          <cell r="W11634">
            <v>0</v>
          </cell>
          <cell r="AB11634" t="str">
            <v>line item not tagged</v>
          </cell>
        </row>
        <row r="11635">
          <cell r="W11635">
            <v>0</v>
          </cell>
          <cell r="AB11635" t="str">
            <v>line item not tagged</v>
          </cell>
        </row>
        <row r="11636">
          <cell r="W11636">
            <v>0</v>
          </cell>
          <cell r="AB11636" t="str">
            <v>line item not tagged</v>
          </cell>
        </row>
        <row r="11637">
          <cell r="W11637">
            <v>0</v>
          </cell>
          <cell r="AB11637" t="str">
            <v>line item not tagged</v>
          </cell>
        </row>
        <row r="11638">
          <cell r="W11638">
            <v>0</v>
          </cell>
          <cell r="AB11638" t="str">
            <v>line item not tagged</v>
          </cell>
        </row>
        <row r="11639">
          <cell r="W11639">
            <v>0</v>
          </cell>
          <cell r="AB11639" t="str">
            <v>line item not tagged</v>
          </cell>
        </row>
        <row r="11640">
          <cell r="W11640">
            <v>0</v>
          </cell>
          <cell r="AB11640" t="str">
            <v>line item not tagged</v>
          </cell>
        </row>
        <row r="11641">
          <cell r="W11641">
            <v>0</v>
          </cell>
          <cell r="AB11641" t="str">
            <v>line item not tagged</v>
          </cell>
        </row>
        <row r="11642">
          <cell r="W11642">
            <v>0</v>
          </cell>
          <cell r="AB11642" t="str">
            <v>line item not tagged</v>
          </cell>
        </row>
        <row r="11643">
          <cell r="W11643">
            <v>0</v>
          </cell>
          <cell r="AB11643" t="str">
            <v>line item not tagged</v>
          </cell>
        </row>
        <row r="11644">
          <cell r="W11644">
            <v>0</v>
          </cell>
          <cell r="AB11644" t="str">
            <v>line item not tagged</v>
          </cell>
        </row>
        <row r="11645">
          <cell r="W11645">
            <v>0</v>
          </cell>
          <cell r="AB11645" t="str">
            <v>line item not tagged</v>
          </cell>
        </row>
        <row r="11646">
          <cell r="W11646">
            <v>0</v>
          </cell>
          <cell r="AB11646" t="str">
            <v>line item not tagged</v>
          </cell>
        </row>
        <row r="11647">
          <cell r="W11647">
            <v>0</v>
          </cell>
          <cell r="AB11647" t="str">
            <v>line item not tagged</v>
          </cell>
        </row>
        <row r="11648">
          <cell r="W11648">
            <v>0</v>
          </cell>
          <cell r="AB11648" t="str">
            <v>line item not tagged</v>
          </cell>
        </row>
        <row r="11649">
          <cell r="W11649">
            <v>0</v>
          </cell>
          <cell r="AB11649" t="str">
            <v>line item not tagged</v>
          </cell>
        </row>
        <row r="11650">
          <cell r="W11650">
            <v>0</v>
          </cell>
          <cell r="AB11650" t="str">
            <v>line item not tagged</v>
          </cell>
        </row>
        <row r="11651">
          <cell r="W11651">
            <v>0</v>
          </cell>
          <cell r="AB11651" t="str">
            <v>line item not tagged</v>
          </cell>
        </row>
        <row r="11652">
          <cell r="W11652">
            <v>0</v>
          </cell>
          <cell r="AB11652" t="str">
            <v>line item not tagged</v>
          </cell>
        </row>
        <row r="11653">
          <cell r="W11653">
            <v>0</v>
          </cell>
          <cell r="AB11653" t="str">
            <v>line item not tagged</v>
          </cell>
        </row>
        <row r="11654">
          <cell r="W11654">
            <v>0</v>
          </cell>
          <cell r="AB11654" t="str">
            <v>line item not tagged</v>
          </cell>
        </row>
        <row r="11655">
          <cell r="W11655">
            <v>0</v>
          </cell>
          <cell r="AB11655" t="str">
            <v>line item not tagged</v>
          </cell>
        </row>
        <row r="11656">
          <cell r="W11656">
            <v>0</v>
          </cell>
          <cell r="AB11656" t="str">
            <v>line item not tagged</v>
          </cell>
        </row>
        <row r="11657">
          <cell r="W11657">
            <v>0</v>
          </cell>
          <cell r="AB11657" t="str">
            <v>line item not tagged</v>
          </cell>
        </row>
        <row r="11658">
          <cell r="W11658">
            <v>0</v>
          </cell>
          <cell r="AB11658" t="str">
            <v>line item not tagged</v>
          </cell>
        </row>
        <row r="11659">
          <cell r="W11659">
            <v>0</v>
          </cell>
          <cell r="AB11659" t="str">
            <v>line item not tagged</v>
          </cell>
        </row>
        <row r="11660">
          <cell r="W11660">
            <v>0</v>
          </cell>
          <cell r="AB11660" t="str">
            <v>line item not tagged</v>
          </cell>
        </row>
        <row r="11661">
          <cell r="W11661">
            <v>0</v>
          </cell>
          <cell r="AB11661" t="str">
            <v>line item not tagged</v>
          </cell>
        </row>
        <row r="11662">
          <cell r="W11662">
            <v>0</v>
          </cell>
          <cell r="AB11662" t="str">
            <v>line item not tagged</v>
          </cell>
        </row>
        <row r="11663">
          <cell r="W11663">
            <v>0</v>
          </cell>
          <cell r="AB11663" t="str">
            <v>line item not tagged</v>
          </cell>
        </row>
        <row r="11664">
          <cell r="W11664">
            <v>0</v>
          </cell>
          <cell r="AB11664" t="str">
            <v>line item not tagged</v>
          </cell>
        </row>
        <row r="11665">
          <cell r="W11665">
            <v>0</v>
          </cell>
          <cell r="AB11665" t="str">
            <v>line item not tagged</v>
          </cell>
        </row>
        <row r="11666">
          <cell r="W11666">
            <v>0</v>
          </cell>
          <cell r="AB11666" t="str">
            <v>line item not tagged</v>
          </cell>
        </row>
        <row r="11667">
          <cell r="W11667">
            <v>0</v>
          </cell>
          <cell r="AB11667" t="str">
            <v>line item not tagged</v>
          </cell>
        </row>
        <row r="11668">
          <cell r="W11668">
            <v>0</v>
          </cell>
          <cell r="AB11668" t="str">
            <v>line item not tagged</v>
          </cell>
        </row>
        <row r="11669">
          <cell r="W11669">
            <v>0</v>
          </cell>
          <cell r="AB11669" t="str">
            <v>line item not tagged</v>
          </cell>
        </row>
        <row r="11670">
          <cell r="W11670">
            <v>0</v>
          </cell>
          <cell r="AB11670" t="str">
            <v>line item not tagged</v>
          </cell>
        </row>
        <row r="11671">
          <cell r="W11671">
            <v>0</v>
          </cell>
          <cell r="AB11671" t="str">
            <v>line item not tagged</v>
          </cell>
        </row>
        <row r="11672">
          <cell r="W11672">
            <v>0</v>
          </cell>
          <cell r="AB11672" t="str">
            <v>line item not tagged</v>
          </cell>
        </row>
        <row r="11673">
          <cell r="W11673">
            <v>0</v>
          </cell>
          <cell r="AB11673" t="str">
            <v>line item not tagged</v>
          </cell>
        </row>
        <row r="11674">
          <cell r="W11674">
            <v>0</v>
          </cell>
          <cell r="AB11674" t="str">
            <v>line item not tagged</v>
          </cell>
        </row>
        <row r="11675">
          <cell r="W11675">
            <v>0</v>
          </cell>
          <cell r="AB11675" t="str">
            <v>line item not tagged</v>
          </cell>
        </row>
        <row r="11676">
          <cell r="W11676">
            <v>0</v>
          </cell>
          <cell r="AB11676" t="str">
            <v>line item not tagged</v>
          </cell>
        </row>
        <row r="11677">
          <cell r="W11677">
            <v>0</v>
          </cell>
          <cell r="AB11677" t="str">
            <v>line item not tagged</v>
          </cell>
        </row>
        <row r="11678">
          <cell r="W11678">
            <v>0</v>
          </cell>
          <cell r="AB11678" t="str">
            <v>line item not tagged</v>
          </cell>
        </row>
        <row r="11679">
          <cell r="W11679">
            <v>0</v>
          </cell>
          <cell r="AB11679" t="str">
            <v>line item not tagged</v>
          </cell>
        </row>
        <row r="11680">
          <cell r="W11680">
            <v>0</v>
          </cell>
          <cell r="AB11680" t="str">
            <v>line item not tagged</v>
          </cell>
        </row>
        <row r="11681">
          <cell r="W11681">
            <v>0</v>
          </cell>
          <cell r="AB11681" t="str">
            <v>line item not tagged</v>
          </cell>
        </row>
        <row r="11682">
          <cell r="W11682">
            <v>0</v>
          </cell>
          <cell r="AB11682" t="str">
            <v>line item not tagged</v>
          </cell>
        </row>
        <row r="11683">
          <cell r="W11683">
            <v>0</v>
          </cell>
          <cell r="AB11683" t="str">
            <v>line item not tagged</v>
          </cell>
        </row>
        <row r="11684">
          <cell r="W11684">
            <v>0</v>
          </cell>
          <cell r="AB11684" t="str">
            <v>line item not tagged</v>
          </cell>
        </row>
        <row r="11685">
          <cell r="W11685">
            <v>0</v>
          </cell>
          <cell r="AB11685" t="str">
            <v>line item not tagged</v>
          </cell>
        </row>
        <row r="11686">
          <cell r="W11686">
            <v>0</v>
          </cell>
          <cell r="AB11686" t="str">
            <v>line item not tagged</v>
          </cell>
        </row>
        <row r="11687">
          <cell r="W11687">
            <v>0</v>
          </cell>
          <cell r="AB11687" t="str">
            <v>line item not tagged</v>
          </cell>
        </row>
        <row r="11688">
          <cell r="W11688">
            <v>0</v>
          </cell>
          <cell r="AB11688" t="str">
            <v>line item not tagged</v>
          </cell>
        </row>
        <row r="11689">
          <cell r="W11689">
            <v>0</v>
          </cell>
          <cell r="AB11689" t="str">
            <v>line item not tagged</v>
          </cell>
        </row>
        <row r="11690">
          <cell r="W11690">
            <v>0</v>
          </cell>
          <cell r="AB11690" t="str">
            <v>line item not tagged</v>
          </cell>
        </row>
        <row r="11691">
          <cell r="W11691">
            <v>0</v>
          </cell>
          <cell r="AB11691" t="str">
            <v>line item not tagged</v>
          </cell>
        </row>
        <row r="11692">
          <cell r="W11692">
            <v>0</v>
          </cell>
          <cell r="AB11692" t="str">
            <v>line item not tagged</v>
          </cell>
        </row>
        <row r="11693">
          <cell r="W11693">
            <v>0</v>
          </cell>
          <cell r="AB11693" t="str">
            <v>line item not tagged</v>
          </cell>
        </row>
        <row r="11694">
          <cell r="W11694">
            <v>0</v>
          </cell>
          <cell r="AB11694" t="str">
            <v>line item not tagged</v>
          </cell>
        </row>
        <row r="11695">
          <cell r="W11695">
            <v>0</v>
          </cell>
          <cell r="AB11695" t="str">
            <v>line item not tagged</v>
          </cell>
        </row>
        <row r="11696">
          <cell r="W11696">
            <v>0</v>
          </cell>
          <cell r="AB11696" t="str">
            <v>line item not tagged</v>
          </cell>
        </row>
        <row r="11697">
          <cell r="W11697">
            <v>0</v>
          </cell>
          <cell r="AB11697" t="str">
            <v>line item not tagged</v>
          </cell>
        </row>
        <row r="11698">
          <cell r="W11698">
            <v>0</v>
          </cell>
          <cell r="AB11698" t="str">
            <v>line item not tagged</v>
          </cell>
        </row>
        <row r="11699">
          <cell r="W11699">
            <v>0</v>
          </cell>
          <cell r="AB11699" t="str">
            <v>line item not tagged</v>
          </cell>
        </row>
        <row r="11700">
          <cell r="W11700">
            <v>0</v>
          </cell>
          <cell r="AB11700" t="str">
            <v>line item not tagged</v>
          </cell>
        </row>
        <row r="11701">
          <cell r="W11701">
            <v>0</v>
          </cell>
          <cell r="AB11701" t="str">
            <v>line item not tagged</v>
          </cell>
        </row>
        <row r="11702">
          <cell r="W11702">
            <v>0</v>
          </cell>
          <cell r="AB11702" t="str">
            <v>line item not tagged</v>
          </cell>
        </row>
        <row r="11703">
          <cell r="W11703">
            <v>0</v>
          </cell>
          <cell r="AB11703" t="str">
            <v>line item not tagged</v>
          </cell>
        </row>
        <row r="11704">
          <cell r="W11704">
            <v>0</v>
          </cell>
          <cell r="AB11704" t="str">
            <v>line item not tagged</v>
          </cell>
        </row>
        <row r="11705">
          <cell r="W11705">
            <v>0</v>
          </cell>
          <cell r="AB11705" t="str">
            <v>line item not tagged</v>
          </cell>
        </row>
        <row r="11706">
          <cell r="W11706">
            <v>0</v>
          </cell>
          <cell r="AB11706" t="str">
            <v>line item not tagged</v>
          </cell>
        </row>
        <row r="11707">
          <cell r="W11707">
            <v>0</v>
          </cell>
          <cell r="AB11707" t="str">
            <v>line item not tagged</v>
          </cell>
        </row>
        <row r="11708">
          <cell r="W11708">
            <v>0</v>
          </cell>
          <cell r="AB11708" t="str">
            <v>line item not tagged</v>
          </cell>
        </row>
        <row r="11709">
          <cell r="W11709">
            <v>0</v>
          </cell>
          <cell r="AB11709" t="str">
            <v>line item not tagged</v>
          </cell>
        </row>
        <row r="11710">
          <cell r="W11710">
            <v>0</v>
          </cell>
          <cell r="AB11710" t="str">
            <v>line item not tagged</v>
          </cell>
        </row>
        <row r="11711">
          <cell r="W11711">
            <v>0</v>
          </cell>
          <cell r="AB11711" t="str">
            <v>line item not tagged</v>
          </cell>
        </row>
        <row r="11712">
          <cell r="W11712">
            <v>0</v>
          </cell>
          <cell r="AB11712" t="str">
            <v>line item not tagged</v>
          </cell>
        </row>
        <row r="11713">
          <cell r="W11713">
            <v>0</v>
          </cell>
          <cell r="AB11713" t="str">
            <v>line item not tagged</v>
          </cell>
        </row>
        <row r="11714">
          <cell r="W11714">
            <v>0</v>
          </cell>
          <cell r="AB11714" t="str">
            <v>line item not tagged</v>
          </cell>
        </row>
        <row r="11715">
          <cell r="W11715">
            <v>0</v>
          </cell>
          <cell r="AB11715" t="str">
            <v>line item not tagged</v>
          </cell>
        </row>
        <row r="11716">
          <cell r="W11716">
            <v>0</v>
          </cell>
          <cell r="AB11716" t="str">
            <v>line item not tagged</v>
          </cell>
        </row>
        <row r="11717">
          <cell r="W11717">
            <v>0</v>
          </cell>
          <cell r="AB11717" t="str">
            <v>line item not tagged</v>
          </cell>
        </row>
        <row r="11718">
          <cell r="W11718">
            <v>0</v>
          </cell>
          <cell r="AB11718" t="str">
            <v>line item not tagged</v>
          </cell>
        </row>
        <row r="11719">
          <cell r="W11719">
            <v>0</v>
          </cell>
          <cell r="AB11719" t="str">
            <v>line item not tagged</v>
          </cell>
        </row>
        <row r="11720">
          <cell r="W11720">
            <v>0</v>
          </cell>
          <cell r="AB11720" t="str">
            <v>line item not tagged</v>
          </cell>
        </row>
        <row r="11721">
          <cell r="W11721">
            <v>0</v>
          </cell>
          <cell r="AB11721" t="str">
            <v>line item not tagged</v>
          </cell>
        </row>
        <row r="11722">
          <cell r="W11722">
            <v>0</v>
          </cell>
          <cell r="AB11722" t="str">
            <v>line item not tagged</v>
          </cell>
        </row>
        <row r="11723">
          <cell r="W11723">
            <v>0</v>
          </cell>
          <cell r="AB11723" t="str">
            <v>line item not tagged</v>
          </cell>
        </row>
        <row r="11724">
          <cell r="W11724">
            <v>0</v>
          </cell>
          <cell r="AB11724" t="str">
            <v>line item not tagged</v>
          </cell>
        </row>
        <row r="11725">
          <cell r="W11725">
            <v>0</v>
          </cell>
          <cell r="AB11725" t="str">
            <v>line item not tagged</v>
          </cell>
        </row>
        <row r="11726">
          <cell r="W11726">
            <v>0</v>
          </cell>
          <cell r="AB11726" t="str">
            <v>line item not tagged</v>
          </cell>
        </row>
        <row r="11727">
          <cell r="W11727">
            <v>0</v>
          </cell>
          <cell r="AB11727" t="str">
            <v>line item not tagged</v>
          </cell>
        </row>
        <row r="11728">
          <cell r="W11728">
            <v>0</v>
          </cell>
          <cell r="AB11728" t="str">
            <v>line item not tagged</v>
          </cell>
        </row>
        <row r="11729">
          <cell r="W11729">
            <v>0</v>
          </cell>
          <cell r="AB11729" t="str">
            <v>line item not tagged</v>
          </cell>
        </row>
        <row r="11730">
          <cell r="W11730">
            <v>0</v>
          </cell>
          <cell r="AB11730" t="str">
            <v>line item not tagged</v>
          </cell>
        </row>
        <row r="11731">
          <cell r="W11731">
            <v>0</v>
          </cell>
          <cell r="AB11731" t="str">
            <v>line item not tagged</v>
          </cell>
        </row>
        <row r="11732">
          <cell r="W11732">
            <v>0</v>
          </cell>
          <cell r="AB11732" t="str">
            <v>line item not tagged</v>
          </cell>
        </row>
        <row r="11733">
          <cell r="W11733">
            <v>0</v>
          </cell>
          <cell r="AB11733" t="str">
            <v>line item not tagged</v>
          </cell>
        </row>
        <row r="11734">
          <cell r="W11734">
            <v>0</v>
          </cell>
          <cell r="AB11734" t="str">
            <v>line item not tagged</v>
          </cell>
        </row>
        <row r="11735">
          <cell r="W11735">
            <v>0</v>
          </cell>
          <cell r="AB11735" t="str">
            <v>line item not tagged</v>
          </cell>
        </row>
        <row r="11736">
          <cell r="W11736">
            <v>0</v>
          </cell>
          <cell r="AB11736" t="str">
            <v>line item not tagged</v>
          </cell>
        </row>
        <row r="11737">
          <cell r="W11737">
            <v>0</v>
          </cell>
          <cell r="AB11737" t="str">
            <v>line item not tagged</v>
          </cell>
        </row>
        <row r="11738">
          <cell r="W11738">
            <v>0</v>
          </cell>
          <cell r="AB11738" t="str">
            <v>line item not tagged</v>
          </cell>
        </row>
        <row r="11739">
          <cell r="W11739">
            <v>0</v>
          </cell>
          <cell r="AB11739" t="str">
            <v>line item not tagged</v>
          </cell>
        </row>
        <row r="11740">
          <cell r="W11740">
            <v>0</v>
          </cell>
          <cell r="AB11740" t="str">
            <v>line item not tagged</v>
          </cell>
        </row>
        <row r="11741">
          <cell r="W11741">
            <v>0</v>
          </cell>
          <cell r="AB11741" t="str">
            <v>line item not tagged</v>
          </cell>
        </row>
        <row r="11742">
          <cell r="W11742">
            <v>0</v>
          </cell>
          <cell r="AB11742" t="str">
            <v>line item not tagged</v>
          </cell>
        </row>
        <row r="11743">
          <cell r="W11743">
            <v>0</v>
          </cell>
          <cell r="AB11743" t="str">
            <v>line item not tagged</v>
          </cell>
        </row>
        <row r="11744">
          <cell r="W11744">
            <v>0</v>
          </cell>
          <cell r="AB11744" t="str">
            <v>line item not tagged</v>
          </cell>
        </row>
        <row r="11745">
          <cell r="W11745">
            <v>0</v>
          </cell>
          <cell r="AB11745" t="str">
            <v>line item not tagged</v>
          </cell>
        </row>
        <row r="11746">
          <cell r="W11746">
            <v>0</v>
          </cell>
          <cell r="AB11746" t="str">
            <v>line item not tagged</v>
          </cell>
        </row>
        <row r="11747">
          <cell r="W11747">
            <v>0</v>
          </cell>
          <cell r="AB11747" t="str">
            <v>line item not tagged</v>
          </cell>
        </row>
        <row r="11748">
          <cell r="W11748">
            <v>0</v>
          </cell>
          <cell r="AB11748" t="str">
            <v>line item not tagged</v>
          </cell>
        </row>
        <row r="11749">
          <cell r="W11749">
            <v>0</v>
          </cell>
          <cell r="AB11749" t="str">
            <v>line item not tagged</v>
          </cell>
        </row>
        <row r="11750">
          <cell r="W11750">
            <v>0</v>
          </cell>
          <cell r="AB11750" t="str">
            <v>line item not tagged</v>
          </cell>
        </row>
        <row r="11751">
          <cell r="W11751">
            <v>0</v>
          </cell>
          <cell r="AB11751" t="str">
            <v>line item not tagged</v>
          </cell>
        </row>
        <row r="11752">
          <cell r="W11752">
            <v>0</v>
          </cell>
          <cell r="AB11752" t="str">
            <v>line item not tagged</v>
          </cell>
        </row>
        <row r="11753">
          <cell r="W11753">
            <v>0</v>
          </cell>
          <cell r="AB11753" t="str">
            <v>line item not tagged</v>
          </cell>
        </row>
        <row r="11754">
          <cell r="W11754">
            <v>0</v>
          </cell>
          <cell r="AB11754" t="str">
            <v>line item not tagged</v>
          </cell>
        </row>
        <row r="11755">
          <cell r="W11755">
            <v>0</v>
          </cell>
          <cell r="AB11755" t="str">
            <v>line item not tagged</v>
          </cell>
        </row>
        <row r="11756">
          <cell r="W11756">
            <v>0</v>
          </cell>
          <cell r="AB11756" t="str">
            <v>line item not tagged</v>
          </cell>
        </row>
        <row r="11757">
          <cell r="W11757">
            <v>0</v>
          </cell>
          <cell r="AB11757" t="str">
            <v>line item not tagged</v>
          </cell>
        </row>
        <row r="11758">
          <cell r="W11758">
            <v>0</v>
          </cell>
          <cell r="AB11758" t="str">
            <v>line item not tagged</v>
          </cell>
        </row>
        <row r="11759">
          <cell r="W11759">
            <v>0</v>
          </cell>
          <cell r="AB11759" t="str">
            <v>line item not tagged</v>
          </cell>
        </row>
        <row r="11760">
          <cell r="W11760">
            <v>0</v>
          </cell>
          <cell r="AB11760" t="str">
            <v>line item not tagged</v>
          </cell>
        </row>
        <row r="11761">
          <cell r="W11761">
            <v>0</v>
          </cell>
          <cell r="AB11761" t="str">
            <v>line item not tagged</v>
          </cell>
        </row>
        <row r="11762">
          <cell r="W11762">
            <v>0</v>
          </cell>
          <cell r="AB11762" t="str">
            <v>line item not tagged</v>
          </cell>
        </row>
        <row r="11763">
          <cell r="W11763">
            <v>0</v>
          </cell>
          <cell r="AB11763" t="str">
            <v>line item not tagged</v>
          </cell>
        </row>
        <row r="11764">
          <cell r="W11764">
            <v>0</v>
          </cell>
          <cell r="AB11764" t="str">
            <v>line item not tagged</v>
          </cell>
        </row>
        <row r="11765">
          <cell r="W11765">
            <v>0</v>
          </cell>
          <cell r="AB11765" t="str">
            <v>line item not tagged</v>
          </cell>
        </row>
        <row r="11766">
          <cell r="W11766">
            <v>0</v>
          </cell>
          <cell r="AB11766" t="str">
            <v>line item not tagged</v>
          </cell>
        </row>
        <row r="11767">
          <cell r="W11767">
            <v>0</v>
          </cell>
          <cell r="AB11767" t="str">
            <v>line item not tagged</v>
          </cell>
        </row>
        <row r="11768">
          <cell r="W11768">
            <v>0</v>
          </cell>
          <cell r="AB11768" t="str">
            <v>line item not tagged</v>
          </cell>
        </row>
        <row r="11769">
          <cell r="W11769">
            <v>0</v>
          </cell>
          <cell r="AB11769" t="str">
            <v>line item not tagged</v>
          </cell>
        </row>
        <row r="11770">
          <cell r="W11770">
            <v>0</v>
          </cell>
          <cell r="AB11770" t="str">
            <v>line item not tagged</v>
          </cell>
        </row>
        <row r="11771">
          <cell r="W11771">
            <v>0</v>
          </cell>
          <cell r="AB11771" t="str">
            <v>line item not tagged</v>
          </cell>
        </row>
        <row r="11772">
          <cell r="W11772">
            <v>0</v>
          </cell>
          <cell r="AB11772" t="str">
            <v>line item not tagged</v>
          </cell>
        </row>
        <row r="11773">
          <cell r="W11773">
            <v>0</v>
          </cell>
          <cell r="AB11773" t="str">
            <v>line item not tagged</v>
          </cell>
        </row>
        <row r="11774">
          <cell r="W11774">
            <v>0</v>
          </cell>
          <cell r="AB11774" t="str">
            <v>line item not tagged</v>
          </cell>
        </row>
        <row r="11775">
          <cell r="W11775">
            <v>0</v>
          </cell>
          <cell r="AB11775" t="str">
            <v>line item not tagged</v>
          </cell>
        </row>
        <row r="11776">
          <cell r="W11776">
            <v>0</v>
          </cell>
          <cell r="AB11776" t="str">
            <v>line item not tagged</v>
          </cell>
        </row>
        <row r="11777">
          <cell r="W11777">
            <v>0</v>
          </cell>
          <cell r="AB11777" t="str">
            <v>line item not tagged</v>
          </cell>
        </row>
        <row r="11778">
          <cell r="W11778">
            <v>0</v>
          </cell>
          <cell r="AB11778" t="str">
            <v>line item not tagged</v>
          </cell>
        </row>
        <row r="11779">
          <cell r="W11779">
            <v>0</v>
          </cell>
          <cell r="AB11779" t="str">
            <v>line item not tagged</v>
          </cell>
        </row>
        <row r="11780">
          <cell r="W11780">
            <v>0</v>
          </cell>
          <cell r="AB11780" t="str">
            <v>line item not tagged</v>
          </cell>
        </row>
        <row r="11781">
          <cell r="W11781">
            <v>0</v>
          </cell>
          <cell r="AB11781" t="str">
            <v>line item not tagged</v>
          </cell>
        </row>
        <row r="11782">
          <cell r="W11782">
            <v>0</v>
          </cell>
          <cell r="AB11782" t="str">
            <v>line item not tagged</v>
          </cell>
        </row>
        <row r="11783">
          <cell r="W11783">
            <v>0</v>
          </cell>
          <cell r="AB11783" t="str">
            <v>line item not tagged</v>
          </cell>
        </row>
        <row r="11784">
          <cell r="W11784">
            <v>0</v>
          </cell>
          <cell r="AB11784" t="str">
            <v>line item not tagged</v>
          </cell>
        </row>
        <row r="11785">
          <cell r="W11785">
            <v>0</v>
          </cell>
          <cell r="AB11785" t="str">
            <v>line item not tagged</v>
          </cell>
        </row>
        <row r="11786">
          <cell r="W11786">
            <v>0</v>
          </cell>
          <cell r="AB11786" t="str">
            <v>line item not tagged</v>
          </cell>
        </row>
        <row r="11787">
          <cell r="W11787">
            <v>0</v>
          </cell>
          <cell r="AB11787" t="str">
            <v>line item not tagged</v>
          </cell>
        </row>
        <row r="11788">
          <cell r="W11788">
            <v>0</v>
          </cell>
          <cell r="AB11788" t="str">
            <v>line item not tagged</v>
          </cell>
        </row>
        <row r="11789">
          <cell r="W11789">
            <v>0</v>
          </cell>
          <cell r="AB11789" t="str">
            <v>line item not tagged</v>
          </cell>
        </row>
        <row r="11790">
          <cell r="W11790">
            <v>0</v>
          </cell>
          <cell r="AB11790" t="str">
            <v>line item not tagged</v>
          </cell>
        </row>
        <row r="11791">
          <cell r="W11791">
            <v>0</v>
          </cell>
          <cell r="AB11791" t="str">
            <v>line item not tagged</v>
          </cell>
        </row>
        <row r="11792">
          <cell r="W11792">
            <v>0</v>
          </cell>
          <cell r="AB11792" t="str">
            <v>line item not tagged</v>
          </cell>
        </row>
        <row r="11793">
          <cell r="W11793">
            <v>0</v>
          </cell>
          <cell r="AB11793" t="str">
            <v>line item not tagged</v>
          </cell>
        </row>
        <row r="11794">
          <cell r="W11794">
            <v>0</v>
          </cell>
          <cell r="AB11794" t="str">
            <v>line item not tagged</v>
          </cell>
        </row>
        <row r="11795">
          <cell r="W11795">
            <v>0</v>
          </cell>
          <cell r="AB11795" t="str">
            <v>line item not tagged</v>
          </cell>
        </row>
        <row r="11796">
          <cell r="W11796">
            <v>0</v>
          </cell>
          <cell r="AB11796" t="str">
            <v>line item not tagged</v>
          </cell>
        </row>
        <row r="11797">
          <cell r="W11797">
            <v>0</v>
          </cell>
          <cell r="AB11797" t="str">
            <v>line item not tagged</v>
          </cell>
        </row>
        <row r="11798">
          <cell r="W11798">
            <v>0</v>
          </cell>
          <cell r="AB11798" t="str">
            <v>line item not tagged</v>
          </cell>
        </row>
        <row r="11799">
          <cell r="W11799">
            <v>0</v>
          </cell>
          <cell r="AB11799" t="str">
            <v>line item not tagged</v>
          </cell>
        </row>
        <row r="11800">
          <cell r="W11800">
            <v>0</v>
          </cell>
          <cell r="AB11800" t="str">
            <v>line item not tagged</v>
          </cell>
        </row>
        <row r="11801">
          <cell r="W11801">
            <v>0</v>
          </cell>
          <cell r="AB11801" t="str">
            <v>line item not tagged</v>
          </cell>
        </row>
        <row r="11802">
          <cell r="W11802">
            <v>0</v>
          </cell>
          <cell r="AB11802" t="str">
            <v>line item not tagged</v>
          </cell>
        </row>
        <row r="11803">
          <cell r="W11803">
            <v>0</v>
          </cell>
          <cell r="AB11803" t="str">
            <v>line item not tagged</v>
          </cell>
        </row>
        <row r="11804">
          <cell r="W11804">
            <v>0</v>
          </cell>
          <cell r="AB11804" t="str">
            <v>line item not tagged</v>
          </cell>
        </row>
        <row r="11805">
          <cell r="W11805">
            <v>0</v>
          </cell>
          <cell r="AB11805" t="str">
            <v>line item not tagged</v>
          </cell>
        </row>
        <row r="11806">
          <cell r="W11806">
            <v>0</v>
          </cell>
          <cell r="AB11806" t="str">
            <v>line item not tagged</v>
          </cell>
        </row>
        <row r="11807">
          <cell r="W11807">
            <v>0</v>
          </cell>
          <cell r="AB11807" t="str">
            <v>line item not tagged</v>
          </cell>
        </row>
        <row r="11808">
          <cell r="W11808">
            <v>0</v>
          </cell>
          <cell r="AB11808" t="str">
            <v>line item not tagged</v>
          </cell>
        </row>
        <row r="11809">
          <cell r="W11809">
            <v>0</v>
          </cell>
          <cell r="AB11809" t="str">
            <v>line item not tagged</v>
          </cell>
        </row>
        <row r="11810">
          <cell r="W11810">
            <v>0</v>
          </cell>
          <cell r="AB11810" t="str">
            <v>line item not tagged</v>
          </cell>
        </row>
        <row r="11811">
          <cell r="W11811">
            <v>0</v>
          </cell>
          <cell r="AB11811" t="str">
            <v>line item not tagged</v>
          </cell>
        </row>
        <row r="11812">
          <cell r="W11812">
            <v>0</v>
          </cell>
          <cell r="AB11812" t="str">
            <v>line item not tagged</v>
          </cell>
        </row>
        <row r="11813">
          <cell r="W11813">
            <v>0</v>
          </cell>
          <cell r="AB11813" t="str">
            <v>line item not tagged</v>
          </cell>
        </row>
        <row r="11814">
          <cell r="W11814">
            <v>0</v>
          </cell>
          <cell r="AB11814" t="str">
            <v>line item not tagged</v>
          </cell>
        </row>
        <row r="11815">
          <cell r="W11815">
            <v>0</v>
          </cell>
          <cell r="AB11815" t="str">
            <v>line item not tagged</v>
          </cell>
        </row>
        <row r="11816">
          <cell r="W11816">
            <v>0</v>
          </cell>
          <cell r="AB11816" t="str">
            <v>line item not tagged</v>
          </cell>
        </row>
        <row r="11817">
          <cell r="W11817">
            <v>0</v>
          </cell>
          <cell r="AB11817" t="str">
            <v>line item not tagged</v>
          </cell>
        </row>
        <row r="11818">
          <cell r="W11818">
            <v>0</v>
          </cell>
          <cell r="AB11818" t="str">
            <v>line item not tagged</v>
          </cell>
        </row>
        <row r="11819">
          <cell r="W11819">
            <v>0</v>
          </cell>
          <cell r="AB11819" t="str">
            <v>line item not tagged</v>
          </cell>
        </row>
        <row r="11820">
          <cell r="W11820">
            <v>0</v>
          </cell>
          <cell r="AB11820" t="str">
            <v>line item not tagged</v>
          </cell>
        </row>
        <row r="11821">
          <cell r="W11821">
            <v>0</v>
          </cell>
          <cell r="AB11821" t="str">
            <v>line item not tagged</v>
          </cell>
        </row>
        <row r="11822">
          <cell r="W11822">
            <v>0</v>
          </cell>
          <cell r="AB11822" t="str">
            <v>line item not tagged</v>
          </cell>
        </row>
        <row r="11823">
          <cell r="W11823">
            <v>0</v>
          </cell>
          <cell r="AB11823" t="str">
            <v>line item not tagged</v>
          </cell>
        </row>
        <row r="11824">
          <cell r="W11824">
            <v>0</v>
          </cell>
          <cell r="AB11824" t="str">
            <v>line item not tagged</v>
          </cell>
        </row>
        <row r="11825">
          <cell r="W11825">
            <v>0</v>
          </cell>
          <cell r="AB11825" t="str">
            <v>line item not tagged</v>
          </cell>
        </row>
        <row r="11826">
          <cell r="W11826">
            <v>0</v>
          </cell>
          <cell r="AB11826" t="str">
            <v>line item not tagged</v>
          </cell>
        </row>
        <row r="11827">
          <cell r="W11827">
            <v>0</v>
          </cell>
          <cell r="AB11827" t="str">
            <v>line item not tagged</v>
          </cell>
        </row>
        <row r="11828">
          <cell r="W11828">
            <v>0</v>
          </cell>
          <cell r="AB11828" t="str">
            <v>line item not tagged</v>
          </cell>
        </row>
        <row r="11829">
          <cell r="W11829">
            <v>0</v>
          </cell>
          <cell r="AB11829" t="str">
            <v>line item not tagged</v>
          </cell>
        </row>
        <row r="11830">
          <cell r="W11830">
            <v>0</v>
          </cell>
          <cell r="AB11830" t="str">
            <v>line item not tagged</v>
          </cell>
        </row>
        <row r="11831">
          <cell r="W11831">
            <v>0</v>
          </cell>
          <cell r="AB11831" t="str">
            <v>line item not tagged</v>
          </cell>
        </row>
        <row r="11832">
          <cell r="W11832">
            <v>0</v>
          </cell>
          <cell r="AB11832" t="str">
            <v>line item not tagged</v>
          </cell>
        </row>
        <row r="11833">
          <cell r="W11833">
            <v>0</v>
          </cell>
          <cell r="AB11833" t="str">
            <v>line item not tagged</v>
          </cell>
        </row>
        <row r="11834">
          <cell r="W11834">
            <v>0</v>
          </cell>
          <cell r="AB11834" t="str">
            <v>line item not tagged</v>
          </cell>
        </row>
        <row r="11835">
          <cell r="W11835">
            <v>0</v>
          </cell>
          <cell r="AB11835" t="str">
            <v>line item not tagged</v>
          </cell>
        </row>
        <row r="11836">
          <cell r="W11836">
            <v>0</v>
          </cell>
          <cell r="AB11836" t="str">
            <v>line item not tagged</v>
          </cell>
        </row>
        <row r="11837">
          <cell r="W11837">
            <v>0</v>
          </cell>
          <cell r="AB11837" t="str">
            <v>line item not tagged</v>
          </cell>
        </row>
        <row r="11838">
          <cell r="W11838">
            <v>0</v>
          </cell>
          <cell r="AB11838" t="str">
            <v>line item not tagged</v>
          </cell>
        </row>
        <row r="11839">
          <cell r="W11839">
            <v>0</v>
          </cell>
          <cell r="AB11839" t="str">
            <v>line item not tagged</v>
          </cell>
        </row>
        <row r="11840">
          <cell r="W11840">
            <v>0</v>
          </cell>
          <cell r="AB11840" t="str">
            <v>line item not tagged</v>
          </cell>
        </row>
        <row r="11841">
          <cell r="W11841">
            <v>0</v>
          </cell>
          <cell r="AB11841" t="str">
            <v>line item not tagged</v>
          </cell>
        </row>
        <row r="11842">
          <cell r="W11842">
            <v>0</v>
          </cell>
          <cell r="AB11842" t="str">
            <v>line item not tagged</v>
          </cell>
        </row>
        <row r="11843">
          <cell r="W11843">
            <v>0</v>
          </cell>
          <cell r="AB11843" t="str">
            <v>line item not tagged</v>
          </cell>
        </row>
        <row r="11844">
          <cell r="W11844">
            <v>0</v>
          </cell>
          <cell r="AB11844" t="str">
            <v>line item not tagged</v>
          </cell>
        </row>
        <row r="11845">
          <cell r="W11845">
            <v>0</v>
          </cell>
          <cell r="AB11845" t="str">
            <v>line item not tagged</v>
          </cell>
        </row>
        <row r="11846">
          <cell r="W11846">
            <v>0</v>
          </cell>
          <cell r="AB11846" t="str">
            <v>line item not tagged</v>
          </cell>
        </row>
        <row r="11847">
          <cell r="W11847">
            <v>0</v>
          </cell>
          <cell r="AB11847" t="str">
            <v>line item not tagged</v>
          </cell>
        </row>
        <row r="11848">
          <cell r="W11848">
            <v>0</v>
          </cell>
          <cell r="AB11848" t="str">
            <v>line item not tagged</v>
          </cell>
        </row>
        <row r="11849">
          <cell r="W11849">
            <v>0</v>
          </cell>
          <cell r="AB11849" t="str">
            <v>line item not tagged</v>
          </cell>
        </row>
        <row r="11850">
          <cell r="W11850">
            <v>0</v>
          </cell>
          <cell r="AB11850" t="str">
            <v>line item not tagged</v>
          </cell>
        </row>
        <row r="11851">
          <cell r="W11851">
            <v>0</v>
          </cell>
          <cell r="AB11851" t="str">
            <v>line item not tagged</v>
          </cell>
        </row>
        <row r="11852">
          <cell r="W11852">
            <v>0</v>
          </cell>
          <cell r="AB11852" t="str">
            <v>line item not tagged</v>
          </cell>
        </row>
        <row r="11853">
          <cell r="W11853">
            <v>0</v>
          </cell>
          <cell r="AB11853" t="str">
            <v>line item not tagged</v>
          </cell>
        </row>
        <row r="11854">
          <cell r="W11854">
            <v>0</v>
          </cell>
          <cell r="AB11854" t="str">
            <v>line item not tagged</v>
          </cell>
        </row>
        <row r="11855">
          <cell r="W11855">
            <v>0</v>
          </cell>
          <cell r="AB11855" t="str">
            <v>line item not tagged</v>
          </cell>
        </row>
        <row r="11856">
          <cell r="W11856">
            <v>0</v>
          </cell>
          <cell r="AB11856" t="str">
            <v>line item not tagged</v>
          </cell>
        </row>
        <row r="11857">
          <cell r="W11857">
            <v>0</v>
          </cell>
          <cell r="AB11857" t="str">
            <v>line item not tagged</v>
          </cell>
        </row>
        <row r="11858">
          <cell r="W11858">
            <v>0</v>
          </cell>
          <cell r="AB11858" t="str">
            <v>line item not tagged</v>
          </cell>
        </row>
        <row r="11859">
          <cell r="W11859">
            <v>0</v>
          </cell>
          <cell r="AB11859" t="str">
            <v>line item not tagged</v>
          </cell>
        </row>
        <row r="11860">
          <cell r="W11860">
            <v>0</v>
          </cell>
          <cell r="AB11860" t="str">
            <v>line item not tagged</v>
          </cell>
        </row>
        <row r="11861">
          <cell r="W11861">
            <v>0</v>
          </cell>
          <cell r="AB11861" t="str">
            <v>line item not tagged</v>
          </cell>
        </row>
        <row r="11862">
          <cell r="W11862">
            <v>0</v>
          </cell>
          <cell r="AB11862" t="str">
            <v>line item not tagged</v>
          </cell>
        </row>
        <row r="11863">
          <cell r="W11863">
            <v>0</v>
          </cell>
          <cell r="AB11863" t="str">
            <v>line item not tagged</v>
          </cell>
        </row>
        <row r="11864">
          <cell r="W11864">
            <v>0</v>
          </cell>
          <cell r="AB11864" t="str">
            <v>line item not tagged</v>
          </cell>
        </row>
        <row r="11865">
          <cell r="W11865">
            <v>0</v>
          </cell>
          <cell r="AB11865" t="str">
            <v>line item not tagged</v>
          </cell>
        </row>
        <row r="11866">
          <cell r="W11866">
            <v>0</v>
          </cell>
          <cell r="AB11866" t="str">
            <v>line item not tagged</v>
          </cell>
        </row>
        <row r="11867">
          <cell r="W11867">
            <v>0</v>
          </cell>
          <cell r="AB11867" t="str">
            <v>line item not tagged</v>
          </cell>
        </row>
        <row r="11868">
          <cell r="W11868">
            <v>0</v>
          </cell>
          <cell r="AB11868" t="str">
            <v>line item not tagged</v>
          </cell>
        </row>
        <row r="11869">
          <cell r="W11869">
            <v>0</v>
          </cell>
          <cell r="AB11869" t="str">
            <v>line item not tagged</v>
          </cell>
        </row>
        <row r="11870">
          <cell r="W11870">
            <v>0</v>
          </cell>
          <cell r="AB11870" t="str">
            <v>line item not tagged</v>
          </cell>
        </row>
        <row r="11871">
          <cell r="W11871">
            <v>0</v>
          </cell>
          <cell r="AB11871" t="str">
            <v>line item not tagged</v>
          </cell>
        </row>
        <row r="11872">
          <cell r="W11872">
            <v>0</v>
          </cell>
          <cell r="AB11872" t="str">
            <v>line item not tagged</v>
          </cell>
        </row>
        <row r="11873">
          <cell r="W11873">
            <v>0</v>
          </cell>
          <cell r="AB11873" t="str">
            <v>line item not tagged</v>
          </cell>
        </row>
        <row r="11874">
          <cell r="W11874">
            <v>0</v>
          </cell>
          <cell r="AB11874" t="str">
            <v>line item not tagged</v>
          </cell>
        </row>
        <row r="11875">
          <cell r="W11875">
            <v>0</v>
          </cell>
          <cell r="AB11875" t="str">
            <v>line item not tagged</v>
          </cell>
        </row>
        <row r="11876">
          <cell r="W11876">
            <v>0</v>
          </cell>
          <cell r="AB11876" t="str">
            <v>line item not tagged</v>
          </cell>
        </row>
        <row r="11877">
          <cell r="W11877">
            <v>0</v>
          </cell>
          <cell r="AB11877" t="str">
            <v>line item not tagged</v>
          </cell>
        </row>
        <row r="11878">
          <cell r="W11878">
            <v>0</v>
          </cell>
          <cell r="AB11878" t="str">
            <v>line item not tagged</v>
          </cell>
        </row>
        <row r="11879">
          <cell r="W11879">
            <v>0</v>
          </cell>
          <cell r="AB11879" t="str">
            <v>line item not tagged</v>
          </cell>
        </row>
        <row r="11880">
          <cell r="W11880">
            <v>0</v>
          </cell>
          <cell r="AB11880" t="str">
            <v>line item not tagged</v>
          </cell>
        </row>
        <row r="11881">
          <cell r="W11881">
            <v>0</v>
          </cell>
          <cell r="AB11881" t="str">
            <v>line item not tagged</v>
          </cell>
        </row>
        <row r="11882">
          <cell r="W11882">
            <v>0</v>
          </cell>
          <cell r="AB11882" t="str">
            <v>line item not tagged</v>
          </cell>
        </row>
        <row r="11883">
          <cell r="W11883">
            <v>0</v>
          </cell>
          <cell r="AB11883" t="str">
            <v>line item not tagged</v>
          </cell>
        </row>
        <row r="11884">
          <cell r="W11884">
            <v>0</v>
          </cell>
          <cell r="AB11884" t="str">
            <v>line item not tagged</v>
          </cell>
        </row>
        <row r="11885">
          <cell r="W11885">
            <v>0</v>
          </cell>
          <cell r="AB11885" t="str">
            <v>line item not tagged</v>
          </cell>
        </row>
        <row r="11886">
          <cell r="W11886">
            <v>0</v>
          </cell>
          <cell r="AB11886" t="str">
            <v>line item not tagged</v>
          </cell>
        </row>
        <row r="11887">
          <cell r="W11887">
            <v>0</v>
          </cell>
          <cell r="AB11887" t="str">
            <v>line item not tagged</v>
          </cell>
        </row>
        <row r="11888">
          <cell r="W11888">
            <v>0</v>
          </cell>
          <cell r="AB11888" t="str">
            <v>line item not tagged</v>
          </cell>
        </row>
        <row r="11889">
          <cell r="W11889">
            <v>0</v>
          </cell>
          <cell r="AB11889" t="str">
            <v>line item not tagged</v>
          </cell>
        </row>
        <row r="11890">
          <cell r="W11890">
            <v>0</v>
          </cell>
          <cell r="AB11890" t="str">
            <v>line item not tagged</v>
          </cell>
        </row>
        <row r="11891">
          <cell r="W11891">
            <v>0</v>
          </cell>
          <cell r="AB11891" t="str">
            <v>line item not tagged</v>
          </cell>
        </row>
        <row r="11892">
          <cell r="W11892">
            <v>0</v>
          </cell>
          <cell r="AB11892" t="str">
            <v>line item not tagged</v>
          </cell>
        </row>
        <row r="11893">
          <cell r="W11893">
            <v>0</v>
          </cell>
          <cell r="AB11893" t="str">
            <v>line item not tagged</v>
          </cell>
        </row>
        <row r="11894">
          <cell r="W11894">
            <v>0</v>
          </cell>
          <cell r="AB11894" t="str">
            <v>line item not tagged</v>
          </cell>
        </row>
        <row r="11895">
          <cell r="W11895">
            <v>0</v>
          </cell>
          <cell r="AB11895" t="str">
            <v>line item not tagged</v>
          </cell>
        </row>
        <row r="11896">
          <cell r="W11896">
            <v>0</v>
          </cell>
          <cell r="AB11896" t="str">
            <v>line item not tagged</v>
          </cell>
        </row>
        <row r="11897">
          <cell r="W11897">
            <v>0</v>
          </cell>
          <cell r="AB11897" t="str">
            <v>line item not tagged</v>
          </cell>
        </row>
        <row r="11898">
          <cell r="W11898">
            <v>0</v>
          </cell>
          <cell r="AB11898" t="str">
            <v>line item not tagged</v>
          </cell>
        </row>
        <row r="11899">
          <cell r="W11899">
            <v>0</v>
          </cell>
          <cell r="AB11899" t="str">
            <v>line item not tagged</v>
          </cell>
        </row>
        <row r="11900">
          <cell r="W11900">
            <v>0</v>
          </cell>
          <cell r="AB11900" t="str">
            <v>line item not tagged</v>
          </cell>
        </row>
        <row r="11901">
          <cell r="W11901">
            <v>0</v>
          </cell>
          <cell r="AB11901" t="str">
            <v>line item not tagged</v>
          </cell>
        </row>
        <row r="11902">
          <cell r="W11902">
            <v>0</v>
          </cell>
          <cell r="AB11902" t="str">
            <v>line item not tagged</v>
          </cell>
        </row>
        <row r="11903">
          <cell r="W11903">
            <v>0</v>
          </cell>
          <cell r="AB11903" t="str">
            <v>line item not tagged</v>
          </cell>
        </row>
        <row r="11904">
          <cell r="W11904">
            <v>0</v>
          </cell>
          <cell r="AB11904" t="str">
            <v>line item not tagged</v>
          </cell>
        </row>
        <row r="11905">
          <cell r="W11905">
            <v>0</v>
          </cell>
          <cell r="AB11905" t="str">
            <v>line item not tagged</v>
          </cell>
        </row>
        <row r="11906">
          <cell r="W11906">
            <v>0</v>
          </cell>
          <cell r="AB11906" t="str">
            <v>line item not tagged</v>
          </cell>
        </row>
        <row r="11907">
          <cell r="W11907">
            <v>0</v>
          </cell>
          <cell r="AB11907" t="str">
            <v>line item not tagged</v>
          </cell>
        </row>
        <row r="11908">
          <cell r="W11908">
            <v>0</v>
          </cell>
          <cell r="AB11908" t="str">
            <v>line item not tagged</v>
          </cell>
        </row>
        <row r="11909">
          <cell r="W11909">
            <v>0</v>
          </cell>
          <cell r="AB11909" t="str">
            <v>line item not tagged</v>
          </cell>
        </row>
        <row r="11910">
          <cell r="W11910">
            <v>0</v>
          </cell>
          <cell r="AB11910" t="str">
            <v>line item not tagged</v>
          </cell>
        </row>
        <row r="11911">
          <cell r="W11911">
            <v>0</v>
          </cell>
          <cell r="AB11911" t="str">
            <v>line item not tagged</v>
          </cell>
        </row>
        <row r="11912">
          <cell r="W11912">
            <v>0</v>
          </cell>
          <cell r="AB11912" t="str">
            <v>line item not tagged</v>
          </cell>
        </row>
        <row r="11913">
          <cell r="W11913">
            <v>0</v>
          </cell>
          <cell r="AB11913" t="str">
            <v>line item not tagged</v>
          </cell>
        </row>
        <row r="11914">
          <cell r="W11914">
            <v>0</v>
          </cell>
          <cell r="AB11914" t="str">
            <v>line item not tagged</v>
          </cell>
        </row>
        <row r="11915">
          <cell r="W11915">
            <v>0</v>
          </cell>
          <cell r="AB11915" t="str">
            <v>line item not tagged</v>
          </cell>
        </row>
        <row r="11916">
          <cell r="W11916">
            <v>0</v>
          </cell>
          <cell r="AB11916" t="str">
            <v>line item not tagged</v>
          </cell>
        </row>
        <row r="11917">
          <cell r="W11917">
            <v>0</v>
          </cell>
          <cell r="AB11917" t="str">
            <v>line item not tagged</v>
          </cell>
        </row>
        <row r="11918">
          <cell r="W11918">
            <v>0</v>
          </cell>
          <cell r="AB11918" t="str">
            <v>line item not tagged</v>
          </cell>
        </row>
        <row r="11919">
          <cell r="W11919">
            <v>0</v>
          </cell>
          <cell r="AB11919" t="str">
            <v>line item not tagged</v>
          </cell>
        </row>
        <row r="11920">
          <cell r="W11920">
            <v>0</v>
          </cell>
          <cell r="AB11920" t="str">
            <v>line item not tagged</v>
          </cell>
        </row>
        <row r="11921">
          <cell r="W11921">
            <v>0</v>
          </cell>
          <cell r="AB11921" t="str">
            <v>line item not tagged</v>
          </cell>
        </row>
        <row r="11922">
          <cell r="W11922">
            <v>0</v>
          </cell>
          <cell r="AB11922" t="str">
            <v>line item not tagged</v>
          </cell>
        </row>
        <row r="11923">
          <cell r="W11923">
            <v>0</v>
          </cell>
          <cell r="AB11923" t="str">
            <v>line item not tagged</v>
          </cell>
        </row>
        <row r="11924">
          <cell r="W11924">
            <v>0</v>
          </cell>
          <cell r="AB11924" t="str">
            <v>line item not tagged</v>
          </cell>
        </row>
        <row r="11925">
          <cell r="W11925">
            <v>0</v>
          </cell>
          <cell r="AB11925" t="str">
            <v>line item not tagged</v>
          </cell>
        </row>
        <row r="11926">
          <cell r="W11926">
            <v>0</v>
          </cell>
          <cell r="AB11926" t="str">
            <v>line item not tagged</v>
          </cell>
        </row>
        <row r="11927">
          <cell r="W11927">
            <v>0</v>
          </cell>
          <cell r="AB11927" t="str">
            <v>line item not tagged</v>
          </cell>
        </row>
        <row r="11928">
          <cell r="W11928">
            <v>0</v>
          </cell>
          <cell r="AB11928" t="str">
            <v>line item not tagged</v>
          </cell>
        </row>
        <row r="11929">
          <cell r="W11929">
            <v>0</v>
          </cell>
          <cell r="AB11929" t="str">
            <v>line item not tagged</v>
          </cell>
        </row>
        <row r="11930">
          <cell r="W11930">
            <v>0</v>
          </cell>
          <cell r="AB11930" t="str">
            <v>line item not tagged</v>
          </cell>
        </row>
        <row r="11931">
          <cell r="W11931">
            <v>0</v>
          </cell>
          <cell r="AB11931" t="str">
            <v>line item not tagged</v>
          </cell>
        </row>
        <row r="11932">
          <cell r="W11932">
            <v>0</v>
          </cell>
          <cell r="AB11932" t="str">
            <v>line item not tagged</v>
          </cell>
        </row>
        <row r="11933">
          <cell r="W11933">
            <v>0</v>
          </cell>
          <cell r="AB11933" t="str">
            <v>line item not tagged</v>
          </cell>
        </row>
        <row r="11934">
          <cell r="W11934">
            <v>0</v>
          </cell>
          <cell r="AB11934" t="str">
            <v>line item not tagged</v>
          </cell>
        </row>
        <row r="11935">
          <cell r="W11935">
            <v>0</v>
          </cell>
          <cell r="AB11935" t="str">
            <v>line item not tagged</v>
          </cell>
        </row>
        <row r="11936">
          <cell r="W11936">
            <v>0</v>
          </cell>
          <cell r="AB11936" t="str">
            <v>line item not tagged</v>
          </cell>
        </row>
        <row r="11937">
          <cell r="W11937">
            <v>0</v>
          </cell>
          <cell r="AB11937" t="str">
            <v>line item not tagged</v>
          </cell>
        </row>
        <row r="11938">
          <cell r="W11938">
            <v>0</v>
          </cell>
          <cell r="AB11938" t="str">
            <v>line item not tagged</v>
          </cell>
        </row>
        <row r="11939">
          <cell r="W11939">
            <v>0</v>
          </cell>
          <cell r="AB11939" t="str">
            <v>line item not tagged</v>
          </cell>
        </row>
        <row r="11940">
          <cell r="W11940">
            <v>0</v>
          </cell>
          <cell r="AB11940" t="str">
            <v>line item not tagged</v>
          </cell>
        </row>
        <row r="11941">
          <cell r="W11941">
            <v>0</v>
          </cell>
          <cell r="AB11941" t="str">
            <v>line item not tagged</v>
          </cell>
        </row>
        <row r="11942">
          <cell r="W11942">
            <v>0</v>
          </cell>
          <cell r="AB11942" t="str">
            <v>line item not tagged</v>
          </cell>
        </row>
        <row r="11943">
          <cell r="W11943">
            <v>0</v>
          </cell>
          <cell r="AB11943" t="str">
            <v>line item not tagged</v>
          </cell>
        </row>
        <row r="11944">
          <cell r="W11944">
            <v>0</v>
          </cell>
          <cell r="AB11944" t="str">
            <v>line item not tagged</v>
          </cell>
        </row>
        <row r="11945">
          <cell r="W11945">
            <v>0</v>
          </cell>
          <cell r="AB11945" t="str">
            <v>line item not tagged</v>
          </cell>
        </row>
        <row r="11946">
          <cell r="W11946">
            <v>0</v>
          </cell>
          <cell r="AB11946" t="str">
            <v>line item not tagged</v>
          </cell>
        </row>
        <row r="11947">
          <cell r="W11947">
            <v>0</v>
          </cell>
          <cell r="AB11947" t="str">
            <v>line item not tagged</v>
          </cell>
        </row>
        <row r="11948">
          <cell r="W11948">
            <v>0</v>
          </cell>
          <cell r="AB11948" t="str">
            <v>line item not tagged</v>
          </cell>
        </row>
        <row r="11949">
          <cell r="W11949">
            <v>0</v>
          </cell>
          <cell r="AB11949" t="str">
            <v>line item not tagged</v>
          </cell>
        </row>
        <row r="11950">
          <cell r="W11950">
            <v>0</v>
          </cell>
          <cell r="AB11950" t="str">
            <v>line item not tagged</v>
          </cell>
        </row>
        <row r="11951">
          <cell r="W11951">
            <v>0</v>
          </cell>
          <cell r="AB11951" t="str">
            <v>line item not tagged</v>
          </cell>
        </row>
        <row r="11952">
          <cell r="W11952">
            <v>0</v>
          </cell>
          <cell r="AB11952" t="str">
            <v>line item not tagged</v>
          </cell>
        </row>
        <row r="11953">
          <cell r="W11953">
            <v>0</v>
          </cell>
          <cell r="AB11953" t="str">
            <v>line item not tagged</v>
          </cell>
        </row>
        <row r="11954">
          <cell r="W11954">
            <v>0</v>
          </cell>
          <cell r="AB11954" t="str">
            <v>line item not tagged</v>
          </cell>
        </row>
        <row r="11955">
          <cell r="W11955">
            <v>0</v>
          </cell>
          <cell r="AB11955" t="str">
            <v>line item not tagged</v>
          </cell>
        </row>
        <row r="11956">
          <cell r="W11956">
            <v>0</v>
          </cell>
          <cell r="AB11956" t="str">
            <v>line item not tagged</v>
          </cell>
        </row>
        <row r="11957">
          <cell r="W11957">
            <v>0</v>
          </cell>
          <cell r="AB11957" t="str">
            <v>line item not tagged</v>
          </cell>
        </row>
        <row r="11958">
          <cell r="W11958">
            <v>0</v>
          </cell>
          <cell r="AB11958" t="str">
            <v>line item not tagged</v>
          </cell>
        </row>
        <row r="11959">
          <cell r="W11959">
            <v>0</v>
          </cell>
          <cell r="AB11959" t="str">
            <v>line item not tagged</v>
          </cell>
        </row>
        <row r="11960">
          <cell r="W11960">
            <v>0</v>
          </cell>
          <cell r="AB11960" t="str">
            <v>line item not tagged</v>
          </cell>
        </row>
        <row r="11961">
          <cell r="W11961">
            <v>0</v>
          </cell>
          <cell r="AB11961" t="str">
            <v>line item not tagged</v>
          </cell>
        </row>
        <row r="11962">
          <cell r="W11962">
            <v>0</v>
          </cell>
          <cell r="AB11962" t="str">
            <v>line item not tagged</v>
          </cell>
        </row>
        <row r="11963">
          <cell r="W11963">
            <v>0</v>
          </cell>
          <cell r="AB11963" t="str">
            <v>line item not tagged</v>
          </cell>
        </row>
        <row r="11964">
          <cell r="W11964">
            <v>0</v>
          </cell>
          <cell r="AB11964" t="str">
            <v>line item not tagged</v>
          </cell>
        </row>
        <row r="11965">
          <cell r="W11965">
            <v>0</v>
          </cell>
          <cell r="AB11965" t="str">
            <v>line item not tagged</v>
          </cell>
        </row>
        <row r="11966">
          <cell r="W11966">
            <v>0</v>
          </cell>
          <cell r="AB11966" t="str">
            <v>line item not tagged</v>
          </cell>
        </row>
        <row r="11967">
          <cell r="W11967">
            <v>0</v>
          </cell>
          <cell r="AB11967" t="str">
            <v>line item not tagged</v>
          </cell>
        </row>
        <row r="11968">
          <cell r="W11968">
            <v>0</v>
          </cell>
          <cell r="AB11968" t="str">
            <v>line item not tagged</v>
          </cell>
        </row>
        <row r="11969">
          <cell r="W11969">
            <v>0</v>
          </cell>
          <cell r="AB11969" t="str">
            <v>line item not tagged</v>
          </cell>
        </row>
        <row r="11970">
          <cell r="W11970">
            <v>0</v>
          </cell>
          <cell r="AB11970" t="str">
            <v>line item not tagged</v>
          </cell>
        </row>
        <row r="11971">
          <cell r="W11971">
            <v>0</v>
          </cell>
          <cell r="AB11971" t="str">
            <v>line item not tagged</v>
          </cell>
        </row>
        <row r="11972">
          <cell r="W11972">
            <v>0</v>
          </cell>
          <cell r="AB11972" t="str">
            <v>line item not tagged</v>
          </cell>
        </row>
        <row r="11973">
          <cell r="W11973">
            <v>0</v>
          </cell>
          <cell r="AB11973" t="str">
            <v>line item not tagged</v>
          </cell>
        </row>
        <row r="11974">
          <cell r="W11974">
            <v>0</v>
          </cell>
          <cell r="AB11974" t="str">
            <v>line item not tagged</v>
          </cell>
        </row>
        <row r="11975">
          <cell r="W11975">
            <v>0</v>
          </cell>
          <cell r="AB11975" t="str">
            <v>line item not tagged</v>
          </cell>
        </row>
        <row r="11976">
          <cell r="W11976">
            <v>0</v>
          </cell>
          <cell r="AB11976" t="str">
            <v>line item not tagged</v>
          </cell>
        </row>
        <row r="11977">
          <cell r="W11977">
            <v>0</v>
          </cell>
          <cell r="AB11977" t="str">
            <v>line item not tagged</v>
          </cell>
        </row>
        <row r="11978">
          <cell r="W11978">
            <v>0</v>
          </cell>
          <cell r="AB11978" t="str">
            <v>line item not tagged</v>
          </cell>
        </row>
        <row r="11979">
          <cell r="W11979">
            <v>0</v>
          </cell>
          <cell r="AB11979" t="str">
            <v>line item not tagged</v>
          </cell>
        </row>
        <row r="11980">
          <cell r="W11980">
            <v>0</v>
          </cell>
          <cell r="AB11980" t="str">
            <v>line item not tagged</v>
          </cell>
        </row>
        <row r="11981">
          <cell r="W11981">
            <v>0</v>
          </cell>
          <cell r="AB11981" t="str">
            <v>line item not tagged</v>
          </cell>
        </row>
        <row r="11982">
          <cell r="W11982">
            <v>0</v>
          </cell>
          <cell r="AB11982" t="str">
            <v>line item not tagged</v>
          </cell>
        </row>
        <row r="11983">
          <cell r="W11983">
            <v>0</v>
          </cell>
          <cell r="AB11983" t="str">
            <v>line item not tagged</v>
          </cell>
        </row>
        <row r="11984">
          <cell r="W11984">
            <v>0</v>
          </cell>
          <cell r="AB11984" t="str">
            <v>line item not tagged</v>
          </cell>
        </row>
        <row r="11985">
          <cell r="W11985">
            <v>0</v>
          </cell>
          <cell r="AB11985" t="str">
            <v>line item not tagged</v>
          </cell>
        </row>
        <row r="11986">
          <cell r="W11986">
            <v>0</v>
          </cell>
          <cell r="AB11986" t="str">
            <v>line item not tagged</v>
          </cell>
        </row>
        <row r="11987">
          <cell r="W11987">
            <v>0</v>
          </cell>
          <cell r="AB11987" t="str">
            <v>line item not tagged</v>
          </cell>
        </row>
        <row r="11988">
          <cell r="W11988">
            <v>0</v>
          </cell>
          <cell r="AB11988" t="str">
            <v>line item not tagged</v>
          </cell>
        </row>
        <row r="11989">
          <cell r="W11989">
            <v>0</v>
          </cell>
          <cell r="AB11989" t="str">
            <v>line item not tagged</v>
          </cell>
        </row>
        <row r="11990">
          <cell r="W11990">
            <v>0</v>
          </cell>
          <cell r="AB11990" t="str">
            <v>line item not tagged</v>
          </cell>
        </row>
        <row r="11991">
          <cell r="W11991">
            <v>0</v>
          </cell>
          <cell r="AB11991" t="str">
            <v>line item not tagged</v>
          </cell>
        </row>
        <row r="11992">
          <cell r="W11992">
            <v>0</v>
          </cell>
          <cell r="AB11992" t="str">
            <v>line item not tagged</v>
          </cell>
        </row>
        <row r="11993">
          <cell r="W11993">
            <v>0</v>
          </cell>
          <cell r="AB11993" t="str">
            <v>line item not tagged</v>
          </cell>
        </row>
        <row r="11994">
          <cell r="W11994">
            <v>0</v>
          </cell>
          <cell r="AB11994" t="str">
            <v>line item not tagged</v>
          </cell>
        </row>
        <row r="11995">
          <cell r="W11995">
            <v>0</v>
          </cell>
          <cell r="AB11995" t="str">
            <v>line item not tagged</v>
          </cell>
        </row>
        <row r="11996">
          <cell r="W11996">
            <v>0</v>
          </cell>
          <cell r="AB11996" t="str">
            <v>line item not tagged</v>
          </cell>
        </row>
        <row r="11997">
          <cell r="W11997">
            <v>0</v>
          </cell>
          <cell r="AB11997" t="str">
            <v>line item not tagged</v>
          </cell>
        </row>
        <row r="11998">
          <cell r="W11998">
            <v>0</v>
          </cell>
          <cell r="AB11998" t="str">
            <v>line item not tagged</v>
          </cell>
        </row>
        <row r="11999">
          <cell r="W11999">
            <v>0</v>
          </cell>
          <cell r="AB11999" t="str">
            <v>line item not tagged</v>
          </cell>
        </row>
        <row r="12000">
          <cell r="W12000">
            <v>0</v>
          </cell>
          <cell r="AB12000" t="str">
            <v>line item not tagged</v>
          </cell>
        </row>
        <row r="12001">
          <cell r="W12001">
            <v>0</v>
          </cell>
          <cell r="AB12001" t="str">
            <v>line item not tagged</v>
          </cell>
        </row>
        <row r="12002">
          <cell r="W12002">
            <v>0</v>
          </cell>
          <cell r="AB12002" t="str">
            <v>line item not tagged</v>
          </cell>
        </row>
        <row r="12003">
          <cell r="W12003">
            <v>0</v>
          </cell>
          <cell r="AB12003" t="str">
            <v>line item not tagged</v>
          </cell>
        </row>
        <row r="12004">
          <cell r="W12004">
            <v>0</v>
          </cell>
          <cell r="AB12004" t="str">
            <v>line item not tagged</v>
          </cell>
        </row>
        <row r="12005">
          <cell r="W12005">
            <v>0</v>
          </cell>
          <cell r="AB12005" t="str">
            <v>line item not tagged</v>
          </cell>
        </row>
        <row r="12006">
          <cell r="W12006">
            <v>0</v>
          </cell>
          <cell r="AB12006" t="str">
            <v>line item not tagged</v>
          </cell>
        </row>
        <row r="12007">
          <cell r="W12007">
            <v>0</v>
          </cell>
          <cell r="AB12007" t="str">
            <v>line item not tagged</v>
          </cell>
        </row>
        <row r="12008">
          <cell r="W12008">
            <v>0</v>
          </cell>
          <cell r="AB12008" t="str">
            <v>line item not tagged</v>
          </cell>
        </row>
        <row r="12009">
          <cell r="W12009">
            <v>0</v>
          </cell>
          <cell r="AB12009" t="str">
            <v>line item not tagged</v>
          </cell>
        </row>
        <row r="12010">
          <cell r="W12010">
            <v>0</v>
          </cell>
          <cell r="AB12010" t="str">
            <v>line item not tagged</v>
          </cell>
        </row>
        <row r="12011">
          <cell r="W12011">
            <v>0</v>
          </cell>
          <cell r="AB12011" t="str">
            <v>line item not tagged</v>
          </cell>
        </row>
        <row r="12012">
          <cell r="W12012">
            <v>0</v>
          </cell>
          <cell r="AB12012" t="str">
            <v>line item not tagged</v>
          </cell>
        </row>
        <row r="12013">
          <cell r="W12013">
            <v>0</v>
          </cell>
          <cell r="AB12013" t="str">
            <v>line item not tagged</v>
          </cell>
        </row>
        <row r="12014">
          <cell r="W12014">
            <v>0</v>
          </cell>
          <cell r="AB12014" t="str">
            <v>line item not tagged</v>
          </cell>
        </row>
        <row r="12015">
          <cell r="W12015">
            <v>0</v>
          </cell>
          <cell r="AB12015" t="str">
            <v>line item not tagged</v>
          </cell>
        </row>
        <row r="12016">
          <cell r="W12016">
            <v>0</v>
          </cell>
          <cell r="AB12016" t="str">
            <v>line item not tagged</v>
          </cell>
        </row>
        <row r="12017">
          <cell r="W12017">
            <v>0</v>
          </cell>
          <cell r="AB12017" t="str">
            <v>line item not tagged</v>
          </cell>
        </row>
        <row r="12018">
          <cell r="W12018">
            <v>0</v>
          </cell>
          <cell r="AB12018" t="str">
            <v>line item not tagged</v>
          </cell>
        </row>
        <row r="12019">
          <cell r="W12019">
            <v>0</v>
          </cell>
          <cell r="AB12019" t="str">
            <v>line item not tagged</v>
          </cell>
        </row>
        <row r="12020">
          <cell r="W12020">
            <v>0</v>
          </cell>
          <cell r="AB12020" t="str">
            <v>line item not tagged</v>
          </cell>
        </row>
        <row r="12021">
          <cell r="W12021">
            <v>0</v>
          </cell>
          <cell r="AB12021" t="str">
            <v>line item not tagged</v>
          </cell>
        </row>
        <row r="12022">
          <cell r="W12022">
            <v>0</v>
          </cell>
          <cell r="AB12022" t="str">
            <v>line item not tagged</v>
          </cell>
        </row>
        <row r="12023">
          <cell r="W12023">
            <v>0</v>
          </cell>
          <cell r="AB12023" t="str">
            <v>line item not tagged</v>
          </cell>
        </row>
        <row r="12024">
          <cell r="W12024">
            <v>0</v>
          </cell>
          <cell r="AB12024" t="str">
            <v>line item not tagged</v>
          </cell>
        </row>
        <row r="12025">
          <cell r="W12025">
            <v>0</v>
          </cell>
          <cell r="AB12025" t="str">
            <v>line item not tagged</v>
          </cell>
        </row>
        <row r="12026">
          <cell r="W12026">
            <v>0</v>
          </cell>
          <cell r="AB12026" t="str">
            <v>line item not tagged</v>
          </cell>
        </row>
        <row r="12027">
          <cell r="W12027">
            <v>0</v>
          </cell>
          <cell r="AB12027" t="str">
            <v>line item not tagged</v>
          </cell>
        </row>
        <row r="12028">
          <cell r="W12028">
            <v>0</v>
          </cell>
          <cell r="AB12028" t="str">
            <v>line item not tagged</v>
          </cell>
        </row>
        <row r="12029">
          <cell r="W12029">
            <v>0</v>
          </cell>
          <cell r="AB12029" t="str">
            <v>line item not tagged</v>
          </cell>
        </row>
        <row r="12030">
          <cell r="W12030">
            <v>0</v>
          </cell>
          <cell r="AB12030" t="str">
            <v>line item not tagged</v>
          </cell>
        </row>
        <row r="12031">
          <cell r="W12031">
            <v>0</v>
          </cell>
          <cell r="AB12031" t="str">
            <v>line item not tagged</v>
          </cell>
        </row>
        <row r="12032">
          <cell r="W12032">
            <v>0</v>
          </cell>
          <cell r="AB12032" t="str">
            <v>line item not tagged</v>
          </cell>
        </row>
        <row r="12033">
          <cell r="W12033">
            <v>0</v>
          </cell>
          <cell r="AB12033" t="str">
            <v>line item not tagged</v>
          </cell>
        </row>
        <row r="12034">
          <cell r="W12034">
            <v>0</v>
          </cell>
          <cell r="AB12034" t="str">
            <v>line item not tagged</v>
          </cell>
        </row>
        <row r="12035">
          <cell r="W12035">
            <v>0</v>
          </cell>
          <cell r="AB12035" t="str">
            <v>line item not tagged</v>
          </cell>
        </row>
        <row r="12036">
          <cell r="W12036">
            <v>0</v>
          </cell>
          <cell r="AB12036" t="str">
            <v>line item not tagged</v>
          </cell>
        </row>
        <row r="12037">
          <cell r="W12037">
            <v>0</v>
          </cell>
          <cell r="AB12037" t="str">
            <v>line item not tagged</v>
          </cell>
        </row>
        <row r="12038">
          <cell r="W12038">
            <v>0</v>
          </cell>
          <cell r="AB12038" t="str">
            <v>line item not tagged</v>
          </cell>
        </row>
        <row r="12039">
          <cell r="W12039">
            <v>0</v>
          </cell>
          <cell r="AB12039" t="str">
            <v>line item not tagged</v>
          </cell>
        </row>
        <row r="12040">
          <cell r="W12040">
            <v>0</v>
          </cell>
          <cell r="AB12040" t="str">
            <v>line item not tagged</v>
          </cell>
        </row>
        <row r="12041">
          <cell r="W12041">
            <v>0</v>
          </cell>
          <cell r="AB12041" t="str">
            <v>line item not tagged</v>
          </cell>
        </row>
        <row r="12042">
          <cell r="W12042">
            <v>0</v>
          </cell>
          <cell r="AB12042" t="str">
            <v>line item not tagged</v>
          </cell>
        </row>
        <row r="12043">
          <cell r="W12043">
            <v>0</v>
          </cell>
          <cell r="AB12043" t="str">
            <v>line item not tagged</v>
          </cell>
        </row>
        <row r="12044">
          <cell r="W12044">
            <v>0</v>
          </cell>
          <cell r="AB12044" t="str">
            <v>line item not tagged</v>
          </cell>
        </row>
        <row r="12045">
          <cell r="W12045">
            <v>0</v>
          </cell>
          <cell r="AB12045" t="str">
            <v>line item not tagged</v>
          </cell>
        </row>
        <row r="12046">
          <cell r="W12046">
            <v>0</v>
          </cell>
          <cell r="AB12046" t="str">
            <v>line item not tagged</v>
          </cell>
        </row>
        <row r="12047">
          <cell r="W12047">
            <v>0</v>
          </cell>
          <cell r="AB12047" t="str">
            <v>line item not tagged</v>
          </cell>
        </row>
        <row r="12048">
          <cell r="W12048">
            <v>0</v>
          </cell>
          <cell r="AB12048" t="str">
            <v>line item not tagged</v>
          </cell>
        </row>
        <row r="12049">
          <cell r="W12049">
            <v>0</v>
          </cell>
          <cell r="AB12049" t="str">
            <v>line item not tagged</v>
          </cell>
        </row>
        <row r="12050">
          <cell r="W12050">
            <v>0</v>
          </cell>
          <cell r="AB12050" t="str">
            <v>line item not tagged</v>
          </cell>
        </row>
        <row r="12051">
          <cell r="W12051">
            <v>0</v>
          </cell>
          <cell r="AB12051" t="str">
            <v>line item not tagged</v>
          </cell>
        </row>
        <row r="12052">
          <cell r="W12052">
            <v>0</v>
          </cell>
          <cell r="AB12052" t="str">
            <v>line item not tagged</v>
          </cell>
        </row>
        <row r="12053">
          <cell r="W12053">
            <v>0</v>
          </cell>
          <cell r="AB12053" t="str">
            <v>line item not tagged</v>
          </cell>
        </row>
        <row r="12054">
          <cell r="W12054">
            <v>0</v>
          </cell>
          <cell r="AB12054" t="str">
            <v>line item not tagged</v>
          </cell>
        </row>
        <row r="12055">
          <cell r="W12055">
            <v>0</v>
          </cell>
          <cell r="AB12055" t="str">
            <v>line item not tagged</v>
          </cell>
        </row>
        <row r="12056">
          <cell r="W12056">
            <v>0</v>
          </cell>
          <cell r="AB12056" t="str">
            <v>line item not tagged</v>
          </cell>
        </row>
        <row r="12057">
          <cell r="W12057">
            <v>0</v>
          </cell>
          <cell r="AB12057" t="str">
            <v>line item not tagged</v>
          </cell>
        </row>
        <row r="12058">
          <cell r="W12058">
            <v>0</v>
          </cell>
          <cell r="AB12058" t="str">
            <v>line item not tagged</v>
          </cell>
        </row>
        <row r="12059">
          <cell r="W12059">
            <v>0</v>
          </cell>
          <cell r="AB12059" t="str">
            <v>line item not tagged</v>
          </cell>
        </row>
        <row r="12060">
          <cell r="W12060">
            <v>0</v>
          </cell>
          <cell r="AB12060" t="str">
            <v>line item not tagged</v>
          </cell>
        </row>
        <row r="12061">
          <cell r="W12061">
            <v>0</v>
          </cell>
          <cell r="AB12061" t="str">
            <v>line item not tagged</v>
          </cell>
        </row>
        <row r="12062">
          <cell r="W12062">
            <v>0</v>
          </cell>
          <cell r="AB12062" t="str">
            <v>line item not tagged</v>
          </cell>
        </row>
        <row r="12063">
          <cell r="W12063">
            <v>0</v>
          </cell>
          <cell r="AB12063" t="str">
            <v>line item not tagged</v>
          </cell>
        </row>
        <row r="12064">
          <cell r="W12064">
            <v>0</v>
          </cell>
          <cell r="AB12064" t="str">
            <v>line item not tagged</v>
          </cell>
        </row>
        <row r="12065">
          <cell r="W12065">
            <v>0</v>
          </cell>
          <cell r="AB12065" t="str">
            <v>line item not tagged</v>
          </cell>
        </row>
        <row r="12066">
          <cell r="W12066">
            <v>0</v>
          </cell>
          <cell r="AB12066" t="str">
            <v>line item not tagged</v>
          </cell>
        </row>
        <row r="12067">
          <cell r="W12067">
            <v>0</v>
          </cell>
          <cell r="AB12067" t="str">
            <v>line item not tagged</v>
          </cell>
        </row>
        <row r="12068">
          <cell r="W12068">
            <v>0</v>
          </cell>
          <cell r="AB12068" t="str">
            <v>line item not tagged</v>
          </cell>
        </row>
        <row r="12069">
          <cell r="W12069">
            <v>0</v>
          </cell>
          <cell r="AB12069" t="str">
            <v>line item not tagged</v>
          </cell>
        </row>
        <row r="12070">
          <cell r="W12070">
            <v>0</v>
          </cell>
          <cell r="AB12070" t="str">
            <v>line item not tagged</v>
          </cell>
        </row>
        <row r="12071">
          <cell r="W12071">
            <v>0</v>
          </cell>
          <cell r="AB12071" t="str">
            <v>line item not tagged</v>
          </cell>
        </row>
        <row r="12072">
          <cell r="W12072">
            <v>0</v>
          </cell>
          <cell r="AB12072" t="str">
            <v>line item not tagged</v>
          </cell>
        </row>
        <row r="12073">
          <cell r="W12073">
            <v>0</v>
          </cell>
          <cell r="AB12073" t="str">
            <v>line item not tagged</v>
          </cell>
        </row>
        <row r="12074">
          <cell r="W12074">
            <v>0</v>
          </cell>
          <cell r="AB12074" t="str">
            <v>line item not tagged</v>
          </cell>
        </row>
        <row r="12075">
          <cell r="W12075">
            <v>0</v>
          </cell>
          <cell r="AB12075" t="str">
            <v>line item not tagged</v>
          </cell>
        </row>
        <row r="12076">
          <cell r="W12076">
            <v>0</v>
          </cell>
          <cell r="AB12076" t="str">
            <v>line item not tagged</v>
          </cell>
        </row>
        <row r="12077">
          <cell r="W12077">
            <v>0</v>
          </cell>
          <cell r="AB12077" t="str">
            <v>line item not tagged</v>
          </cell>
        </row>
        <row r="12078">
          <cell r="W12078">
            <v>0</v>
          </cell>
          <cell r="AB12078" t="str">
            <v>line item not tagged</v>
          </cell>
        </row>
        <row r="12079">
          <cell r="W12079">
            <v>0</v>
          </cell>
          <cell r="AB12079" t="str">
            <v>line item not tagged</v>
          </cell>
        </row>
        <row r="12080">
          <cell r="W12080">
            <v>0</v>
          </cell>
          <cell r="AB12080" t="str">
            <v>line item not tagged</v>
          </cell>
        </row>
        <row r="12081">
          <cell r="W12081">
            <v>0</v>
          </cell>
          <cell r="AB12081" t="str">
            <v>line item not tagged</v>
          </cell>
        </row>
        <row r="12082">
          <cell r="W12082">
            <v>0</v>
          </cell>
          <cell r="AB12082" t="str">
            <v>line item not tagged</v>
          </cell>
        </row>
        <row r="12083">
          <cell r="W12083">
            <v>0</v>
          </cell>
          <cell r="AB12083" t="str">
            <v>line item not tagged</v>
          </cell>
        </row>
        <row r="12084">
          <cell r="W12084">
            <v>0</v>
          </cell>
          <cell r="AB12084" t="str">
            <v>line item not tagged</v>
          </cell>
        </row>
        <row r="12085">
          <cell r="W12085">
            <v>0</v>
          </cell>
          <cell r="AB12085" t="str">
            <v>line item not tagged</v>
          </cell>
        </row>
        <row r="12086">
          <cell r="W12086">
            <v>0</v>
          </cell>
          <cell r="AB12086" t="str">
            <v>line item not tagged</v>
          </cell>
        </row>
        <row r="12087">
          <cell r="W12087">
            <v>0</v>
          </cell>
          <cell r="AB12087" t="str">
            <v>line item not tagged</v>
          </cell>
        </row>
        <row r="12088">
          <cell r="W12088">
            <v>0</v>
          </cell>
          <cell r="AB12088" t="str">
            <v>line item not tagged</v>
          </cell>
        </row>
        <row r="12089">
          <cell r="W12089">
            <v>0</v>
          </cell>
          <cell r="AB12089" t="str">
            <v>line item not tagged</v>
          </cell>
        </row>
        <row r="12090">
          <cell r="W12090">
            <v>0</v>
          </cell>
          <cell r="AB12090" t="str">
            <v>line item not tagged</v>
          </cell>
        </row>
        <row r="12091">
          <cell r="W12091">
            <v>0</v>
          </cell>
          <cell r="AB12091" t="str">
            <v>line item not tagged</v>
          </cell>
        </row>
        <row r="12092">
          <cell r="W12092">
            <v>0</v>
          </cell>
          <cell r="AB12092" t="str">
            <v>line item not tagged</v>
          </cell>
        </row>
        <row r="12093">
          <cell r="W12093">
            <v>0</v>
          </cell>
          <cell r="AB12093" t="str">
            <v>line item not tagged</v>
          </cell>
        </row>
        <row r="12094">
          <cell r="W12094">
            <v>0</v>
          </cell>
          <cell r="AB12094" t="str">
            <v>line item not tagged</v>
          </cell>
        </row>
        <row r="12095">
          <cell r="W12095">
            <v>0</v>
          </cell>
          <cell r="AB12095" t="str">
            <v>line item not tagged</v>
          </cell>
        </row>
        <row r="12096">
          <cell r="W12096">
            <v>0</v>
          </cell>
          <cell r="AB12096" t="str">
            <v>line item not tagged</v>
          </cell>
        </row>
        <row r="12097">
          <cell r="W12097">
            <v>0</v>
          </cell>
          <cell r="AB12097" t="str">
            <v>line item not tagged</v>
          </cell>
        </row>
        <row r="12098">
          <cell r="W12098">
            <v>0</v>
          </cell>
          <cell r="AB12098" t="str">
            <v>line item not tagged</v>
          </cell>
        </row>
        <row r="12099">
          <cell r="W12099">
            <v>0</v>
          </cell>
          <cell r="AB12099" t="str">
            <v>line item not tagged</v>
          </cell>
        </row>
        <row r="12100">
          <cell r="W12100">
            <v>0</v>
          </cell>
          <cell r="AB12100" t="str">
            <v>line item not tagged</v>
          </cell>
        </row>
        <row r="12101">
          <cell r="W12101">
            <v>0</v>
          </cell>
          <cell r="AB12101" t="str">
            <v>line item not tagged</v>
          </cell>
        </row>
        <row r="12102">
          <cell r="W12102">
            <v>0</v>
          </cell>
          <cell r="AB12102" t="str">
            <v>line item not tagged</v>
          </cell>
        </row>
        <row r="12103">
          <cell r="W12103">
            <v>0</v>
          </cell>
          <cell r="AB12103" t="str">
            <v>line item not tagged</v>
          </cell>
        </row>
        <row r="12104">
          <cell r="W12104">
            <v>0</v>
          </cell>
          <cell r="AB12104" t="str">
            <v>line item not tagged</v>
          </cell>
        </row>
        <row r="12105">
          <cell r="W12105">
            <v>0</v>
          </cell>
          <cell r="AB12105" t="str">
            <v>line item not tagged</v>
          </cell>
        </row>
        <row r="12106">
          <cell r="W12106">
            <v>0</v>
          </cell>
          <cell r="AB12106" t="str">
            <v>line item not tagged</v>
          </cell>
        </row>
        <row r="12107">
          <cell r="W12107">
            <v>0</v>
          </cell>
          <cell r="AB12107" t="str">
            <v>line item not tagged</v>
          </cell>
        </row>
        <row r="12108">
          <cell r="W12108">
            <v>0</v>
          </cell>
          <cell r="AB12108" t="str">
            <v>line item not tagged</v>
          </cell>
        </row>
        <row r="12109">
          <cell r="W12109">
            <v>0</v>
          </cell>
          <cell r="AB12109" t="str">
            <v>line item not tagged</v>
          </cell>
        </row>
        <row r="12110">
          <cell r="W12110">
            <v>0</v>
          </cell>
          <cell r="AB12110" t="str">
            <v>line item not tagged</v>
          </cell>
        </row>
        <row r="12111">
          <cell r="W12111">
            <v>0</v>
          </cell>
          <cell r="AB12111" t="str">
            <v>line item not tagged</v>
          </cell>
        </row>
        <row r="12112">
          <cell r="W12112">
            <v>0</v>
          </cell>
          <cell r="AB12112" t="str">
            <v>line item not tagged</v>
          </cell>
        </row>
        <row r="12113">
          <cell r="W12113">
            <v>0</v>
          </cell>
          <cell r="AB12113" t="str">
            <v>line item not tagged</v>
          </cell>
        </row>
        <row r="12114">
          <cell r="W12114">
            <v>0</v>
          </cell>
          <cell r="AB12114" t="str">
            <v>line item not tagged</v>
          </cell>
        </row>
        <row r="12115">
          <cell r="W12115">
            <v>0</v>
          </cell>
          <cell r="AB12115" t="str">
            <v>line item not tagged</v>
          </cell>
        </row>
        <row r="12116">
          <cell r="W12116">
            <v>0</v>
          </cell>
          <cell r="AB12116" t="str">
            <v>line item not tagged</v>
          </cell>
        </row>
        <row r="12117">
          <cell r="W12117">
            <v>0</v>
          </cell>
          <cell r="AB12117" t="str">
            <v>line item not tagged</v>
          </cell>
        </row>
        <row r="12118">
          <cell r="W12118">
            <v>0</v>
          </cell>
          <cell r="AB12118" t="str">
            <v>line item not tagged</v>
          </cell>
        </row>
        <row r="12119">
          <cell r="W12119">
            <v>0</v>
          </cell>
          <cell r="AB12119" t="str">
            <v>line item not tagged</v>
          </cell>
        </row>
        <row r="12120">
          <cell r="W12120">
            <v>0</v>
          </cell>
          <cell r="AB12120" t="str">
            <v>line item not tagged</v>
          </cell>
        </row>
        <row r="12121">
          <cell r="W12121">
            <v>0</v>
          </cell>
          <cell r="AB12121" t="str">
            <v>line item not tagged</v>
          </cell>
        </row>
        <row r="12122">
          <cell r="W12122">
            <v>0</v>
          </cell>
          <cell r="AB12122" t="str">
            <v>line item not tagged</v>
          </cell>
        </row>
        <row r="12123">
          <cell r="W12123">
            <v>0</v>
          </cell>
          <cell r="AB12123" t="str">
            <v>line item not tagged</v>
          </cell>
        </row>
        <row r="12124">
          <cell r="W12124">
            <v>0</v>
          </cell>
          <cell r="AB12124" t="str">
            <v>line item not tagged</v>
          </cell>
        </row>
        <row r="12125">
          <cell r="W12125">
            <v>0</v>
          </cell>
          <cell r="AB12125" t="str">
            <v>line item not tagged</v>
          </cell>
        </row>
        <row r="12126">
          <cell r="W12126">
            <v>0</v>
          </cell>
          <cell r="AB12126" t="str">
            <v>line item not tagged</v>
          </cell>
        </row>
        <row r="12127">
          <cell r="W12127">
            <v>0</v>
          </cell>
          <cell r="AB12127" t="str">
            <v>line item not tagged</v>
          </cell>
        </row>
        <row r="12128">
          <cell r="W12128">
            <v>0</v>
          </cell>
          <cell r="AB12128" t="str">
            <v>line item not tagged</v>
          </cell>
        </row>
        <row r="12129">
          <cell r="W12129">
            <v>0</v>
          </cell>
          <cell r="AB12129" t="str">
            <v>line item not tagged</v>
          </cell>
        </row>
        <row r="12130">
          <cell r="W12130">
            <v>0</v>
          </cell>
          <cell r="AB12130" t="str">
            <v>line item not tagged</v>
          </cell>
        </row>
        <row r="12131">
          <cell r="W12131">
            <v>0</v>
          </cell>
          <cell r="AB12131" t="str">
            <v>line item not tagged</v>
          </cell>
        </row>
        <row r="12132">
          <cell r="W12132">
            <v>0</v>
          </cell>
          <cell r="AB12132" t="str">
            <v>line item not tagged</v>
          </cell>
        </row>
        <row r="12133">
          <cell r="W12133">
            <v>0</v>
          </cell>
          <cell r="AB12133" t="str">
            <v>line item not tagged</v>
          </cell>
        </row>
        <row r="12134">
          <cell r="W12134">
            <v>0</v>
          </cell>
          <cell r="AB12134" t="str">
            <v>line item not tagged</v>
          </cell>
        </row>
        <row r="12135">
          <cell r="W12135">
            <v>0</v>
          </cell>
          <cell r="AB12135" t="str">
            <v>line item not tagged</v>
          </cell>
        </row>
        <row r="12136">
          <cell r="W12136">
            <v>0</v>
          </cell>
          <cell r="AB12136" t="str">
            <v>line item not tagged</v>
          </cell>
        </row>
        <row r="12137">
          <cell r="W12137">
            <v>0</v>
          </cell>
          <cell r="AB12137" t="str">
            <v>line item not tagged</v>
          </cell>
        </row>
        <row r="12138">
          <cell r="W12138">
            <v>0</v>
          </cell>
          <cell r="AB12138" t="str">
            <v>line item not tagged</v>
          </cell>
        </row>
        <row r="12139">
          <cell r="W12139">
            <v>0</v>
          </cell>
          <cell r="AB12139" t="str">
            <v>line item not tagged</v>
          </cell>
        </row>
        <row r="12140">
          <cell r="W12140">
            <v>0</v>
          </cell>
          <cell r="AB12140" t="str">
            <v>line item not tagged</v>
          </cell>
        </row>
        <row r="12141">
          <cell r="W12141">
            <v>0</v>
          </cell>
          <cell r="AB12141" t="str">
            <v>line item not tagged</v>
          </cell>
        </row>
        <row r="12142">
          <cell r="W12142">
            <v>0</v>
          </cell>
          <cell r="AB12142" t="str">
            <v>line item not tagged</v>
          </cell>
        </row>
        <row r="12143">
          <cell r="W12143">
            <v>0</v>
          </cell>
          <cell r="AB12143" t="str">
            <v>line item not tagged</v>
          </cell>
        </row>
        <row r="12144">
          <cell r="W12144">
            <v>0</v>
          </cell>
          <cell r="AB12144" t="str">
            <v>line item not tagged</v>
          </cell>
        </row>
        <row r="12145">
          <cell r="W12145">
            <v>0</v>
          </cell>
          <cell r="AB12145" t="str">
            <v>line item not tagged</v>
          </cell>
        </row>
        <row r="12146">
          <cell r="W12146">
            <v>0</v>
          </cell>
          <cell r="AB12146" t="str">
            <v>line item not tagged</v>
          </cell>
        </row>
        <row r="12147">
          <cell r="W12147">
            <v>0</v>
          </cell>
          <cell r="AB12147" t="str">
            <v>line item not tagged</v>
          </cell>
        </row>
        <row r="12148">
          <cell r="W12148">
            <v>0</v>
          </cell>
          <cell r="AB12148" t="str">
            <v>line item not tagged</v>
          </cell>
        </row>
        <row r="12149">
          <cell r="W12149">
            <v>0</v>
          </cell>
          <cell r="AB12149" t="str">
            <v>line item not tagged</v>
          </cell>
        </row>
        <row r="12150">
          <cell r="W12150">
            <v>0</v>
          </cell>
          <cell r="AB12150" t="str">
            <v>line item not tagged</v>
          </cell>
        </row>
        <row r="12151">
          <cell r="W12151">
            <v>0</v>
          </cell>
          <cell r="AB12151" t="str">
            <v>line item not tagged</v>
          </cell>
        </row>
        <row r="12152">
          <cell r="W12152">
            <v>0</v>
          </cell>
          <cell r="AB12152" t="str">
            <v>line item not tagged</v>
          </cell>
        </row>
        <row r="12153">
          <cell r="W12153">
            <v>0</v>
          </cell>
          <cell r="AB12153" t="str">
            <v>line item not tagged</v>
          </cell>
        </row>
        <row r="12154">
          <cell r="W12154">
            <v>0</v>
          </cell>
          <cell r="AB12154" t="str">
            <v>line item not tagged</v>
          </cell>
        </row>
        <row r="12155">
          <cell r="W12155">
            <v>0</v>
          </cell>
          <cell r="AB12155" t="str">
            <v>line item not tagged</v>
          </cell>
        </row>
        <row r="12156">
          <cell r="W12156">
            <v>0</v>
          </cell>
          <cell r="AB12156" t="str">
            <v>line item not tagged</v>
          </cell>
        </row>
        <row r="12157">
          <cell r="W12157">
            <v>0</v>
          </cell>
          <cell r="AB12157" t="str">
            <v>line item not tagged</v>
          </cell>
        </row>
        <row r="12158">
          <cell r="W12158">
            <v>0</v>
          </cell>
          <cell r="AB12158" t="str">
            <v>line item not tagged</v>
          </cell>
        </row>
        <row r="12159">
          <cell r="W12159">
            <v>0</v>
          </cell>
          <cell r="AB12159" t="str">
            <v>line item not tagged</v>
          </cell>
        </row>
        <row r="12160">
          <cell r="W12160">
            <v>0</v>
          </cell>
          <cell r="AB12160" t="str">
            <v>line item not tagged</v>
          </cell>
        </row>
        <row r="12161">
          <cell r="W12161">
            <v>0</v>
          </cell>
          <cell r="AB12161" t="str">
            <v>line item not tagged</v>
          </cell>
        </row>
        <row r="12162">
          <cell r="W12162">
            <v>0</v>
          </cell>
          <cell r="AB12162" t="str">
            <v>line item not tagged</v>
          </cell>
        </row>
        <row r="12163">
          <cell r="W12163">
            <v>0</v>
          </cell>
          <cell r="AB12163" t="str">
            <v>line item not tagged</v>
          </cell>
        </row>
        <row r="12164">
          <cell r="W12164">
            <v>0</v>
          </cell>
          <cell r="AB12164" t="str">
            <v>line item not tagged</v>
          </cell>
        </row>
        <row r="12165">
          <cell r="W12165">
            <v>0</v>
          </cell>
          <cell r="AB12165" t="str">
            <v>line item not tagged</v>
          </cell>
        </row>
        <row r="12166">
          <cell r="W12166">
            <v>0</v>
          </cell>
          <cell r="AB12166" t="str">
            <v>line item not tagged</v>
          </cell>
        </row>
        <row r="12167">
          <cell r="W12167">
            <v>0</v>
          </cell>
          <cell r="AB12167" t="str">
            <v>line item not tagged</v>
          </cell>
        </row>
        <row r="12168">
          <cell r="W12168">
            <v>0</v>
          </cell>
          <cell r="AB12168" t="str">
            <v>line item not tagged</v>
          </cell>
        </row>
        <row r="12169">
          <cell r="W12169">
            <v>0</v>
          </cell>
          <cell r="AB12169" t="str">
            <v>line item not tagged</v>
          </cell>
        </row>
        <row r="12170">
          <cell r="W12170">
            <v>0</v>
          </cell>
          <cell r="AB12170" t="str">
            <v>line item not tagged</v>
          </cell>
        </row>
        <row r="12171">
          <cell r="W12171">
            <v>0</v>
          </cell>
          <cell r="AB12171" t="str">
            <v>line item not tagged</v>
          </cell>
        </row>
        <row r="12172">
          <cell r="W12172">
            <v>0</v>
          </cell>
          <cell r="AB12172" t="str">
            <v>line item not tagged</v>
          </cell>
        </row>
        <row r="12173">
          <cell r="W12173">
            <v>0</v>
          </cell>
          <cell r="AB12173" t="str">
            <v>line item not tagged</v>
          </cell>
        </row>
        <row r="12174">
          <cell r="W12174">
            <v>0</v>
          </cell>
          <cell r="AB12174" t="str">
            <v>line item not tagged</v>
          </cell>
        </row>
        <row r="12175">
          <cell r="W12175">
            <v>0</v>
          </cell>
          <cell r="AB12175" t="str">
            <v>line item not tagged</v>
          </cell>
        </row>
        <row r="12176">
          <cell r="W12176">
            <v>0</v>
          </cell>
          <cell r="AB12176" t="str">
            <v>line item not tagged</v>
          </cell>
        </row>
        <row r="12177">
          <cell r="W12177">
            <v>0</v>
          </cell>
          <cell r="AB12177" t="str">
            <v>line item not tagged</v>
          </cell>
        </row>
        <row r="12178">
          <cell r="W12178">
            <v>0</v>
          </cell>
          <cell r="AB12178" t="str">
            <v>line item not tagged</v>
          </cell>
        </row>
        <row r="12179">
          <cell r="W12179">
            <v>0</v>
          </cell>
          <cell r="AB12179" t="str">
            <v>line item not tagged</v>
          </cell>
        </row>
        <row r="12180">
          <cell r="W12180">
            <v>0</v>
          </cell>
          <cell r="AB12180" t="str">
            <v>line item not tagged</v>
          </cell>
        </row>
        <row r="12181">
          <cell r="W12181">
            <v>0</v>
          </cell>
          <cell r="AB12181" t="str">
            <v>line item not tagged</v>
          </cell>
        </row>
        <row r="12182">
          <cell r="W12182">
            <v>0</v>
          </cell>
          <cell r="AB12182" t="str">
            <v>line item not tagged</v>
          </cell>
        </row>
        <row r="12183">
          <cell r="W12183">
            <v>0</v>
          </cell>
          <cell r="AB12183" t="str">
            <v>line item not tagged</v>
          </cell>
        </row>
        <row r="12184">
          <cell r="W12184">
            <v>0</v>
          </cell>
          <cell r="AB12184" t="str">
            <v>line item not tagged</v>
          </cell>
        </row>
        <row r="12185">
          <cell r="W12185">
            <v>0</v>
          </cell>
          <cell r="AB12185" t="str">
            <v>line item not tagged</v>
          </cell>
        </row>
        <row r="12186">
          <cell r="W12186">
            <v>0</v>
          </cell>
          <cell r="AB12186" t="str">
            <v>line item not tagged</v>
          </cell>
        </row>
        <row r="12187">
          <cell r="W12187">
            <v>0</v>
          </cell>
          <cell r="AB12187" t="str">
            <v>line item not tagged</v>
          </cell>
        </row>
        <row r="12188">
          <cell r="W12188">
            <v>0</v>
          </cell>
          <cell r="AB12188" t="str">
            <v>line item not tagged</v>
          </cell>
        </row>
        <row r="12189">
          <cell r="W12189">
            <v>0</v>
          </cell>
          <cell r="AB12189" t="str">
            <v>line item not tagged</v>
          </cell>
        </row>
        <row r="12190">
          <cell r="W12190">
            <v>0</v>
          </cell>
          <cell r="AB12190" t="str">
            <v>line item not tagged</v>
          </cell>
        </row>
        <row r="12191">
          <cell r="W12191">
            <v>0</v>
          </cell>
          <cell r="AB12191" t="str">
            <v>line item not tagged</v>
          </cell>
        </row>
        <row r="12192">
          <cell r="W12192">
            <v>0</v>
          </cell>
          <cell r="AB12192" t="str">
            <v>line item not tagged</v>
          </cell>
        </row>
        <row r="12193">
          <cell r="W12193">
            <v>0</v>
          </cell>
          <cell r="AB12193" t="str">
            <v>line item not tagged</v>
          </cell>
        </row>
        <row r="12194">
          <cell r="W12194">
            <v>0</v>
          </cell>
          <cell r="AB12194" t="str">
            <v>line item not tagged</v>
          </cell>
        </row>
        <row r="12195">
          <cell r="W12195">
            <v>0</v>
          </cell>
          <cell r="AB12195" t="str">
            <v>line item not tagged</v>
          </cell>
        </row>
        <row r="12196">
          <cell r="W12196">
            <v>0</v>
          </cell>
          <cell r="AB12196" t="str">
            <v>line item not tagged</v>
          </cell>
        </row>
        <row r="12197">
          <cell r="W12197">
            <v>0</v>
          </cell>
          <cell r="AB12197" t="str">
            <v>line item not tagged</v>
          </cell>
        </row>
        <row r="12198">
          <cell r="W12198">
            <v>0</v>
          </cell>
          <cell r="AB12198" t="str">
            <v>line item not tagged</v>
          </cell>
        </row>
        <row r="12199">
          <cell r="W12199">
            <v>0</v>
          </cell>
          <cell r="AB12199" t="str">
            <v>line item not tagged</v>
          </cell>
        </row>
        <row r="12200">
          <cell r="W12200">
            <v>0</v>
          </cell>
          <cell r="AB12200" t="str">
            <v>line item not tagged</v>
          </cell>
        </row>
        <row r="12201">
          <cell r="W12201">
            <v>0</v>
          </cell>
          <cell r="AB12201" t="str">
            <v>line item not tagged</v>
          </cell>
        </row>
        <row r="12202">
          <cell r="W12202">
            <v>0</v>
          </cell>
          <cell r="AB12202" t="str">
            <v>line item not tagged</v>
          </cell>
        </row>
        <row r="12203">
          <cell r="W12203">
            <v>0</v>
          </cell>
          <cell r="AB12203" t="str">
            <v>line item not tagged</v>
          </cell>
        </row>
        <row r="12204">
          <cell r="W12204">
            <v>0</v>
          </cell>
          <cell r="AB12204" t="str">
            <v>line item not tagged</v>
          </cell>
        </row>
        <row r="12205">
          <cell r="W12205">
            <v>0</v>
          </cell>
          <cell r="AB12205" t="str">
            <v>line item not tagged</v>
          </cell>
        </row>
        <row r="12206">
          <cell r="W12206">
            <v>0</v>
          </cell>
          <cell r="AB12206" t="str">
            <v>line item not tagged</v>
          </cell>
        </row>
        <row r="12207">
          <cell r="W12207">
            <v>0</v>
          </cell>
          <cell r="AB12207" t="str">
            <v>line item not tagged</v>
          </cell>
        </row>
        <row r="12208">
          <cell r="W12208">
            <v>0</v>
          </cell>
          <cell r="AB12208" t="str">
            <v>line item not tagged</v>
          </cell>
        </row>
        <row r="12209">
          <cell r="W12209">
            <v>0</v>
          </cell>
          <cell r="AB12209" t="str">
            <v>line item not tagged</v>
          </cell>
        </row>
        <row r="12210">
          <cell r="W12210">
            <v>0</v>
          </cell>
          <cell r="AB12210" t="str">
            <v>line item not tagged</v>
          </cell>
        </row>
        <row r="12211">
          <cell r="W12211">
            <v>0</v>
          </cell>
          <cell r="AB12211" t="str">
            <v>line item not tagged</v>
          </cell>
        </row>
        <row r="12212">
          <cell r="W12212">
            <v>0</v>
          </cell>
          <cell r="AB12212" t="str">
            <v>line item not tagged</v>
          </cell>
        </row>
        <row r="12213">
          <cell r="W12213">
            <v>0</v>
          </cell>
          <cell r="AB12213" t="str">
            <v>line item not tagged</v>
          </cell>
        </row>
        <row r="12214">
          <cell r="W12214">
            <v>0</v>
          </cell>
          <cell r="AB12214" t="str">
            <v>line item not tagged</v>
          </cell>
        </row>
        <row r="12215">
          <cell r="W12215">
            <v>0</v>
          </cell>
          <cell r="AB12215" t="str">
            <v>line item not tagged</v>
          </cell>
        </row>
        <row r="12216">
          <cell r="W12216">
            <v>0</v>
          </cell>
          <cell r="AB12216" t="str">
            <v>line item not tagged</v>
          </cell>
        </row>
        <row r="12217">
          <cell r="W12217">
            <v>0</v>
          </cell>
          <cell r="AB12217" t="str">
            <v>line item not tagged</v>
          </cell>
        </row>
        <row r="12218">
          <cell r="W12218">
            <v>0</v>
          </cell>
          <cell r="AB12218" t="str">
            <v>line item not tagged</v>
          </cell>
        </row>
        <row r="12219">
          <cell r="W12219">
            <v>0</v>
          </cell>
          <cell r="AB12219" t="str">
            <v>line item not tagged</v>
          </cell>
        </row>
        <row r="12220">
          <cell r="W12220">
            <v>0</v>
          </cell>
          <cell r="AB12220" t="str">
            <v>line item not tagged</v>
          </cell>
        </row>
        <row r="12221">
          <cell r="W12221">
            <v>0</v>
          </cell>
          <cell r="AB12221" t="str">
            <v>line item not tagged</v>
          </cell>
        </row>
        <row r="12222">
          <cell r="W12222">
            <v>0</v>
          </cell>
          <cell r="AB12222" t="str">
            <v>line item not tagged</v>
          </cell>
        </row>
        <row r="12223">
          <cell r="W12223">
            <v>0</v>
          </cell>
          <cell r="AB12223" t="str">
            <v>line item not tagged</v>
          </cell>
        </row>
        <row r="12224">
          <cell r="W12224">
            <v>0</v>
          </cell>
          <cell r="AB12224" t="str">
            <v>line item not tagged</v>
          </cell>
        </row>
        <row r="12225">
          <cell r="W12225">
            <v>0</v>
          </cell>
          <cell r="AB12225" t="str">
            <v>line item not tagged</v>
          </cell>
        </row>
        <row r="12226">
          <cell r="W12226">
            <v>0</v>
          </cell>
          <cell r="AB12226" t="str">
            <v>line item not tagged</v>
          </cell>
        </row>
        <row r="12227">
          <cell r="W12227">
            <v>0</v>
          </cell>
          <cell r="AB12227" t="str">
            <v>line item not tagged</v>
          </cell>
        </row>
        <row r="12228">
          <cell r="W12228">
            <v>0</v>
          </cell>
          <cell r="AB12228" t="str">
            <v>line item not tagged</v>
          </cell>
        </row>
        <row r="12229">
          <cell r="W12229">
            <v>0</v>
          </cell>
          <cell r="AB12229" t="str">
            <v>line item not tagged</v>
          </cell>
        </row>
        <row r="12230">
          <cell r="W12230">
            <v>0</v>
          </cell>
          <cell r="AB12230" t="str">
            <v>line item not tagged</v>
          </cell>
        </row>
        <row r="12231">
          <cell r="W12231">
            <v>0</v>
          </cell>
          <cell r="AB12231" t="str">
            <v>line item not tagged</v>
          </cell>
        </row>
        <row r="12232">
          <cell r="W12232">
            <v>0</v>
          </cell>
          <cell r="AB12232" t="str">
            <v>line item not tagged</v>
          </cell>
        </row>
        <row r="12233">
          <cell r="W12233">
            <v>0</v>
          </cell>
          <cell r="AB12233" t="str">
            <v>line item not tagged</v>
          </cell>
        </row>
        <row r="12234">
          <cell r="W12234">
            <v>0</v>
          </cell>
          <cell r="AB12234" t="str">
            <v>line item not tagged</v>
          </cell>
        </row>
        <row r="12235">
          <cell r="W12235">
            <v>0</v>
          </cell>
          <cell r="AB12235" t="str">
            <v>line item not tagged</v>
          </cell>
        </row>
        <row r="12236">
          <cell r="W12236">
            <v>0</v>
          </cell>
          <cell r="AB12236" t="str">
            <v>line item not tagged</v>
          </cell>
        </row>
        <row r="12237">
          <cell r="W12237">
            <v>0</v>
          </cell>
          <cell r="AB12237" t="str">
            <v>line item not tagged</v>
          </cell>
        </row>
        <row r="12238">
          <cell r="W12238">
            <v>0</v>
          </cell>
          <cell r="AB12238" t="str">
            <v>line item not tagged</v>
          </cell>
        </row>
        <row r="12239">
          <cell r="W12239">
            <v>0</v>
          </cell>
          <cell r="AB12239" t="str">
            <v>line item not tagged</v>
          </cell>
        </row>
        <row r="12240">
          <cell r="W12240">
            <v>0</v>
          </cell>
          <cell r="AB12240" t="str">
            <v>line item not tagged</v>
          </cell>
        </row>
        <row r="12241">
          <cell r="W12241">
            <v>0</v>
          </cell>
          <cell r="AB12241" t="str">
            <v>line item not tagged</v>
          </cell>
        </row>
        <row r="12242">
          <cell r="W12242">
            <v>0</v>
          </cell>
          <cell r="AB12242" t="str">
            <v>line item not tagged</v>
          </cell>
        </row>
        <row r="12243">
          <cell r="W12243">
            <v>0</v>
          </cell>
          <cell r="AB12243" t="str">
            <v>line item not tagged</v>
          </cell>
        </row>
        <row r="12244">
          <cell r="W12244">
            <v>0</v>
          </cell>
          <cell r="AB12244" t="str">
            <v>line item not tagged</v>
          </cell>
        </row>
        <row r="12245">
          <cell r="W12245">
            <v>0</v>
          </cell>
          <cell r="AB12245" t="str">
            <v>line item not tagged</v>
          </cell>
        </row>
        <row r="12246">
          <cell r="W12246">
            <v>0</v>
          </cell>
          <cell r="AB12246" t="str">
            <v>line item not tagged</v>
          </cell>
        </row>
        <row r="12247">
          <cell r="W12247">
            <v>0</v>
          </cell>
          <cell r="AB12247" t="str">
            <v>line item not tagged</v>
          </cell>
        </row>
        <row r="12248">
          <cell r="W12248">
            <v>0</v>
          </cell>
          <cell r="AB12248" t="str">
            <v>line item not tagged</v>
          </cell>
        </row>
        <row r="12249">
          <cell r="W12249">
            <v>0</v>
          </cell>
          <cell r="AB12249" t="str">
            <v>line item not tagged</v>
          </cell>
        </row>
        <row r="12250">
          <cell r="W12250">
            <v>0</v>
          </cell>
          <cell r="AB12250" t="str">
            <v>line item not tagged</v>
          </cell>
        </row>
        <row r="12251">
          <cell r="W12251">
            <v>0</v>
          </cell>
          <cell r="AB12251" t="str">
            <v>line item not tagged</v>
          </cell>
        </row>
        <row r="12252">
          <cell r="W12252">
            <v>0</v>
          </cell>
          <cell r="AB12252" t="str">
            <v>line item not tagged</v>
          </cell>
        </row>
        <row r="12253">
          <cell r="W12253">
            <v>0</v>
          </cell>
          <cell r="AB12253" t="str">
            <v>line item not tagged</v>
          </cell>
        </row>
        <row r="12254">
          <cell r="W12254">
            <v>0</v>
          </cell>
          <cell r="AB12254" t="str">
            <v>line item not tagged</v>
          </cell>
        </row>
        <row r="12255">
          <cell r="W12255">
            <v>0</v>
          </cell>
          <cell r="AB12255" t="str">
            <v>line item not tagged</v>
          </cell>
        </row>
        <row r="12256">
          <cell r="W12256">
            <v>0</v>
          </cell>
          <cell r="AB12256" t="str">
            <v>line item not tagged</v>
          </cell>
        </row>
        <row r="12257">
          <cell r="W12257">
            <v>0</v>
          </cell>
          <cell r="AB12257" t="str">
            <v>line item not tagged</v>
          </cell>
        </row>
        <row r="12258">
          <cell r="W12258">
            <v>0</v>
          </cell>
          <cell r="AB12258" t="str">
            <v>line item not tagged</v>
          </cell>
        </row>
        <row r="12259">
          <cell r="W12259">
            <v>0</v>
          </cell>
          <cell r="AB12259" t="str">
            <v>line item not tagged</v>
          </cell>
        </row>
        <row r="12260">
          <cell r="W12260">
            <v>0</v>
          </cell>
          <cell r="AB12260" t="str">
            <v>line item not tagged</v>
          </cell>
        </row>
        <row r="12261">
          <cell r="W12261">
            <v>0</v>
          </cell>
          <cell r="AB12261" t="str">
            <v>line item not tagged</v>
          </cell>
        </row>
        <row r="12262">
          <cell r="W12262">
            <v>0</v>
          </cell>
          <cell r="AB12262" t="str">
            <v>line item not tagged</v>
          </cell>
        </row>
        <row r="12263">
          <cell r="W12263">
            <v>0</v>
          </cell>
          <cell r="AB12263" t="str">
            <v>line item not tagged</v>
          </cell>
        </row>
        <row r="12264">
          <cell r="W12264">
            <v>0</v>
          </cell>
          <cell r="AB12264" t="str">
            <v>line item not tagged</v>
          </cell>
        </row>
        <row r="12265">
          <cell r="W12265">
            <v>0</v>
          </cell>
          <cell r="AB12265" t="str">
            <v>line item not tagged</v>
          </cell>
        </row>
        <row r="12266">
          <cell r="W12266">
            <v>0</v>
          </cell>
          <cell r="AB12266" t="str">
            <v>line item not tagged</v>
          </cell>
        </row>
        <row r="12267">
          <cell r="W12267">
            <v>0</v>
          </cell>
          <cell r="AB12267" t="str">
            <v>line item not tagged</v>
          </cell>
        </row>
        <row r="12268">
          <cell r="W12268">
            <v>0</v>
          </cell>
          <cell r="AB12268" t="str">
            <v>line item not tagged</v>
          </cell>
        </row>
        <row r="12269">
          <cell r="W12269">
            <v>0</v>
          </cell>
          <cell r="AB12269" t="str">
            <v>line item not tagged</v>
          </cell>
        </row>
        <row r="12270">
          <cell r="W12270">
            <v>0</v>
          </cell>
          <cell r="AB12270" t="str">
            <v>line item not tagged</v>
          </cell>
        </row>
        <row r="12271">
          <cell r="W12271">
            <v>0</v>
          </cell>
          <cell r="AB12271" t="str">
            <v>line item not tagged</v>
          </cell>
        </row>
        <row r="12272">
          <cell r="W12272">
            <v>0</v>
          </cell>
          <cell r="AB12272" t="str">
            <v>line item not tagged</v>
          </cell>
        </row>
        <row r="12273">
          <cell r="W12273">
            <v>0</v>
          </cell>
          <cell r="AB12273" t="str">
            <v>line item not tagged</v>
          </cell>
        </row>
        <row r="12274">
          <cell r="W12274">
            <v>0</v>
          </cell>
          <cell r="AB12274" t="str">
            <v>line item not tagged</v>
          </cell>
        </row>
        <row r="12275">
          <cell r="W12275">
            <v>0</v>
          </cell>
          <cell r="AB12275" t="str">
            <v>line item not tagged</v>
          </cell>
        </row>
        <row r="12276">
          <cell r="W12276">
            <v>0</v>
          </cell>
          <cell r="AB12276" t="str">
            <v>line item not tagged</v>
          </cell>
        </row>
        <row r="12277">
          <cell r="W12277">
            <v>0</v>
          </cell>
          <cell r="AB12277" t="str">
            <v>line item not tagged</v>
          </cell>
        </row>
        <row r="12278">
          <cell r="W12278">
            <v>0</v>
          </cell>
          <cell r="AB12278" t="str">
            <v>line item not tagged</v>
          </cell>
        </row>
        <row r="12279">
          <cell r="W12279">
            <v>0</v>
          </cell>
          <cell r="AB12279" t="str">
            <v>line item not tagged</v>
          </cell>
        </row>
        <row r="12280">
          <cell r="W12280">
            <v>0</v>
          </cell>
          <cell r="AB12280" t="str">
            <v>line item not tagged</v>
          </cell>
        </row>
        <row r="12281">
          <cell r="W12281">
            <v>0</v>
          </cell>
          <cell r="AB12281" t="str">
            <v>line item not tagged</v>
          </cell>
        </row>
        <row r="12282">
          <cell r="W12282">
            <v>0</v>
          </cell>
          <cell r="AB12282" t="str">
            <v>line item not tagged</v>
          </cell>
        </row>
        <row r="12283">
          <cell r="W12283">
            <v>0</v>
          </cell>
          <cell r="AB12283" t="str">
            <v>line item not tagged</v>
          </cell>
        </row>
        <row r="12284">
          <cell r="W12284">
            <v>0</v>
          </cell>
          <cell r="AB12284" t="str">
            <v>line item not tagged</v>
          </cell>
        </row>
        <row r="12285">
          <cell r="W12285">
            <v>0</v>
          </cell>
          <cell r="AB12285" t="str">
            <v>line item not tagged</v>
          </cell>
        </row>
        <row r="12286">
          <cell r="W12286">
            <v>0</v>
          </cell>
          <cell r="AB12286" t="str">
            <v>line item not tagged</v>
          </cell>
        </row>
        <row r="12287">
          <cell r="W12287">
            <v>0</v>
          </cell>
          <cell r="AB12287" t="str">
            <v>line item not tagged</v>
          </cell>
        </row>
        <row r="12288">
          <cell r="W12288">
            <v>0</v>
          </cell>
          <cell r="AB12288" t="str">
            <v>line item not tagged</v>
          </cell>
        </row>
        <row r="12289">
          <cell r="W12289">
            <v>0</v>
          </cell>
          <cell r="AB12289" t="str">
            <v>line item not tagged</v>
          </cell>
        </row>
        <row r="12290">
          <cell r="W12290">
            <v>0</v>
          </cell>
          <cell r="AB12290" t="str">
            <v>line item not tagged</v>
          </cell>
        </row>
        <row r="12291">
          <cell r="W12291">
            <v>0</v>
          </cell>
          <cell r="AB12291" t="str">
            <v>line item not tagged</v>
          </cell>
        </row>
        <row r="12292">
          <cell r="W12292">
            <v>0</v>
          </cell>
          <cell r="AB12292" t="str">
            <v>line item not tagged</v>
          </cell>
        </row>
        <row r="12293">
          <cell r="W12293">
            <v>0</v>
          </cell>
          <cell r="AB12293" t="str">
            <v>line item not tagged</v>
          </cell>
        </row>
        <row r="12294">
          <cell r="W12294">
            <v>0</v>
          </cell>
          <cell r="AB12294" t="str">
            <v>line item not tagged</v>
          </cell>
        </row>
        <row r="12295">
          <cell r="W12295">
            <v>0</v>
          </cell>
          <cell r="AB12295" t="str">
            <v>line item not tagged</v>
          </cell>
        </row>
        <row r="12296">
          <cell r="W12296">
            <v>0</v>
          </cell>
          <cell r="AB12296" t="str">
            <v>line item not tagged</v>
          </cell>
        </row>
        <row r="12297">
          <cell r="W12297">
            <v>0</v>
          </cell>
          <cell r="AB12297" t="str">
            <v>line item not tagged</v>
          </cell>
        </row>
        <row r="12298">
          <cell r="W12298">
            <v>0</v>
          </cell>
          <cell r="AB12298" t="str">
            <v>line item not tagged</v>
          </cell>
        </row>
        <row r="12299">
          <cell r="W12299">
            <v>0</v>
          </cell>
          <cell r="AB12299" t="str">
            <v>line item not tagged</v>
          </cell>
        </row>
        <row r="12300">
          <cell r="W12300">
            <v>0</v>
          </cell>
          <cell r="AB12300" t="str">
            <v>line item not tagged</v>
          </cell>
        </row>
        <row r="12301">
          <cell r="W12301">
            <v>0</v>
          </cell>
          <cell r="AB12301" t="str">
            <v>line item not tagged</v>
          </cell>
        </row>
        <row r="12302">
          <cell r="W12302">
            <v>0</v>
          </cell>
          <cell r="AB12302" t="str">
            <v>line item not tagged</v>
          </cell>
        </row>
        <row r="12303">
          <cell r="W12303">
            <v>0</v>
          </cell>
          <cell r="AB12303" t="str">
            <v>line item not tagged</v>
          </cell>
        </row>
        <row r="12304">
          <cell r="W12304">
            <v>0</v>
          </cell>
          <cell r="AB12304" t="str">
            <v>line item not tagged</v>
          </cell>
        </row>
        <row r="12305">
          <cell r="W12305">
            <v>0</v>
          </cell>
          <cell r="AB12305" t="str">
            <v>line item not tagged</v>
          </cell>
        </row>
        <row r="12306">
          <cell r="W12306">
            <v>0</v>
          </cell>
          <cell r="AB12306" t="str">
            <v>line item not tagged</v>
          </cell>
        </row>
        <row r="12307">
          <cell r="W12307">
            <v>0</v>
          </cell>
          <cell r="AB12307" t="str">
            <v>line item not tagged</v>
          </cell>
        </row>
        <row r="12308">
          <cell r="W12308">
            <v>0</v>
          </cell>
          <cell r="AB12308" t="str">
            <v>line item not tagged</v>
          </cell>
        </row>
        <row r="12309">
          <cell r="W12309">
            <v>0</v>
          </cell>
          <cell r="AB12309" t="str">
            <v>line item not tagged</v>
          </cell>
        </row>
        <row r="12310">
          <cell r="W12310">
            <v>0</v>
          </cell>
          <cell r="AB12310" t="str">
            <v>line item not tagged</v>
          </cell>
        </row>
        <row r="12311">
          <cell r="W12311">
            <v>0</v>
          </cell>
          <cell r="AB12311" t="str">
            <v>line item not tagged</v>
          </cell>
        </row>
        <row r="12312">
          <cell r="W12312">
            <v>0</v>
          </cell>
          <cell r="AB12312" t="str">
            <v>line item not tagged</v>
          </cell>
        </row>
        <row r="12313">
          <cell r="W12313">
            <v>0</v>
          </cell>
          <cell r="AB12313" t="str">
            <v>line item not tagged</v>
          </cell>
        </row>
        <row r="12314">
          <cell r="W12314">
            <v>0</v>
          </cell>
          <cell r="AB12314" t="str">
            <v>line item not tagged</v>
          </cell>
        </row>
        <row r="12315">
          <cell r="W12315">
            <v>0</v>
          </cell>
          <cell r="AB12315" t="str">
            <v>line item not tagged</v>
          </cell>
        </row>
        <row r="12316">
          <cell r="W12316">
            <v>0</v>
          </cell>
          <cell r="AB12316" t="str">
            <v>line item not tagged</v>
          </cell>
        </row>
        <row r="12317">
          <cell r="W12317">
            <v>0</v>
          </cell>
          <cell r="AB12317" t="str">
            <v>line item not tagged</v>
          </cell>
        </row>
        <row r="12318">
          <cell r="W12318">
            <v>0</v>
          </cell>
          <cell r="AB12318" t="str">
            <v>line item not tagged</v>
          </cell>
        </row>
        <row r="12319">
          <cell r="W12319">
            <v>0</v>
          </cell>
          <cell r="AB12319" t="str">
            <v>line item not tagged</v>
          </cell>
        </row>
        <row r="12320">
          <cell r="W12320">
            <v>0</v>
          </cell>
          <cell r="AB12320" t="str">
            <v>line item not tagged</v>
          </cell>
        </row>
        <row r="12321">
          <cell r="W12321">
            <v>0</v>
          </cell>
          <cell r="AB12321" t="str">
            <v>line item not tagged</v>
          </cell>
        </row>
        <row r="12322">
          <cell r="W12322">
            <v>0</v>
          </cell>
          <cell r="AB12322" t="str">
            <v>line item not tagged</v>
          </cell>
        </row>
        <row r="12323">
          <cell r="W12323">
            <v>0</v>
          </cell>
          <cell r="AB12323" t="str">
            <v>line item not tagged</v>
          </cell>
        </row>
        <row r="12324">
          <cell r="W12324">
            <v>0</v>
          </cell>
          <cell r="AB12324" t="str">
            <v>line item not tagged</v>
          </cell>
        </row>
        <row r="12325">
          <cell r="W12325">
            <v>0</v>
          </cell>
          <cell r="AB12325" t="str">
            <v>line item not tagged</v>
          </cell>
        </row>
        <row r="12326">
          <cell r="W12326">
            <v>0</v>
          </cell>
          <cell r="AB12326" t="str">
            <v>line item not tagged</v>
          </cell>
        </row>
        <row r="12327">
          <cell r="W12327">
            <v>0</v>
          </cell>
          <cell r="AB12327" t="str">
            <v>line item not tagged</v>
          </cell>
        </row>
        <row r="12328">
          <cell r="W12328">
            <v>0</v>
          </cell>
          <cell r="AB12328" t="str">
            <v>line item not tagged</v>
          </cell>
        </row>
        <row r="12329">
          <cell r="W12329">
            <v>0</v>
          </cell>
          <cell r="AB12329" t="str">
            <v>line item not tagged</v>
          </cell>
        </row>
        <row r="12330">
          <cell r="W12330">
            <v>0</v>
          </cell>
          <cell r="AB12330" t="str">
            <v>line item not tagged</v>
          </cell>
        </row>
        <row r="12331">
          <cell r="W12331">
            <v>0</v>
          </cell>
          <cell r="AB12331" t="str">
            <v>line item not tagged</v>
          </cell>
        </row>
        <row r="12332">
          <cell r="W12332">
            <v>0</v>
          </cell>
          <cell r="AB12332" t="str">
            <v>line item not tagged</v>
          </cell>
        </row>
        <row r="12333">
          <cell r="W12333">
            <v>0</v>
          </cell>
          <cell r="AB12333" t="str">
            <v>line item not tagged</v>
          </cell>
        </row>
        <row r="12334">
          <cell r="W12334">
            <v>0</v>
          </cell>
          <cell r="AB12334" t="str">
            <v>line item not tagged</v>
          </cell>
        </row>
        <row r="12335">
          <cell r="W12335">
            <v>0</v>
          </cell>
          <cell r="AB12335" t="str">
            <v>line item not tagged</v>
          </cell>
        </row>
        <row r="12336">
          <cell r="W12336">
            <v>0</v>
          </cell>
          <cell r="AB12336" t="str">
            <v>line item not tagged</v>
          </cell>
        </row>
        <row r="12337">
          <cell r="W12337">
            <v>0</v>
          </cell>
          <cell r="AB12337" t="str">
            <v>line item not tagged</v>
          </cell>
        </row>
        <row r="12338">
          <cell r="W12338">
            <v>0</v>
          </cell>
          <cell r="AB12338" t="str">
            <v>line item not tagged</v>
          </cell>
        </row>
        <row r="12339">
          <cell r="W12339">
            <v>0</v>
          </cell>
          <cell r="AB12339" t="str">
            <v>line item not tagged</v>
          </cell>
        </row>
        <row r="12340">
          <cell r="W12340">
            <v>0</v>
          </cell>
          <cell r="AB12340" t="str">
            <v>line item not tagged</v>
          </cell>
        </row>
        <row r="12341">
          <cell r="W12341">
            <v>0</v>
          </cell>
          <cell r="AB12341" t="str">
            <v>line item not tagged</v>
          </cell>
        </row>
        <row r="12342">
          <cell r="W12342">
            <v>0</v>
          </cell>
          <cell r="AB12342" t="str">
            <v>line item not tagged</v>
          </cell>
        </row>
        <row r="12343">
          <cell r="W12343">
            <v>0</v>
          </cell>
          <cell r="AB12343" t="str">
            <v>line item not tagged</v>
          </cell>
        </row>
        <row r="12344">
          <cell r="W12344">
            <v>0</v>
          </cell>
          <cell r="AB12344" t="str">
            <v>line item not tagged</v>
          </cell>
        </row>
        <row r="12345">
          <cell r="W12345">
            <v>0</v>
          </cell>
          <cell r="AB12345" t="str">
            <v>line item not tagged</v>
          </cell>
        </row>
        <row r="12346">
          <cell r="W12346">
            <v>0</v>
          </cell>
          <cell r="AB12346" t="str">
            <v>line item not tagged</v>
          </cell>
        </row>
        <row r="12347">
          <cell r="W12347">
            <v>0</v>
          </cell>
          <cell r="AB12347" t="str">
            <v>line item not tagged</v>
          </cell>
        </row>
        <row r="12348">
          <cell r="W12348">
            <v>0</v>
          </cell>
          <cell r="AB12348" t="str">
            <v>line item not tagged</v>
          </cell>
        </row>
        <row r="12349">
          <cell r="W12349">
            <v>0</v>
          </cell>
          <cell r="AB12349" t="str">
            <v>line item not tagged</v>
          </cell>
        </row>
        <row r="12350">
          <cell r="W12350">
            <v>0</v>
          </cell>
          <cell r="AB12350" t="str">
            <v>line item not tagged</v>
          </cell>
        </row>
        <row r="12351">
          <cell r="W12351">
            <v>0</v>
          </cell>
          <cell r="AB12351" t="str">
            <v>line item not tagged</v>
          </cell>
        </row>
        <row r="12352">
          <cell r="W12352">
            <v>0</v>
          </cell>
          <cell r="AB12352" t="str">
            <v>line item not tagged</v>
          </cell>
        </row>
        <row r="12353">
          <cell r="W12353">
            <v>0</v>
          </cell>
          <cell r="AB12353" t="str">
            <v>line item not tagged</v>
          </cell>
        </row>
        <row r="12354">
          <cell r="W12354">
            <v>0</v>
          </cell>
          <cell r="AB12354" t="str">
            <v>line item not tagged</v>
          </cell>
        </row>
        <row r="12355">
          <cell r="W12355">
            <v>0</v>
          </cell>
          <cell r="AB12355" t="str">
            <v>line item not tagged</v>
          </cell>
        </row>
        <row r="12356">
          <cell r="W12356">
            <v>0</v>
          </cell>
          <cell r="AB12356" t="str">
            <v>line item not tagged</v>
          </cell>
        </row>
        <row r="12357">
          <cell r="W12357">
            <v>0</v>
          </cell>
          <cell r="AB12357" t="str">
            <v>line item not tagged</v>
          </cell>
        </row>
        <row r="12358">
          <cell r="W12358">
            <v>0</v>
          </cell>
          <cell r="AB12358" t="str">
            <v>line item not tagged</v>
          </cell>
        </row>
        <row r="12359">
          <cell r="W12359">
            <v>0</v>
          </cell>
          <cell r="AB12359" t="str">
            <v>line item not tagged</v>
          </cell>
        </row>
        <row r="12360">
          <cell r="W12360">
            <v>0</v>
          </cell>
          <cell r="AB12360" t="str">
            <v>line item not tagged</v>
          </cell>
        </row>
        <row r="12361">
          <cell r="W12361">
            <v>0</v>
          </cell>
          <cell r="AB12361" t="str">
            <v>line item not tagged</v>
          </cell>
        </row>
        <row r="12362">
          <cell r="W12362">
            <v>0</v>
          </cell>
          <cell r="AB12362" t="str">
            <v>line item not tagged</v>
          </cell>
        </row>
        <row r="12363">
          <cell r="W12363">
            <v>0</v>
          </cell>
          <cell r="AB12363" t="str">
            <v>line item not tagged</v>
          </cell>
        </row>
        <row r="12364">
          <cell r="W12364">
            <v>0</v>
          </cell>
          <cell r="AB12364" t="str">
            <v>line item not tagged</v>
          </cell>
        </row>
        <row r="12365">
          <cell r="W12365">
            <v>0</v>
          </cell>
          <cell r="AB12365" t="str">
            <v>line item not tagged</v>
          </cell>
        </row>
        <row r="12366">
          <cell r="W12366">
            <v>0</v>
          </cell>
          <cell r="AB12366" t="str">
            <v>line item not tagged</v>
          </cell>
        </row>
        <row r="12367">
          <cell r="W12367">
            <v>0</v>
          </cell>
          <cell r="AB12367" t="str">
            <v>line item not tagged</v>
          </cell>
        </row>
        <row r="12368">
          <cell r="W12368">
            <v>0</v>
          </cell>
          <cell r="AB12368" t="str">
            <v>line item not tagged</v>
          </cell>
        </row>
        <row r="12369">
          <cell r="W12369">
            <v>0</v>
          </cell>
          <cell r="AB12369" t="str">
            <v>line item not tagged</v>
          </cell>
        </row>
        <row r="12370">
          <cell r="W12370">
            <v>0</v>
          </cell>
          <cell r="AB12370" t="str">
            <v>line item not tagged</v>
          </cell>
        </row>
        <row r="12371">
          <cell r="W12371">
            <v>0</v>
          </cell>
          <cell r="AB12371" t="str">
            <v>line item not tagged</v>
          </cell>
        </row>
        <row r="12372">
          <cell r="W12372">
            <v>0</v>
          </cell>
          <cell r="AB12372" t="str">
            <v>line item not tagged</v>
          </cell>
        </row>
        <row r="12373">
          <cell r="W12373">
            <v>0</v>
          </cell>
          <cell r="AB12373" t="str">
            <v>line item not tagged</v>
          </cell>
        </row>
        <row r="12374">
          <cell r="W12374">
            <v>0</v>
          </cell>
          <cell r="AB12374" t="str">
            <v>line item not tagged</v>
          </cell>
        </row>
        <row r="12375">
          <cell r="W12375">
            <v>0</v>
          </cell>
          <cell r="AB12375" t="str">
            <v>line item not tagged</v>
          </cell>
        </row>
        <row r="12376">
          <cell r="W12376">
            <v>0</v>
          </cell>
          <cell r="AB12376" t="str">
            <v>line item not tagged</v>
          </cell>
        </row>
        <row r="12377">
          <cell r="W12377">
            <v>0</v>
          </cell>
          <cell r="AB12377" t="str">
            <v>line item not tagged</v>
          </cell>
        </row>
        <row r="12378">
          <cell r="W12378">
            <v>0</v>
          </cell>
          <cell r="AB12378" t="str">
            <v>line item not tagged</v>
          </cell>
        </row>
        <row r="12379">
          <cell r="W12379">
            <v>0</v>
          </cell>
          <cell r="AB12379" t="str">
            <v>line item not tagged</v>
          </cell>
        </row>
        <row r="12380">
          <cell r="W12380">
            <v>0</v>
          </cell>
          <cell r="AB12380" t="str">
            <v>line item not tagged</v>
          </cell>
        </row>
        <row r="12381">
          <cell r="W12381">
            <v>0</v>
          </cell>
          <cell r="AB12381" t="str">
            <v>line item not tagged</v>
          </cell>
        </row>
        <row r="12382">
          <cell r="W12382">
            <v>0</v>
          </cell>
          <cell r="AB12382" t="str">
            <v>line item not tagged</v>
          </cell>
        </row>
        <row r="12383">
          <cell r="W12383">
            <v>0</v>
          </cell>
          <cell r="AB12383" t="str">
            <v>line item not tagged</v>
          </cell>
        </row>
        <row r="12384">
          <cell r="W12384">
            <v>0</v>
          </cell>
          <cell r="AB12384" t="str">
            <v>line item not tagged</v>
          </cell>
        </row>
        <row r="12385">
          <cell r="W12385">
            <v>0</v>
          </cell>
          <cell r="AB12385" t="str">
            <v>line item not tagged</v>
          </cell>
        </row>
        <row r="12386">
          <cell r="W12386">
            <v>0</v>
          </cell>
          <cell r="AB12386" t="str">
            <v>line item not tagged</v>
          </cell>
        </row>
        <row r="12387">
          <cell r="W12387">
            <v>0</v>
          </cell>
          <cell r="AB12387" t="str">
            <v>line item not tagged</v>
          </cell>
        </row>
        <row r="12388">
          <cell r="W12388">
            <v>0</v>
          </cell>
          <cell r="AB12388" t="str">
            <v>line item not tagged</v>
          </cell>
        </row>
        <row r="12389">
          <cell r="W12389">
            <v>0</v>
          </cell>
          <cell r="AB12389" t="str">
            <v>line item not tagged</v>
          </cell>
        </row>
        <row r="12390">
          <cell r="W12390">
            <v>0</v>
          </cell>
          <cell r="AB12390" t="str">
            <v>line item not tagged</v>
          </cell>
        </row>
        <row r="12391">
          <cell r="W12391">
            <v>0</v>
          </cell>
          <cell r="AB12391" t="str">
            <v>line item not tagged</v>
          </cell>
        </row>
        <row r="12392">
          <cell r="W12392">
            <v>0</v>
          </cell>
          <cell r="AB12392" t="str">
            <v>line item not tagged</v>
          </cell>
        </row>
        <row r="12393">
          <cell r="W12393">
            <v>0</v>
          </cell>
          <cell r="AB12393" t="str">
            <v>line item not tagged</v>
          </cell>
        </row>
        <row r="12394">
          <cell r="W12394">
            <v>0</v>
          </cell>
          <cell r="AB12394" t="str">
            <v>line item not tagged</v>
          </cell>
        </row>
        <row r="12395">
          <cell r="W12395">
            <v>0</v>
          </cell>
          <cell r="AB12395" t="str">
            <v>line item not tagged</v>
          </cell>
        </row>
        <row r="12396">
          <cell r="W12396">
            <v>0</v>
          </cell>
          <cell r="AB12396" t="str">
            <v>line item not tagged</v>
          </cell>
        </row>
        <row r="12397">
          <cell r="W12397">
            <v>0</v>
          </cell>
          <cell r="AB12397" t="str">
            <v>line item not tagged</v>
          </cell>
        </row>
        <row r="12398">
          <cell r="W12398">
            <v>0</v>
          </cell>
          <cell r="AB12398" t="str">
            <v>line item not tagged</v>
          </cell>
        </row>
        <row r="12399">
          <cell r="W12399">
            <v>0</v>
          </cell>
          <cell r="AB12399" t="str">
            <v>line item not tagged</v>
          </cell>
        </row>
        <row r="12400">
          <cell r="W12400">
            <v>0</v>
          </cell>
          <cell r="AB12400" t="str">
            <v>line item not tagged</v>
          </cell>
        </row>
        <row r="12401">
          <cell r="W12401">
            <v>0</v>
          </cell>
          <cell r="AB12401" t="str">
            <v>line item not tagged</v>
          </cell>
        </row>
        <row r="12402">
          <cell r="W12402">
            <v>0</v>
          </cell>
          <cell r="AB12402" t="str">
            <v>line item not tagged</v>
          </cell>
        </row>
        <row r="12403">
          <cell r="W12403">
            <v>0</v>
          </cell>
          <cell r="AB12403" t="str">
            <v>line item not tagged</v>
          </cell>
        </row>
        <row r="12404">
          <cell r="W12404">
            <v>0</v>
          </cell>
          <cell r="AB12404" t="str">
            <v>line item not tagged</v>
          </cell>
        </row>
        <row r="12405">
          <cell r="W12405">
            <v>0</v>
          </cell>
          <cell r="AB12405" t="str">
            <v>line item not tagged</v>
          </cell>
        </row>
        <row r="12406">
          <cell r="W12406">
            <v>0</v>
          </cell>
          <cell r="AB12406" t="str">
            <v>line item not tagged</v>
          </cell>
        </row>
        <row r="12407">
          <cell r="W12407">
            <v>0</v>
          </cell>
          <cell r="AB12407" t="str">
            <v>line item not tagged</v>
          </cell>
        </row>
        <row r="12408">
          <cell r="W12408">
            <v>0</v>
          </cell>
          <cell r="AB12408" t="str">
            <v>line item not tagged</v>
          </cell>
        </row>
        <row r="12409">
          <cell r="W12409">
            <v>0</v>
          </cell>
          <cell r="AB12409" t="str">
            <v>line item not tagged</v>
          </cell>
        </row>
        <row r="12410">
          <cell r="W12410">
            <v>0</v>
          </cell>
          <cell r="AB12410" t="str">
            <v>line item not tagged</v>
          </cell>
        </row>
        <row r="12411">
          <cell r="W12411">
            <v>0</v>
          </cell>
          <cell r="AB12411" t="str">
            <v>line item not tagged</v>
          </cell>
        </row>
        <row r="12412">
          <cell r="W12412">
            <v>0</v>
          </cell>
          <cell r="AB12412" t="str">
            <v>line item not tagged</v>
          </cell>
        </row>
        <row r="12413">
          <cell r="W12413">
            <v>0</v>
          </cell>
          <cell r="AB12413" t="str">
            <v>line item not tagged</v>
          </cell>
        </row>
        <row r="12414">
          <cell r="W12414">
            <v>0</v>
          </cell>
          <cell r="AB12414" t="str">
            <v>line item not tagged</v>
          </cell>
        </row>
        <row r="12415">
          <cell r="W12415">
            <v>0</v>
          </cell>
          <cell r="AB12415" t="str">
            <v>line item not tagged</v>
          </cell>
        </row>
        <row r="12416">
          <cell r="W12416">
            <v>0</v>
          </cell>
          <cell r="AB12416" t="str">
            <v>line item not tagged</v>
          </cell>
        </row>
        <row r="12417">
          <cell r="W12417">
            <v>0</v>
          </cell>
          <cell r="AB12417" t="str">
            <v>line item not tagged</v>
          </cell>
        </row>
        <row r="12418">
          <cell r="W12418">
            <v>0</v>
          </cell>
          <cell r="AB12418" t="str">
            <v>line item not tagged</v>
          </cell>
        </row>
        <row r="12419">
          <cell r="W12419">
            <v>0</v>
          </cell>
          <cell r="AB12419" t="str">
            <v>line item not tagged</v>
          </cell>
        </row>
        <row r="12420">
          <cell r="W12420">
            <v>0</v>
          </cell>
          <cell r="AB12420" t="str">
            <v>line item not tagged</v>
          </cell>
        </row>
        <row r="12421">
          <cell r="W12421">
            <v>0</v>
          </cell>
          <cell r="AB12421" t="str">
            <v>line item not tagged</v>
          </cell>
        </row>
        <row r="12422">
          <cell r="W12422">
            <v>0</v>
          </cell>
          <cell r="AB12422" t="str">
            <v>line item not tagged</v>
          </cell>
        </row>
        <row r="12423">
          <cell r="W12423">
            <v>0</v>
          </cell>
          <cell r="AB12423" t="str">
            <v>line item not tagged</v>
          </cell>
        </row>
        <row r="12424">
          <cell r="W12424">
            <v>0</v>
          </cell>
          <cell r="AB12424" t="str">
            <v>line item not tagged</v>
          </cell>
        </row>
        <row r="12425">
          <cell r="W12425">
            <v>0</v>
          </cell>
          <cell r="AB12425" t="str">
            <v>line item not tagged</v>
          </cell>
        </row>
        <row r="12426">
          <cell r="W12426">
            <v>0</v>
          </cell>
          <cell r="AB12426" t="str">
            <v>line item not tagged</v>
          </cell>
        </row>
        <row r="12427">
          <cell r="W12427">
            <v>0</v>
          </cell>
          <cell r="AB12427" t="str">
            <v>line item not tagged</v>
          </cell>
        </row>
        <row r="12428">
          <cell r="W12428">
            <v>0</v>
          </cell>
          <cell r="AB12428" t="str">
            <v>line item not tagged</v>
          </cell>
        </row>
        <row r="12429">
          <cell r="W12429">
            <v>0</v>
          </cell>
          <cell r="AB12429" t="str">
            <v>line item not tagged</v>
          </cell>
        </row>
        <row r="12430">
          <cell r="W12430">
            <v>0</v>
          </cell>
          <cell r="AB12430" t="str">
            <v>line item not tagged</v>
          </cell>
        </row>
        <row r="12431">
          <cell r="W12431">
            <v>0</v>
          </cell>
          <cell r="AB12431" t="str">
            <v>line item not tagged</v>
          </cell>
        </row>
        <row r="12432">
          <cell r="W12432">
            <v>0</v>
          </cell>
          <cell r="AB12432" t="str">
            <v>line item not tagged</v>
          </cell>
        </row>
        <row r="12433">
          <cell r="W12433">
            <v>0</v>
          </cell>
          <cell r="AB12433" t="str">
            <v>line item not tagged</v>
          </cell>
        </row>
        <row r="12434">
          <cell r="W12434">
            <v>0</v>
          </cell>
          <cell r="AB12434" t="str">
            <v>line item not tagged</v>
          </cell>
        </row>
        <row r="12435">
          <cell r="W12435">
            <v>0</v>
          </cell>
          <cell r="AB12435" t="str">
            <v>line item not tagged</v>
          </cell>
        </row>
        <row r="12436">
          <cell r="W12436">
            <v>0</v>
          </cell>
          <cell r="AB12436" t="str">
            <v>line item not tagged</v>
          </cell>
        </row>
        <row r="12437">
          <cell r="W12437">
            <v>0</v>
          </cell>
          <cell r="AB12437" t="str">
            <v>line item not tagged</v>
          </cell>
        </row>
        <row r="12438">
          <cell r="W12438">
            <v>0</v>
          </cell>
          <cell r="AB12438" t="str">
            <v>line item not tagged</v>
          </cell>
        </row>
        <row r="12439">
          <cell r="W12439">
            <v>0</v>
          </cell>
          <cell r="AB12439" t="str">
            <v>line item not tagged</v>
          </cell>
        </row>
        <row r="12440">
          <cell r="W12440">
            <v>0</v>
          </cell>
          <cell r="AB12440" t="str">
            <v>line item not tagged</v>
          </cell>
        </row>
        <row r="12441">
          <cell r="W12441">
            <v>0</v>
          </cell>
          <cell r="AB12441" t="str">
            <v>line item not tagged</v>
          </cell>
        </row>
        <row r="12442">
          <cell r="W12442">
            <v>0</v>
          </cell>
          <cell r="AB12442" t="str">
            <v>line item not tagged</v>
          </cell>
        </row>
        <row r="12443">
          <cell r="W12443">
            <v>0</v>
          </cell>
          <cell r="AB12443" t="str">
            <v>line item not tagged</v>
          </cell>
        </row>
        <row r="12444">
          <cell r="W12444">
            <v>0</v>
          </cell>
          <cell r="AB12444" t="str">
            <v>line item not tagged</v>
          </cell>
        </row>
        <row r="12445">
          <cell r="W12445">
            <v>0</v>
          </cell>
          <cell r="AB12445" t="str">
            <v>line item not tagged</v>
          </cell>
        </row>
        <row r="12446">
          <cell r="W12446">
            <v>0</v>
          </cell>
          <cell r="AB12446" t="str">
            <v>line item not tagged</v>
          </cell>
        </row>
        <row r="12447">
          <cell r="W12447">
            <v>0</v>
          </cell>
          <cell r="AB12447" t="str">
            <v>line item not tagged</v>
          </cell>
        </row>
        <row r="12448">
          <cell r="W12448">
            <v>0</v>
          </cell>
          <cell r="AB12448" t="str">
            <v>line item not tagged</v>
          </cell>
        </row>
        <row r="12449">
          <cell r="W12449">
            <v>0</v>
          </cell>
          <cell r="AB12449" t="str">
            <v>line item not tagged</v>
          </cell>
        </row>
        <row r="12450">
          <cell r="W12450">
            <v>0</v>
          </cell>
          <cell r="AB12450" t="str">
            <v>line item not tagged</v>
          </cell>
        </row>
        <row r="12451">
          <cell r="W12451">
            <v>0</v>
          </cell>
          <cell r="AB12451" t="str">
            <v>line item not tagged</v>
          </cell>
        </row>
        <row r="12452">
          <cell r="W12452">
            <v>0</v>
          </cell>
          <cell r="AB12452" t="str">
            <v>line item not tagged</v>
          </cell>
        </row>
        <row r="12453">
          <cell r="W12453">
            <v>0</v>
          </cell>
          <cell r="AB12453" t="str">
            <v>line item not tagged</v>
          </cell>
        </row>
        <row r="12454">
          <cell r="W12454">
            <v>0</v>
          </cell>
          <cell r="AB12454" t="str">
            <v>line item not tagged</v>
          </cell>
        </row>
        <row r="12455">
          <cell r="W12455">
            <v>0</v>
          </cell>
          <cell r="AB12455" t="str">
            <v>line item not tagged</v>
          </cell>
        </row>
        <row r="12456">
          <cell r="W12456">
            <v>0</v>
          </cell>
          <cell r="AB12456" t="str">
            <v>line item not tagged</v>
          </cell>
        </row>
        <row r="12457">
          <cell r="W12457">
            <v>0</v>
          </cell>
          <cell r="AB12457" t="str">
            <v>line item not tagged</v>
          </cell>
        </row>
        <row r="12458">
          <cell r="W12458">
            <v>0</v>
          </cell>
          <cell r="AB12458" t="str">
            <v>line item not tagged</v>
          </cell>
        </row>
        <row r="12459">
          <cell r="W12459">
            <v>0</v>
          </cell>
          <cell r="AB12459" t="str">
            <v>line item not tagged</v>
          </cell>
        </row>
        <row r="12460">
          <cell r="W12460">
            <v>0</v>
          </cell>
          <cell r="AB12460" t="str">
            <v>line item not tagged</v>
          </cell>
        </row>
        <row r="12461">
          <cell r="W12461">
            <v>0</v>
          </cell>
          <cell r="AB12461" t="str">
            <v>line item not tagged</v>
          </cell>
        </row>
        <row r="12462">
          <cell r="W12462">
            <v>0</v>
          </cell>
          <cell r="AB12462" t="str">
            <v>line item not tagged</v>
          </cell>
        </row>
        <row r="12463">
          <cell r="W12463">
            <v>0</v>
          </cell>
          <cell r="AB12463" t="str">
            <v>line item not tagged</v>
          </cell>
        </row>
        <row r="12464">
          <cell r="W12464">
            <v>0</v>
          </cell>
          <cell r="AB12464" t="str">
            <v>line item not tagged</v>
          </cell>
        </row>
        <row r="12465">
          <cell r="W12465">
            <v>0</v>
          </cell>
          <cell r="AB12465" t="str">
            <v>line item not tagged</v>
          </cell>
        </row>
        <row r="12466">
          <cell r="W12466">
            <v>0</v>
          </cell>
          <cell r="AB12466" t="str">
            <v>line item not tagged</v>
          </cell>
        </row>
        <row r="12467">
          <cell r="W12467">
            <v>0</v>
          </cell>
          <cell r="AB12467" t="str">
            <v>line item not tagged</v>
          </cell>
        </row>
        <row r="12468">
          <cell r="W12468">
            <v>0</v>
          </cell>
          <cell r="AB12468" t="str">
            <v>line item not tagged</v>
          </cell>
        </row>
        <row r="12469">
          <cell r="W12469">
            <v>0</v>
          </cell>
          <cell r="AB12469" t="str">
            <v>line item not tagged</v>
          </cell>
        </row>
        <row r="12470">
          <cell r="W12470">
            <v>0</v>
          </cell>
          <cell r="AB12470" t="str">
            <v>line item not tagged</v>
          </cell>
        </row>
        <row r="12471">
          <cell r="W12471">
            <v>0</v>
          </cell>
          <cell r="AB12471" t="str">
            <v>line item not tagged</v>
          </cell>
        </row>
        <row r="12472">
          <cell r="W12472">
            <v>0</v>
          </cell>
          <cell r="AB12472" t="str">
            <v>line item not tagged</v>
          </cell>
        </row>
        <row r="12473">
          <cell r="W12473">
            <v>0</v>
          </cell>
          <cell r="AB12473" t="str">
            <v>line item not tagged</v>
          </cell>
        </row>
        <row r="12474">
          <cell r="W12474">
            <v>0</v>
          </cell>
          <cell r="AB12474" t="str">
            <v>line item not tagged</v>
          </cell>
        </row>
        <row r="12475">
          <cell r="W12475">
            <v>0</v>
          </cell>
          <cell r="AB12475" t="str">
            <v>line item not tagged</v>
          </cell>
        </row>
        <row r="12476">
          <cell r="W12476">
            <v>0</v>
          </cell>
          <cell r="AB12476" t="str">
            <v>line item not tagged</v>
          </cell>
        </row>
        <row r="12477">
          <cell r="W12477">
            <v>0</v>
          </cell>
          <cell r="AB12477" t="str">
            <v>line item not tagged</v>
          </cell>
        </row>
        <row r="12478">
          <cell r="W12478">
            <v>0</v>
          </cell>
          <cell r="AB12478" t="str">
            <v>line item not tagged</v>
          </cell>
        </row>
        <row r="12479">
          <cell r="W12479">
            <v>0</v>
          </cell>
          <cell r="AB12479" t="str">
            <v>line item not tagged</v>
          </cell>
        </row>
        <row r="12480">
          <cell r="W12480">
            <v>0</v>
          </cell>
          <cell r="AB12480" t="str">
            <v>line item not tagged</v>
          </cell>
        </row>
        <row r="12481">
          <cell r="W12481">
            <v>0</v>
          </cell>
          <cell r="AB12481" t="str">
            <v>line item not tagged</v>
          </cell>
        </row>
        <row r="12482">
          <cell r="W12482">
            <v>0</v>
          </cell>
          <cell r="AB12482" t="str">
            <v>line item not tagged</v>
          </cell>
        </row>
        <row r="12483">
          <cell r="W12483">
            <v>0</v>
          </cell>
          <cell r="AB12483" t="str">
            <v>line item not tagged</v>
          </cell>
        </row>
        <row r="12484">
          <cell r="W12484">
            <v>0</v>
          </cell>
          <cell r="AB12484" t="str">
            <v>line item not tagged</v>
          </cell>
        </row>
        <row r="12485">
          <cell r="W12485">
            <v>0</v>
          </cell>
          <cell r="AB12485" t="str">
            <v>line item not tagged</v>
          </cell>
        </row>
        <row r="12486">
          <cell r="W12486">
            <v>0</v>
          </cell>
          <cell r="AB12486" t="str">
            <v>line item not tagged</v>
          </cell>
        </row>
        <row r="12487">
          <cell r="W12487">
            <v>0</v>
          </cell>
          <cell r="AB12487" t="str">
            <v>line item not tagged</v>
          </cell>
        </row>
        <row r="12488">
          <cell r="W12488">
            <v>0</v>
          </cell>
          <cell r="AB12488" t="str">
            <v>line item not tagged</v>
          </cell>
        </row>
        <row r="12489">
          <cell r="W12489">
            <v>0</v>
          </cell>
          <cell r="AB12489" t="str">
            <v>line item not tagged</v>
          </cell>
        </row>
        <row r="12490">
          <cell r="W12490">
            <v>0</v>
          </cell>
          <cell r="AB12490" t="str">
            <v>line item not tagged</v>
          </cell>
        </row>
        <row r="12491">
          <cell r="W12491">
            <v>0</v>
          </cell>
          <cell r="AB12491" t="str">
            <v>line item not tagged</v>
          </cell>
        </row>
        <row r="12492">
          <cell r="W12492">
            <v>0</v>
          </cell>
          <cell r="AB12492" t="str">
            <v>line item not tagged</v>
          </cell>
        </row>
        <row r="12493">
          <cell r="W12493">
            <v>0</v>
          </cell>
          <cell r="AB12493" t="str">
            <v>line item not tagged</v>
          </cell>
        </row>
        <row r="12494">
          <cell r="W12494">
            <v>0</v>
          </cell>
          <cell r="AB12494" t="str">
            <v>line item not tagged</v>
          </cell>
        </row>
        <row r="12495">
          <cell r="W12495">
            <v>0</v>
          </cell>
          <cell r="AB12495" t="str">
            <v>line item not tagged</v>
          </cell>
        </row>
        <row r="12496">
          <cell r="W12496">
            <v>0</v>
          </cell>
          <cell r="AB12496" t="str">
            <v>line item not tagged</v>
          </cell>
        </row>
        <row r="12497">
          <cell r="W12497">
            <v>0</v>
          </cell>
          <cell r="AB12497" t="str">
            <v>line item not tagged</v>
          </cell>
        </row>
        <row r="12498">
          <cell r="W12498">
            <v>0</v>
          </cell>
          <cell r="AB12498" t="str">
            <v>line item not tagged</v>
          </cell>
        </row>
        <row r="12499">
          <cell r="W12499">
            <v>0</v>
          </cell>
          <cell r="AB12499" t="str">
            <v>line item not tagged</v>
          </cell>
        </row>
        <row r="12500">
          <cell r="W12500">
            <v>0</v>
          </cell>
          <cell r="AB12500" t="str">
            <v>line item not tagged</v>
          </cell>
        </row>
        <row r="12501">
          <cell r="W12501">
            <v>0</v>
          </cell>
          <cell r="AB12501" t="str">
            <v>line item not tagged</v>
          </cell>
        </row>
        <row r="12502">
          <cell r="W12502">
            <v>0</v>
          </cell>
          <cell r="AB12502" t="str">
            <v>line item not tagged</v>
          </cell>
        </row>
        <row r="12503">
          <cell r="W12503">
            <v>0</v>
          </cell>
          <cell r="AB12503" t="str">
            <v>line item not tagged</v>
          </cell>
        </row>
        <row r="12504">
          <cell r="W12504">
            <v>0</v>
          </cell>
          <cell r="AB12504" t="str">
            <v>line item not tagged</v>
          </cell>
        </row>
        <row r="12505">
          <cell r="W12505">
            <v>0</v>
          </cell>
          <cell r="AB12505" t="str">
            <v>line item not tagged</v>
          </cell>
        </row>
        <row r="12506">
          <cell r="W12506">
            <v>0</v>
          </cell>
          <cell r="AB12506" t="str">
            <v>line item not tagged</v>
          </cell>
        </row>
        <row r="12507">
          <cell r="W12507">
            <v>0</v>
          </cell>
          <cell r="AB12507" t="str">
            <v>line item not tagged</v>
          </cell>
        </row>
        <row r="12508">
          <cell r="W12508">
            <v>0</v>
          </cell>
          <cell r="AB12508" t="str">
            <v>line item not tagged</v>
          </cell>
        </row>
        <row r="12509">
          <cell r="W12509">
            <v>0</v>
          </cell>
          <cell r="AB12509" t="str">
            <v>line item not tagged</v>
          </cell>
        </row>
        <row r="12510">
          <cell r="W12510">
            <v>0</v>
          </cell>
          <cell r="AB12510" t="str">
            <v>line item not tagged</v>
          </cell>
        </row>
        <row r="12511">
          <cell r="W12511">
            <v>0</v>
          </cell>
          <cell r="AB12511" t="str">
            <v>line item not tagged</v>
          </cell>
        </row>
        <row r="12512">
          <cell r="W12512">
            <v>0</v>
          </cell>
          <cell r="AB12512" t="str">
            <v>line item not tagged</v>
          </cell>
        </row>
        <row r="12513">
          <cell r="W12513">
            <v>0</v>
          </cell>
          <cell r="AB12513" t="str">
            <v>line item not tagged</v>
          </cell>
        </row>
        <row r="12514">
          <cell r="W12514">
            <v>0</v>
          </cell>
          <cell r="AB12514" t="str">
            <v>line item not tagged</v>
          </cell>
        </row>
        <row r="12515">
          <cell r="W12515">
            <v>0</v>
          </cell>
          <cell r="AB12515" t="str">
            <v>line item not tagged</v>
          </cell>
        </row>
        <row r="12516">
          <cell r="W12516">
            <v>0</v>
          </cell>
          <cell r="AB12516" t="str">
            <v>line item not tagged</v>
          </cell>
        </row>
        <row r="12517">
          <cell r="W12517">
            <v>0</v>
          </cell>
          <cell r="AB12517" t="str">
            <v>line item not tagged</v>
          </cell>
        </row>
        <row r="12518">
          <cell r="W12518">
            <v>0</v>
          </cell>
          <cell r="AB12518" t="str">
            <v>line item not tagged</v>
          </cell>
        </row>
        <row r="12519">
          <cell r="W12519">
            <v>0</v>
          </cell>
          <cell r="AB12519" t="str">
            <v>line item not tagged</v>
          </cell>
        </row>
        <row r="12520">
          <cell r="W12520">
            <v>0</v>
          </cell>
          <cell r="AB12520" t="str">
            <v>line item not tagged</v>
          </cell>
        </row>
        <row r="12521">
          <cell r="W12521">
            <v>0</v>
          </cell>
          <cell r="AB12521" t="str">
            <v>line item not tagged</v>
          </cell>
        </row>
        <row r="12522">
          <cell r="W12522">
            <v>0</v>
          </cell>
          <cell r="AB12522" t="str">
            <v>line item not tagged</v>
          </cell>
        </row>
        <row r="12523">
          <cell r="W12523">
            <v>0</v>
          </cell>
          <cell r="AB12523" t="str">
            <v>line item not tagged</v>
          </cell>
        </row>
        <row r="12524">
          <cell r="W12524">
            <v>0</v>
          </cell>
          <cell r="AB12524" t="str">
            <v>line item not tagged</v>
          </cell>
        </row>
        <row r="12525">
          <cell r="W12525">
            <v>0</v>
          </cell>
          <cell r="AB12525" t="str">
            <v>line item not tagged</v>
          </cell>
        </row>
        <row r="12526">
          <cell r="W12526">
            <v>0</v>
          </cell>
          <cell r="AB12526" t="str">
            <v>line item not tagged</v>
          </cell>
        </row>
        <row r="12527">
          <cell r="W12527">
            <v>0</v>
          </cell>
          <cell r="AB12527" t="str">
            <v>line item not tagged</v>
          </cell>
        </row>
        <row r="12528">
          <cell r="W12528">
            <v>0</v>
          </cell>
          <cell r="AB12528" t="str">
            <v>line item not tagged</v>
          </cell>
        </row>
        <row r="12529">
          <cell r="W12529">
            <v>0</v>
          </cell>
          <cell r="AB12529" t="str">
            <v>line item not tagged</v>
          </cell>
        </row>
        <row r="12530">
          <cell r="W12530">
            <v>0</v>
          </cell>
          <cell r="AB12530" t="str">
            <v>line item not tagged</v>
          </cell>
        </row>
        <row r="12531">
          <cell r="W12531">
            <v>0</v>
          </cell>
          <cell r="AB12531" t="str">
            <v>line item not tagged</v>
          </cell>
        </row>
        <row r="12532">
          <cell r="W12532">
            <v>0</v>
          </cell>
          <cell r="AB12532" t="str">
            <v>line item not tagged</v>
          </cell>
        </row>
        <row r="12533">
          <cell r="W12533">
            <v>0</v>
          </cell>
          <cell r="AB12533" t="str">
            <v>line item not tagged</v>
          </cell>
        </row>
        <row r="12534">
          <cell r="W12534">
            <v>0</v>
          </cell>
          <cell r="AB12534" t="str">
            <v>line item not tagged</v>
          </cell>
        </row>
        <row r="12535">
          <cell r="W12535">
            <v>0</v>
          </cell>
          <cell r="AB12535" t="str">
            <v>line item not tagged</v>
          </cell>
        </row>
        <row r="12536">
          <cell r="W12536">
            <v>0</v>
          </cell>
          <cell r="AB12536" t="str">
            <v>line item not tagged</v>
          </cell>
        </row>
        <row r="12537">
          <cell r="W12537">
            <v>0</v>
          </cell>
          <cell r="AB12537" t="str">
            <v>line item not tagged</v>
          </cell>
        </row>
        <row r="12538">
          <cell r="W12538">
            <v>0</v>
          </cell>
          <cell r="AB12538" t="str">
            <v>line item not tagged</v>
          </cell>
        </row>
        <row r="12539">
          <cell r="W12539">
            <v>0</v>
          </cell>
          <cell r="AB12539" t="str">
            <v>line item not tagged</v>
          </cell>
        </row>
        <row r="12540">
          <cell r="W12540">
            <v>0</v>
          </cell>
          <cell r="AB12540" t="str">
            <v>line item not tagged</v>
          </cell>
        </row>
        <row r="12541">
          <cell r="W12541">
            <v>0</v>
          </cell>
          <cell r="AB12541" t="str">
            <v>line item not tagged</v>
          </cell>
        </row>
        <row r="12542">
          <cell r="W12542">
            <v>0</v>
          </cell>
          <cell r="AB12542" t="str">
            <v>line item not tagged</v>
          </cell>
        </row>
        <row r="12543">
          <cell r="W12543">
            <v>0</v>
          </cell>
          <cell r="AB12543" t="str">
            <v>line item not tagged</v>
          </cell>
        </row>
        <row r="12544">
          <cell r="W12544">
            <v>0</v>
          </cell>
          <cell r="AB12544" t="str">
            <v>line item not tagged</v>
          </cell>
        </row>
        <row r="12545">
          <cell r="W12545">
            <v>0</v>
          </cell>
          <cell r="AB12545" t="str">
            <v>line item not tagged</v>
          </cell>
        </row>
        <row r="12546">
          <cell r="W12546">
            <v>0</v>
          </cell>
          <cell r="AB12546" t="str">
            <v>line item not tagged</v>
          </cell>
        </row>
        <row r="12547">
          <cell r="W12547">
            <v>0</v>
          </cell>
          <cell r="AB12547" t="str">
            <v>line item not tagged</v>
          </cell>
        </row>
        <row r="12548">
          <cell r="W12548">
            <v>0</v>
          </cell>
          <cell r="AB12548" t="str">
            <v>line item not tagged</v>
          </cell>
        </row>
        <row r="12549">
          <cell r="W12549">
            <v>0</v>
          </cell>
          <cell r="AB12549" t="str">
            <v>line item not tagged</v>
          </cell>
        </row>
        <row r="12550">
          <cell r="W12550">
            <v>0</v>
          </cell>
          <cell r="AB12550" t="str">
            <v>line item not tagged</v>
          </cell>
        </row>
        <row r="12551">
          <cell r="W12551">
            <v>0</v>
          </cell>
          <cell r="AB12551" t="str">
            <v>line item not tagged</v>
          </cell>
        </row>
        <row r="12552">
          <cell r="W12552">
            <v>0</v>
          </cell>
          <cell r="AB12552" t="str">
            <v>line item not tagged</v>
          </cell>
        </row>
        <row r="12553">
          <cell r="W12553">
            <v>0</v>
          </cell>
          <cell r="AB12553" t="str">
            <v>line item not tagged</v>
          </cell>
        </row>
        <row r="12554">
          <cell r="W12554">
            <v>0</v>
          </cell>
          <cell r="AB12554" t="str">
            <v>line item not tagged</v>
          </cell>
        </row>
        <row r="12555">
          <cell r="W12555">
            <v>0</v>
          </cell>
          <cell r="AB12555" t="str">
            <v>line item not tagged</v>
          </cell>
        </row>
        <row r="12556">
          <cell r="W12556">
            <v>0</v>
          </cell>
          <cell r="AB12556" t="str">
            <v>line item not tagged</v>
          </cell>
        </row>
        <row r="12557">
          <cell r="W12557">
            <v>0</v>
          </cell>
          <cell r="AB12557" t="str">
            <v>line item not tagged</v>
          </cell>
        </row>
        <row r="12558">
          <cell r="W12558">
            <v>0</v>
          </cell>
          <cell r="AB12558" t="str">
            <v>line item not tagged</v>
          </cell>
        </row>
        <row r="12559">
          <cell r="W12559">
            <v>0</v>
          </cell>
          <cell r="AB12559" t="str">
            <v>line item not tagged</v>
          </cell>
        </row>
        <row r="12560">
          <cell r="W12560">
            <v>0</v>
          </cell>
          <cell r="AB12560" t="str">
            <v>line item not tagged</v>
          </cell>
        </row>
        <row r="12561">
          <cell r="W12561">
            <v>0</v>
          </cell>
          <cell r="AB12561" t="str">
            <v>line item not tagged</v>
          </cell>
        </row>
        <row r="12562">
          <cell r="W12562">
            <v>0</v>
          </cell>
          <cell r="AB12562" t="str">
            <v>line item not tagged</v>
          </cell>
        </row>
        <row r="12563">
          <cell r="W12563">
            <v>0</v>
          </cell>
          <cell r="AB12563" t="str">
            <v>line item not tagged</v>
          </cell>
        </row>
        <row r="12564">
          <cell r="W12564">
            <v>0</v>
          </cell>
          <cell r="AB12564" t="str">
            <v>line item not tagged</v>
          </cell>
        </row>
        <row r="12565">
          <cell r="W12565">
            <v>0</v>
          </cell>
          <cell r="AB12565" t="str">
            <v>line item not tagged</v>
          </cell>
        </row>
        <row r="12566">
          <cell r="W12566">
            <v>0</v>
          </cell>
          <cell r="AB12566" t="str">
            <v>line item not tagged</v>
          </cell>
        </row>
        <row r="12567">
          <cell r="W12567">
            <v>0</v>
          </cell>
          <cell r="AB12567" t="str">
            <v>line item not tagged</v>
          </cell>
        </row>
        <row r="12568">
          <cell r="W12568">
            <v>0</v>
          </cell>
          <cell r="AB12568" t="str">
            <v>line item not tagged</v>
          </cell>
        </row>
        <row r="12569">
          <cell r="W12569">
            <v>0</v>
          </cell>
          <cell r="AB12569" t="str">
            <v>line item not tagged</v>
          </cell>
        </row>
        <row r="12570">
          <cell r="W12570">
            <v>0</v>
          </cell>
          <cell r="AB12570" t="str">
            <v>line item not tagged</v>
          </cell>
        </row>
        <row r="12571">
          <cell r="W12571">
            <v>0</v>
          </cell>
          <cell r="AB12571" t="str">
            <v>line item not tagged</v>
          </cell>
        </row>
        <row r="12572">
          <cell r="W12572">
            <v>0</v>
          </cell>
          <cell r="AB12572" t="str">
            <v>line item not tagged</v>
          </cell>
        </row>
        <row r="12573">
          <cell r="W12573">
            <v>0</v>
          </cell>
          <cell r="AB12573" t="str">
            <v>line item not tagged</v>
          </cell>
        </row>
        <row r="12574">
          <cell r="W12574">
            <v>0</v>
          </cell>
          <cell r="AB12574" t="str">
            <v>line item not tagged</v>
          </cell>
        </row>
        <row r="12575">
          <cell r="W12575">
            <v>0</v>
          </cell>
          <cell r="AB12575" t="str">
            <v>line item not tagged</v>
          </cell>
        </row>
        <row r="12576">
          <cell r="W12576">
            <v>0</v>
          </cell>
          <cell r="AB12576" t="str">
            <v>line item not tagged</v>
          </cell>
        </row>
        <row r="12577">
          <cell r="W12577">
            <v>0</v>
          </cell>
          <cell r="AB12577" t="str">
            <v>line item not tagged</v>
          </cell>
        </row>
        <row r="12578">
          <cell r="W12578">
            <v>0</v>
          </cell>
          <cell r="AB12578" t="str">
            <v>line item not tagged</v>
          </cell>
        </row>
        <row r="12579">
          <cell r="W12579">
            <v>0</v>
          </cell>
          <cell r="AB12579" t="str">
            <v>line item not tagged</v>
          </cell>
        </row>
        <row r="12580">
          <cell r="W12580">
            <v>0</v>
          </cell>
          <cell r="AB12580" t="str">
            <v>line item not tagged</v>
          </cell>
        </row>
        <row r="12581">
          <cell r="W12581">
            <v>0</v>
          </cell>
          <cell r="AB12581" t="str">
            <v>line item not tagged</v>
          </cell>
        </row>
        <row r="12582">
          <cell r="W12582">
            <v>0</v>
          </cell>
          <cell r="AB12582" t="str">
            <v>line item not tagged</v>
          </cell>
        </row>
        <row r="12583">
          <cell r="W12583">
            <v>0</v>
          </cell>
          <cell r="AB12583" t="str">
            <v>line item not tagged</v>
          </cell>
        </row>
        <row r="12584">
          <cell r="W12584">
            <v>0</v>
          </cell>
          <cell r="AB12584" t="str">
            <v>line item not tagged</v>
          </cell>
        </row>
        <row r="12585">
          <cell r="W12585">
            <v>0</v>
          </cell>
          <cell r="AB12585" t="str">
            <v>line item not tagged</v>
          </cell>
        </row>
        <row r="12586">
          <cell r="W12586">
            <v>0</v>
          </cell>
          <cell r="AB12586" t="str">
            <v>line item not tagged</v>
          </cell>
        </row>
        <row r="12587">
          <cell r="W12587">
            <v>0</v>
          </cell>
          <cell r="AB12587" t="str">
            <v>line item not tagged</v>
          </cell>
        </row>
        <row r="12588">
          <cell r="W12588">
            <v>0</v>
          </cell>
          <cell r="AB12588" t="str">
            <v>line item not tagged</v>
          </cell>
        </row>
        <row r="12589">
          <cell r="W12589">
            <v>0</v>
          </cell>
          <cell r="AB12589" t="str">
            <v>line item not tagged</v>
          </cell>
        </row>
        <row r="12590">
          <cell r="W12590">
            <v>0</v>
          </cell>
          <cell r="AB12590" t="str">
            <v>line item not tagged</v>
          </cell>
        </row>
        <row r="12591">
          <cell r="W12591">
            <v>0</v>
          </cell>
          <cell r="AB12591" t="str">
            <v>line item not tagged</v>
          </cell>
        </row>
        <row r="12592">
          <cell r="W12592">
            <v>0</v>
          </cell>
          <cell r="AB12592" t="str">
            <v>line item not tagged</v>
          </cell>
        </row>
        <row r="12593">
          <cell r="W12593">
            <v>0</v>
          </cell>
          <cell r="AB12593" t="str">
            <v>line item not tagged</v>
          </cell>
        </row>
        <row r="12594">
          <cell r="W12594">
            <v>0</v>
          </cell>
          <cell r="AB12594" t="str">
            <v>line item not tagged</v>
          </cell>
        </row>
        <row r="12595">
          <cell r="W12595">
            <v>0</v>
          </cell>
          <cell r="AB12595" t="str">
            <v>line item not tagged</v>
          </cell>
        </row>
        <row r="12596">
          <cell r="W12596">
            <v>0</v>
          </cell>
          <cell r="AB12596" t="str">
            <v>line item not tagged</v>
          </cell>
        </row>
        <row r="12597">
          <cell r="W12597">
            <v>0</v>
          </cell>
          <cell r="AB12597" t="str">
            <v>line item not tagged</v>
          </cell>
        </row>
        <row r="12598">
          <cell r="W12598">
            <v>0</v>
          </cell>
          <cell r="AB12598" t="str">
            <v>line item not tagged</v>
          </cell>
        </row>
        <row r="12599">
          <cell r="W12599">
            <v>0</v>
          </cell>
          <cell r="AB12599" t="str">
            <v>line item not tagged</v>
          </cell>
        </row>
        <row r="12600">
          <cell r="W12600">
            <v>0</v>
          </cell>
          <cell r="AB12600" t="str">
            <v>line item not tagged</v>
          </cell>
        </row>
        <row r="12601">
          <cell r="W12601">
            <v>0</v>
          </cell>
          <cell r="AB12601" t="str">
            <v>line item not tagged</v>
          </cell>
        </row>
        <row r="12602">
          <cell r="W12602">
            <v>0</v>
          </cell>
          <cell r="AB12602" t="str">
            <v>line item not tagged</v>
          </cell>
        </row>
        <row r="12603">
          <cell r="W12603">
            <v>0</v>
          </cell>
          <cell r="AB12603" t="str">
            <v>line item not tagged</v>
          </cell>
        </row>
        <row r="12604">
          <cell r="W12604">
            <v>0</v>
          </cell>
          <cell r="AB12604" t="str">
            <v>line item not tagged</v>
          </cell>
        </row>
        <row r="12605">
          <cell r="W12605">
            <v>0</v>
          </cell>
          <cell r="AB12605" t="str">
            <v>line item not tagged</v>
          </cell>
        </row>
        <row r="12606">
          <cell r="W12606">
            <v>0</v>
          </cell>
          <cell r="AB12606" t="str">
            <v>line item not tagged</v>
          </cell>
        </row>
        <row r="12607">
          <cell r="W12607">
            <v>0</v>
          </cell>
          <cell r="AB12607" t="str">
            <v>line item not tagged</v>
          </cell>
        </row>
        <row r="12608">
          <cell r="W12608">
            <v>0</v>
          </cell>
          <cell r="AB12608" t="str">
            <v>line item not tagged</v>
          </cell>
        </row>
        <row r="12609">
          <cell r="W12609">
            <v>0</v>
          </cell>
          <cell r="AB12609" t="str">
            <v>line item not tagged</v>
          </cell>
        </row>
        <row r="12610">
          <cell r="W12610">
            <v>0</v>
          </cell>
          <cell r="AB12610" t="str">
            <v>line item not tagged</v>
          </cell>
        </row>
        <row r="12611">
          <cell r="W12611">
            <v>0</v>
          </cell>
          <cell r="AB12611" t="str">
            <v>line item not tagged</v>
          </cell>
        </row>
        <row r="12612">
          <cell r="W12612">
            <v>0</v>
          </cell>
          <cell r="AB12612" t="str">
            <v>line item not tagged</v>
          </cell>
        </row>
        <row r="12613">
          <cell r="W12613">
            <v>0</v>
          </cell>
          <cell r="AB12613" t="str">
            <v>line item not tagged</v>
          </cell>
        </row>
        <row r="12614">
          <cell r="W12614">
            <v>0</v>
          </cell>
          <cell r="AB12614" t="str">
            <v>line item not tagged</v>
          </cell>
        </row>
        <row r="12615">
          <cell r="W12615">
            <v>0</v>
          </cell>
          <cell r="AB12615" t="str">
            <v>line item not tagged</v>
          </cell>
        </row>
        <row r="12616">
          <cell r="W12616">
            <v>0</v>
          </cell>
          <cell r="AB12616" t="str">
            <v>line item not tagged</v>
          </cell>
        </row>
        <row r="12617">
          <cell r="W12617">
            <v>0</v>
          </cell>
          <cell r="AB12617" t="str">
            <v>line item not tagged</v>
          </cell>
        </row>
        <row r="12618">
          <cell r="W12618">
            <v>0</v>
          </cell>
          <cell r="AB12618" t="str">
            <v>line item not tagged</v>
          </cell>
        </row>
        <row r="12619">
          <cell r="W12619">
            <v>0</v>
          </cell>
          <cell r="AB12619" t="str">
            <v>line item not tagged</v>
          </cell>
        </row>
        <row r="12620">
          <cell r="W12620">
            <v>0</v>
          </cell>
          <cell r="AB12620" t="str">
            <v>line item not tagged</v>
          </cell>
        </row>
        <row r="12621">
          <cell r="W12621">
            <v>0</v>
          </cell>
          <cell r="AB12621" t="str">
            <v>line item not tagged</v>
          </cell>
        </row>
        <row r="12622">
          <cell r="W12622">
            <v>0</v>
          </cell>
          <cell r="AB12622" t="str">
            <v>line item not tagged</v>
          </cell>
        </row>
        <row r="12623">
          <cell r="W12623">
            <v>0</v>
          </cell>
          <cell r="AB12623" t="str">
            <v>line item not tagged</v>
          </cell>
        </row>
        <row r="12624">
          <cell r="W12624">
            <v>0</v>
          </cell>
          <cell r="AB12624" t="str">
            <v>line item not tagged</v>
          </cell>
        </row>
        <row r="12625">
          <cell r="W12625">
            <v>0</v>
          </cell>
          <cell r="AB12625" t="str">
            <v>line item not tagged</v>
          </cell>
        </row>
        <row r="12626">
          <cell r="W12626">
            <v>0</v>
          </cell>
          <cell r="AB12626" t="str">
            <v>line item not tagged</v>
          </cell>
        </row>
        <row r="12627">
          <cell r="W12627">
            <v>0</v>
          </cell>
          <cell r="AB12627" t="str">
            <v>line item not tagged</v>
          </cell>
        </row>
        <row r="12628">
          <cell r="W12628">
            <v>0</v>
          </cell>
          <cell r="AB12628" t="str">
            <v>line item not tagged</v>
          </cell>
        </row>
        <row r="12629">
          <cell r="W12629">
            <v>0</v>
          </cell>
          <cell r="AB12629" t="str">
            <v>line item not tagged</v>
          </cell>
        </row>
        <row r="12630">
          <cell r="W12630">
            <v>0</v>
          </cell>
          <cell r="AB12630" t="str">
            <v>line item not tagged</v>
          </cell>
        </row>
        <row r="12631">
          <cell r="W12631">
            <v>0</v>
          </cell>
          <cell r="AB12631" t="str">
            <v>line item not tagged</v>
          </cell>
        </row>
        <row r="12632">
          <cell r="W12632">
            <v>0</v>
          </cell>
          <cell r="AB12632" t="str">
            <v>line item not tagged</v>
          </cell>
        </row>
        <row r="12633">
          <cell r="W12633">
            <v>0</v>
          </cell>
          <cell r="AB12633" t="str">
            <v>line item not tagged</v>
          </cell>
        </row>
        <row r="12634">
          <cell r="W12634">
            <v>0</v>
          </cell>
          <cell r="AB12634" t="str">
            <v>line item not tagged</v>
          </cell>
        </row>
        <row r="12635">
          <cell r="W12635">
            <v>0</v>
          </cell>
          <cell r="AB12635" t="str">
            <v>line item not tagged</v>
          </cell>
        </row>
        <row r="12636">
          <cell r="W12636">
            <v>0</v>
          </cell>
          <cell r="AB12636" t="str">
            <v>line item not tagged</v>
          </cell>
        </row>
        <row r="12637">
          <cell r="W12637">
            <v>0</v>
          </cell>
          <cell r="AB12637" t="str">
            <v>line item not tagged</v>
          </cell>
        </row>
        <row r="12638">
          <cell r="W12638">
            <v>0</v>
          </cell>
          <cell r="AB12638" t="str">
            <v>line item not tagged</v>
          </cell>
        </row>
        <row r="12639">
          <cell r="W12639">
            <v>0</v>
          </cell>
          <cell r="AB12639" t="str">
            <v>line item not tagged</v>
          </cell>
        </row>
        <row r="12640">
          <cell r="W12640">
            <v>0</v>
          </cell>
          <cell r="AB12640" t="str">
            <v>line item not tagged</v>
          </cell>
        </row>
        <row r="12641">
          <cell r="W12641">
            <v>0</v>
          </cell>
          <cell r="AB12641" t="str">
            <v>line item not tagged</v>
          </cell>
        </row>
        <row r="12642">
          <cell r="W12642">
            <v>0</v>
          </cell>
          <cell r="AB12642" t="str">
            <v>line item not tagged</v>
          </cell>
        </row>
        <row r="12643">
          <cell r="W12643">
            <v>0</v>
          </cell>
          <cell r="AB12643" t="str">
            <v>line item not tagged</v>
          </cell>
        </row>
        <row r="12644">
          <cell r="W12644">
            <v>0</v>
          </cell>
          <cell r="AB12644" t="str">
            <v>line item not tagged</v>
          </cell>
        </row>
        <row r="12645">
          <cell r="W12645">
            <v>0</v>
          </cell>
          <cell r="AB12645" t="str">
            <v>line item not tagged</v>
          </cell>
        </row>
        <row r="12646">
          <cell r="W12646">
            <v>0</v>
          </cell>
          <cell r="AB12646" t="str">
            <v>line item not tagged</v>
          </cell>
        </row>
        <row r="12647">
          <cell r="W12647">
            <v>0</v>
          </cell>
          <cell r="AB12647" t="str">
            <v>line item not tagged</v>
          </cell>
        </row>
        <row r="12648">
          <cell r="W12648">
            <v>0</v>
          </cell>
          <cell r="AB12648" t="str">
            <v>line item not tagged</v>
          </cell>
        </row>
        <row r="12649">
          <cell r="W12649">
            <v>0</v>
          </cell>
          <cell r="AB12649" t="str">
            <v>line item not tagged</v>
          </cell>
        </row>
        <row r="12650">
          <cell r="W12650">
            <v>0</v>
          </cell>
          <cell r="AB12650" t="str">
            <v>line item not tagged</v>
          </cell>
        </row>
        <row r="12651">
          <cell r="W12651">
            <v>0</v>
          </cell>
          <cell r="AB12651" t="str">
            <v>line item not tagged</v>
          </cell>
        </row>
        <row r="12652">
          <cell r="W12652">
            <v>0</v>
          </cell>
          <cell r="AB12652" t="str">
            <v>line item not tagged</v>
          </cell>
        </row>
        <row r="12653">
          <cell r="W12653">
            <v>0</v>
          </cell>
          <cell r="AB12653" t="str">
            <v>line item not tagged</v>
          </cell>
        </row>
        <row r="12654">
          <cell r="W12654">
            <v>0</v>
          </cell>
          <cell r="AB12654" t="str">
            <v>line item not tagged</v>
          </cell>
        </row>
        <row r="12655">
          <cell r="W12655">
            <v>0</v>
          </cell>
          <cell r="AB12655" t="str">
            <v>line item not tagged</v>
          </cell>
        </row>
        <row r="12656">
          <cell r="W12656">
            <v>0</v>
          </cell>
          <cell r="AB12656" t="str">
            <v>line item not tagged</v>
          </cell>
        </row>
        <row r="12657">
          <cell r="W12657">
            <v>0</v>
          </cell>
          <cell r="AB12657" t="str">
            <v>line item not tagged</v>
          </cell>
        </row>
        <row r="12658">
          <cell r="W12658">
            <v>0</v>
          </cell>
          <cell r="AB12658" t="str">
            <v>line item not tagged</v>
          </cell>
        </row>
        <row r="12659">
          <cell r="W12659">
            <v>0</v>
          </cell>
          <cell r="AB12659" t="str">
            <v>line item not tagged</v>
          </cell>
        </row>
        <row r="12660">
          <cell r="W12660">
            <v>0</v>
          </cell>
          <cell r="AB12660" t="str">
            <v>line item not tagged</v>
          </cell>
        </row>
        <row r="12661">
          <cell r="W12661">
            <v>0</v>
          </cell>
          <cell r="AB12661" t="str">
            <v>line item not tagged</v>
          </cell>
        </row>
        <row r="12662">
          <cell r="W12662">
            <v>0</v>
          </cell>
          <cell r="AB12662" t="str">
            <v>line item not tagged</v>
          </cell>
        </row>
        <row r="12663">
          <cell r="W12663">
            <v>0</v>
          </cell>
          <cell r="AB12663" t="str">
            <v>line item not tagged</v>
          </cell>
        </row>
        <row r="12664">
          <cell r="W12664">
            <v>0</v>
          </cell>
          <cell r="AB12664" t="str">
            <v>line item not tagged</v>
          </cell>
        </row>
        <row r="12665">
          <cell r="W12665">
            <v>0</v>
          </cell>
          <cell r="AB12665" t="str">
            <v>line item not tagged</v>
          </cell>
        </row>
        <row r="12666">
          <cell r="W12666">
            <v>0</v>
          </cell>
          <cell r="AB12666" t="str">
            <v>line item not tagged</v>
          </cell>
        </row>
        <row r="12667">
          <cell r="W12667">
            <v>0</v>
          </cell>
          <cell r="AB12667" t="str">
            <v>line item not tagged</v>
          </cell>
        </row>
        <row r="12668">
          <cell r="W12668">
            <v>0</v>
          </cell>
          <cell r="AB12668" t="str">
            <v>line item not tagged</v>
          </cell>
        </row>
        <row r="12669">
          <cell r="W12669">
            <v>0</v>
          </cell>
          <cell r="AB12669" t="str">
            <v>line item not tagged</v>
          </cell>
        </row>
        <row r="12670">
          <cell r="W12670">
            <v>0</v>
          </cell>
          <cell r="AB12670" t="str">
            <v>line item not tagged</v>
          </cell>
        </row>
        <row r="12671">
          <cell r="W12671">
            <v>0</v>
          </cell>
          <cell r="AB12671" t="str">
            <v>line item not tagged</v>
          </cell>
        </row>
        <row r="12672">
          <cell r="W12672">
            <v>0</v>
          </cell>
          <cell r="AB12672" t="str">
            <v>line item not tagged</v>
          </cell>
        </row>
        <row r="12673">
          <cell r="W12673">
            <v>0</v>
          </cell>
          <cell r="AB12673" t="str">
            <v>line item not tagged</v>
          </cell>
        </row>
        <row r="12674">
          <cell r="W12674">
            <v>0</v>
          </cell>
          <cell r="AB12674" t="str">
            <v>line item not tagged</v>
          </cell>
        </row>
        <row r="12675">
          <cell r="W12675">
            <v>0</v>
          </cell>
          <cell r="AB12675" t="str">
            <v>line item not tagged</v>
          </cell>
        </row>
        <row r="12676">
          <cell r="W12676">
            <v>0</v>
          </cell>
          <cell r="AB12676" t="str">
            <v>line item not tagged</v>
          </cell>
        </row>
        <row r="12677">
          <cell r="W12677">
            <v>0</v>
          </cell>
          <cell r="AB12677" t="str">
            <v>line item not tagged</v>
          </cell>
        </row>
        <row r="12678">
          <cell r="W12678">
            <v>0</v>
          </cell>
          <cell r="AB12678" t="str">
            <v>line item not tagged</v>
          </cell>
        </row>
        <row r="12679">
          <cell r="W12679">
            <v>0</v>
          </cell>
          <cell r="AB12679" t="str">
            <v>line item not tagged</v>
          </cell>
        </row>
        <row r="12680">
          <cell r="W12680">
            <v>0</v>
          </cell>
          <cell r="AB12680" t="str">
            <v>line item not tagged</v>
          </cell>
        </row>
        <row r="12681">
          <cell r="W12681">
            <v>0</v>
          </cell>
          <cell r="AB12681" t="str">
            <v>line item not tagged</v>
          </cell>
        </row>
        <row r="12682">
          <cell r="W12682">
            <v>0</v>
          </cell>
          <cell r="AB12682" t="str">
            <v>line item not tagged</v>
          </cell>
        </row>
        <row r="12683">
          <cell r="W12683">
            <v>0</v>
          </cell>
          <cell r="AB12683" t="str">
            <v>line item not tagged</v>
          </cell>
        </row>
        <row r="12684">
          <cell r="W12684">
            <v>0</v>
          </cell>
          <cell r="AB12684" t="str">
            <v>line item not tagged</v>
          </cell>
        </row>
        <row r="12685">
          <cell r="W12685">
            <v>0</v>
          </cell>
          <cell r="AB12685" t="str">
            <v>line item not tagged</v>
          </cell>
        </row>
        <row r="12686">
          <cell r="W12686">
            <v>0</v>
          </cell>
          <cell r="AB12686" t="str">
            <v>line item not tagged</v>
          </cell>
        </row>
        <row r="12687">
          <cell r="W12687">
            <v>0</v>
          </cell>
          <cell r="AB12687" t="str">
            <v>line item not tagged</v>
          </cell>
        </row>
        <row r="12688">
          <cell r="W12688">
            <v>0</v>
          </cell>
          <cell r="AB12688" t="str">
            <v>line item not tagged</v>
          </cell>
        </row>
        <row r="12689">
          <cell r="W12689">
            <v>0</v>
          </cell>
          <cell r="AB12689" t="str">
            <v>line item not tagged</v>
          </cell>
        </row>
        <row r="12690">
          <cell r="W12690">
            <v>0</v>
          </cell>
          <cell r="AB12690" t="str">
            <v>line item not tagged</v>
          </cell>
        </row>
        <row r="12691">
          <cell r="W12691">
            <v>0</v>
          </cell>
          <cell r="AB12691" t="str">
            <v>line item not tagged</v>
          </cell>
        </row>
        <row r="12692">
          <cell r="W12692">
            <v>0</v>
          </cell>
          <cell r="AB12692" t="str">
            <v>line item not tagged</v>
          </cell>
        </row>
        <row r="12693">
          <cell r="W12693">
            <v>0</v>
          </cell>
          <cell r="AB12693" t="str">
            <v>line item not tagged</v>
          </cell>
        </row>
        <row r="12694">
          <cell r="W12694">
            <v>0</v>
          </cell>
          <cell r="AB12694" t="str">
            <v>line item not tagged</v>
          </cell>
        </row>
        <row r="12695">
          <cell r="W12695">
            <v>0</v>
          </cell>
          <cell r="AB12695" t="str">
            <v>line item not tagged</v>
          </cell>
        </row>
        <row r="12696">
          <cell r="W12696">
            <v>0</v>
          </cell>
          <cell r="AB12696" t="str">
            <v>line item not tagged</v>
          </cell>
        </row>
        <row r="12697">
          <cell r="W12697">
            <v>0</v>
          </cell>
          <cell r="AB12697" t="str">
            <v>line item not tagged</v>
          </cell>
        </row>
        <row r="12698">
          <cell r="W12698">
            <v>0</v>
          </cell>
          <cell r="AB12698" t="str">
            <v>line item not tagged</v>
          </cell>
        </row>
        <row r="12699">
          <cell r="W12699">
            <v>0</v>
          </cell>
          <cell r="AB12699" t="str">
            <v>line item not tagged</v>
          </cell>
        </row>
        <row r="12700">
          <cell r="W12700">
            <v>0</v>
          </cell>
          <cell r="AB12700" t="str">
            <v>line item not tagged</v>
          </cell>
        </row>
        <row r="12701">
          <cell r="W12701">
            <v>0</v>
          </cell>
          <cell r="AB12701" t="str">
            <v>line item not tagged</v>
          </cell>
        </row>
        <row r="12702">
          <cell r="W12702">
            <v>0</v>
          </cell>
          <cell r="AB12702" t="str">
            <v>line item not tagged</v>
          </cell>
        </row>
        <row r="12703">
          <cell r="W12703">
            <v>0</v>
          </cell>
          <cell r="AB12703" t="str">
            <v>line item not tagged</v>
          </cell>
        </row>
        <row r="12704">
          <cell r="W12704">
            <v>0</v>
          </cell>
          <cell r="AB12704" t="str">
            <v>line item not tagged</v>
          </cell>
        </row>
        <row r="12705">
          <cell r="W12705">
            <v>0</v>
          </cell>
          <cell r="AB12705" t="str">
            <v>line item not tagged</v>
          </cell>
        </row>
        <row r="12706">
          <cell r="W12706">
            <v>0</v>
          </cell>
          <cell r="AB12706" t="str">
            <v>line item not tagged</v>
          </cell>
        </row>
        <row r="12707">
          <cell r="W12707">
            <v>0</v>
          </cell>
          <cell r="AB12707" t="str">
            <v>line item not tagged</v>
          </cell>
        </row>
        <row r="12708">
          <cell r="W12708">
            <v>0</v>
          </cell>
          <cell r="AB12708" t="str">
            <v>line item not tagged</v>
          </cell>
        </row>
        <row r="12709">
          <cell r="W12709">
            <v>0</v>
          </cell>
          <cell r="AB12709" t="str">
            <v>line item not tagged</v>
          </cell>
        </row>
        <row r="12710">
          <cell r="W12710">
            <v>0</v>
          </cell>
          <cell r="AB12710" t="str">
            <v>line item not tagged</v>
          </cell>
        </row>
        <row r="12711">
          <cell r="W12711">
            <v>0</v>
          </cell>
          <cell r="AB12711" t="str">
            <v>line item not tagged</v>
          </cell>
        </row>
        <row r="12712">
          <cell r="W12712">
            <v>0</v>
          </cell>
          <cell r="AB12712" t="str">
            <v>line item not tagged</v>
          </cell>
        </row>
        <row r="12713">
          <cell r="W12713">
            <v>0</v>
          </cell>
          <cell r="AB12713" t="str">
            <v>line item not tagged</v>
          </cell>
        </row>
        <row r="12714">
          <cell r="W12714">
            <v>0</v>
          </cell>
          <cell r="AB12714" t="str">
            <v>line item not tagged</v>
          </cell>
        </row>
        <row r="12715">
          <cell r="W12715">
            <v>0</v>
          </cell>
          <cell r="AB12715" t="str">
            <v>line item not tagged</v>
          </cell>
        </row>
        <row r="12716">
          <cell r="W12716">
            <v>0</v>
          </cell>
          <cell r="AB12716" t="str">
            <v>line item not tagged</v>
          </cell>
        </row>
        <row r="12717">
          <cell r="W12717">
            <v>0</v>
          </cell>
          <cell r="AB12717" t="str">
            <v>line item not tagged</v>
          </cell>
        </row>
        <row r="12718">
          <cell r="W12718">
            <v>0</v>
          </cell>
          <cell r="AB12718" t="str">
            <v>line item not tagged</v>
          </cell>
        </row>
        <row r="12719">
          <cell r="W12719">
            <v>0</v>
          </cell>
          <cell r="AB12719" t="str">
            <v>line item not tagged</v>
          </cell>
        </row>
        <row r="12720">
          <cell r="W12720">
            <v>0</v>
          </cell>
          <cell r="AB12720" t="str">
            <v>line item not tagged</v>
          </cell>
        </row>
        <row r="12721">
          <cell r="W12721">
            <v>0</v>
          </cell>
          <cell r="AB12721" t="str">
            <v>line item not tagged</v>
          </cell>
        </row>
        <row r="12722">
          <cell r="W12722">
            <v>0</v>
          </cell>
          <cell r="AB12722" t="str">
            <v>line item not tagged</v>
          </cell>
        </row>
        <row r="12723">
          <cell r="W12723">
            <v>0</v>
          </cell>
          <cell r="AB12723" t="str">
            <v>line item not tagged</v>
          </cell>
        </row>
        <row r="12724">
          <cell r="W12724">
            <v>0</v>
          </cell>
          <cell r="AB12724" t="str">
            <v>line item not tagged</v>
          </cell>
        </row>
        <row r="12725">
          <cell r="W12725">
            <v>0</v>
          </cell>
          <cell r="AB12725" t="str">
            <v>line item not tagged</v>
          </cell>
        </row>
        <row r="12726">
          <cell r="W12726">
            <v>0</v>
          </cell>
          <cell r="AB12726" t="str">
            <v>line item not tagged</v>
          </cell>
        </row>
        <row r="12727">
          <cell r="W12727">
            <v>0</v>
          </cell>
          <cell r="AB12727" t="str">
            <v>line item not tagged</v>
          </cell>
        </row>
        <row r="12728">
          <cell r="W12728">
            <v>0</v>
          </cell>
          <cell r="AB12728" t="str">
            <v>line item not tagged</v>
          </cell>
        </row>
        <row r="12729">
          <cell r="W12729">
            <v>0</v>
          </cell>
          <cell r="AB12729" t="str">
            <v>line item not tagged</v>
          </cell>
        </row>
        <row r="12730">
          <cell r="W12730">
            <v>0</v>
          </cell>
          <cell r="AB12730" t="str">
            <v>line item not tagged</v>
          </cell>
        </row>
        <row r="12731">
          <cell r="W12731">
            <v>0</v>
          </cell>
          <cell r="AB12731" t="str">
            <v>line item not tagged</v>
          </cell>
        </row>
        <row r="12732">
          <cell r="W12732">
            <v>0</v>
          </cell>
          <cell r="AB12732" t="str">
            <v>line item not tagged</v>
          </cell>
        </row>
        <row r="12733">
          <cell r="W12733">
            <v>0</v>
          </cell>
          <cell r="AB12733" t="str">
            <v>line item not tagged</v>
          </cell>
        </row>
        <row r="12734">
          <cell r="W12734">
            <v>0</v>
          </cell>
          <cell r="AB12734" t="str">
            <v>line item not tagged</v>
          </cell>
        </row>
        <row r="12735">
          <cell r="W12735">
            <v>0</v>
          </cell>
          <cell r="AB12735" t="str">
            <v>line item not tagged</v>
          </cell>
        </row>
        <row r="12736">
          <cell r="W12736">
            <v>0</v>
          </cell>
          <cell r="AB12736" t="str">
            <v>line item not tagged</v>
          </cell>
        </row>
        <row r="12737">
          <cell r="W12737">
            <v>0</v>
          </cell>
          <cell r="AB12737" t="str">
            <v>line item not tagged</v>
          </cell>
        </row>
        <row r="12738">
          <cell r="W12738">
            <v>0</v>
          </cell>
          <cell r="AB12738" t="str">
            <v>line item not tagged</v>
          </cell>
        </row>
        <row r="12739">
          <cell r="W12739">
            <v>0</v>
          </cell>
          <cell r="AB12739" t="str">
            <v>line item not tagged</v>
          </cell>
        </row>
        <row r="12740">
          <cell r="W12740">
            <v>0</v>
          </cell>
          <cell r="AB12740" t="str">
            <v>line item not tagged</v>
          </cell>
        </row>
        <row r="12741">
          <cell r="W12741">
            <v>0</v>
          </cell>
          <cell r="AB12741" t="str">
            <v>line item not tagged</v>
          </cell>
        </row>
        <row r="12742">
          <cell r="W12742">
            <v>0</v>
          </cell>
          <cell r="AB12742" t="str">
            <v>line item not tagged</v>
          </cell>
        </row>
        <row r="12743">
          <cell r="W12743">
            <v>0</v>
          </cell>
          <cell r="AB12743" t="str">
            <v>line item not tagged</v>
          </cell>
        </row>
        <row r="12744">
          <cell r="W12744">
            <v>0</v>
          </cell>
          <cell r="AB12744" t="str">
            <v>line item not tagged</v>
          </cell>
        </row>
        <row r="12745">
          <cell r="W12745">
            <v>0</v>
          </cell>
          <cell r="AB12745" t="str">
            <v>line item not tagged</v>
          </cell>
        </row>
        <row r="12746">
          <cell r="W12746">
            <v>0</v>
          </cell>
          <cell r="AB12746" t="str">
            <v>line item not tagged</v>
          </cell>
        </row>
        <row r="12747">
          <cell r="W12747">
            <v>0</v>
          </cell>
          <cell r="AB12747" t="str">
            <v>line item not tagged</v>
          </cell>
        </row>
        <row r="12748">
          <cell r="W12748">
            <v>0</v>
          </cell>
          <cell r="AB12748" t="str">
            <v>line item not tagged</v>
          </cell>
        </row>
        <row r="12749">
          <cell r="W12749">
            <v>0</v>
          </cell>
          <cell r="AB12749" t="str">
            <v>line item not tagged</v>
          </cell>
        </row>
        <row r="12750">
          <cell r="W12750">
            <v>0</v>
          </cell>
          <cell r="AB12750" t="str">
            <v>line item not tagged</v>
          </cell>
        </row>
        <row r="12751">
          <cell r="W12751">
            <v>0</v>
          </cell>
          <cell r="AB12751" t="str">
            <v>line item not tagged</v>
          </cell>
        </row>
        <row r="12752">
          <cell r="W12752">
            <v>0</v>
          </cell>
          <cell r="AB12752" t="str">
            <v>line item not tagged</v>
          </cell>
        </row>
        <row r="12753">
          <cell r="W12753">
            <v>0</v>
          </cell>
          <cell r="AB12753" t="str">
            <v>line item not tagged</v>
          </cell>
        </row>
        <row r="12754">
          <cell r="W12754">
            <v>0</v>
          </cell>
          <cell r="AB12754" t="str">
            <v>line item not tagged</v>
          </cell>
        </row>
        <row r="12755">
          <cell r="W12755">
            <v>0</v>
          </cell>
          <cell r="AB12755" t="str">
            <v>line item not tagged</v>
          </cell>
        </row>
        <row r="12756">
          <cell r="W12756">
            <v>0</v>
          </cell>
          <cell r="AB12756" t="str">
            <v>line item not tagged</v>
          </cell>
        </row>
        <row r="12757">
          <cell r="W12757">
            <v>0</v>
          </cell>
          <cell r="AB12757" t="str">
            <v>line item not tagged</v>
          </cell>
        </row>
        <row r="12758">
          <cell r="W12758">
            <v>0</v>
          </cell>
          <cell r="AB12758" t="str">
            <v>line item not tagged</v>
          </cell>
        </row>
        <row r="12759">
          <cell r="W12759">
            <v>0</v>
          </cell>
          <cell r="AB12759" t="str">
            <v>line item not tagged</v>
          </cell>
        </row>
        <row r="12760">
          <cell r="W12760">
            <v>0</v>
          </cell>
          <cell r="AB12760" t="str">
            <v>line item not tagged</v>
          </cell>
        </row>
        <row r="12761">
          <cell r="W12761">
            <v>0</v>
          </cell>
          <cell r="AB12761" t="str">
            <v>line item not tagged</v>
          </cell>
        </row>
        <row r="12762">
          <cell r="W12762">
            <v>0</v>
          </cell>
          <cell r="AB12762" t="str">
            <v>line item not tagged</v>
          </cell>
        </row>
        <row r="12763">
          <cell r="W12763">
            <v>0</v>
          </cell>
          <cell r="AB12763" t="str">
            <v>line item not tagged</v>
          </cell>
        </row>
        <row r="12764">
          <cell r="W12764">
            <v>0</v>
          </cell>
          <cell r="AB12764" t="str">
            <v>line item not tagged</v>
          </cell>
        </row>
        <row r="12765">
          <cell r="W12765">
            <v>0</v>
          </cell>
          <cell r="AB12765" t="str">
            <v>line item not tagged</v>
          </cell>
        </row>
        <row r="12766">
          <cell r="W12766">
            <v>0</v>
          </cell>
          <cell r="AB12766" t="str">
            <v>line item not tagged</v>
          </cell>
        </row>
        <row r="12767">
          <cell r="W12767">
            <v>0</v>
          </cell>
          <cell r="AB12767" t="str">
            <v>line item not tagged</v>
          </cell>
        </row>
        <row r="12768">
          <cell r="W12768">
            <v>0</v>
          </cell>
          <cell r="AB12768" t="str">
            <v>line item not tagged</v>
          </cell>
        </row>
        <row r="12769">
          <cell r="W12769">
            <v>0</v>
          </cell>
          <cell r="AB12769" t="str">
            <v>line item not tagged</v>
          </cell>
        </row>
        <row r="12770">
          <cell r="W12770">
            <v>0</v>
          </cell>
          <cell r="AB12770" t="str">
            <v>line item not tagged</v>
          </cell>
        </row>
        <row r="12771">
          <cell r="W12771">
            <v>0</v>
          </cell>
          <cell r="AB12771" t="str">
            <v>line item not tagged</v>
          </cell>
        </row>
        <row r="12772">
          <cell r="W12772">
            <v>0</v>
          </cell>
          <cell r="AB12772" t="str">
            <v>line item not tagged</v>
          </cell>
        </row>
        <row r="12773">
          <cell r="W12773">
            <v>0</v>
          </cell>
          <cell r="AB12773" t="str">
            <v>line item not tagged</v>
          </cell>
        </row>
        <row r="12774">
          <cell r="W12774">
            <v>0</v>
          </cell>
          <cell r="AB12774" t="str">
            <v>line item not tagged</v>
          </cell>
        </row>
        <row r="12775">
          <cell r="W12775">
            <v>0</v>
          </cell>
          <cell r="AB12775" t="str">
            <v>line item not tagged</v>
          </cell>
        </row>
        <row r="12776">
          <cell r="W12776">
            <v>0</v>
          </cell>
          <cell r="AB12776" t="str">
            <v>line item not tagged</v>
          </cell>
        </row>
        <row r="12777">
          <cell r="W12777">
            <v>0</v>
          </cell>
          <cell r="AB12777" t="str">
            <v>line item not tagged</v>
          </cell>
        </row>
        <row r="12778">
          <cell r="W12778">
            <v>0</v>
          </cell>
          <cell r="AB12778" t="str">
            <v>line item not tagged</v>
          </cell>
        </row>
        <row r="12779">
          <cell r="W12779">
            <v>0</v>
          </cell>
          <cell r="AB12779" t="str">
            <v>line item not tagged</v>
          </cell>
        </row>
        <row r="12780">
          <cell r="W12780">
            <v>0</v>
          </cell>
          <cell r="AB12780" t="str">
            <v>line item not tagged</v>
          </cell>
        </row>
        <row r="12781">
          <cell r="W12781">
            <v>0</v>
          </cell>
          <cell r="AB12781" t="str">
            <v>line item not tagged</v>
          </cell>
        </row>
        <row r="12782">
          <cell r="W12782">
            <v>0</v>
          </cell>
          <cell r="AB12782" t="str">
            <v>line item not tagged</v>
          </cell>
        </row>
        <row r="12783">
          <cell r="W12783">
            <v>0</v>
          </cell>
          <cell r="AB12783" t="str">
            <v>line item not tagged</v>
          </cell>
        </row>
        <row r="12784">
          <cell r="W12784">
            <v>0</v>
          </cell>
          <cell r="AB12784" t="str">
            <v>line item not tagged</v>
          </cell>
        </row>
        <row r="12785">
          <cell r="W12785">
            <v>0</v>
          </cell>
          <cell r="AB12785" t="str">
            <v>line item not tagged</v>
          </cell>
        </row>
        <row r="12786">
          <cell r="W12786">
            <v>0</v>
          </cell>
          <cell r="AB12786" t="str">
            <v>line item not tagged</v>
          </cell>
        </row>
        <row r="12787">
          <cell r="W12787">
            <v>0</v>
          </cell>
          <cell r="AB12787" t="str">
            <v>line item not tagged</v>
          </cell>
        </row>
        <row r="12788">
          <cell r="W12788">
            <v>0</v>
          </cell>
          <cell r="AB12788" t="str">
            <v>line item not tagged</v>
          </cell>
        </row>
        <row r="12789">
          <cell r="W12789">
            <v>0</v>
          </cell>
          <cell r="AB12789" t="str">
            <v>line item not tagged</v>
          </cell>
        </row>
        <row r="12790">
          <cell r="W12790">
            <v>0</v>
          </cell>
          <cell r="AB12790" t="str">
            <v>line item not tagged</v>
          </cell>
        </row>
        <row r="12791">
          <cell r="W12791">
            <v>0</v>
          </cell>
          <cell r="AB12791" t="str">
            <v>line item not tagged</v>
          </cell>
        </row>
        <row r="12792">
          <cell r="W12792">
            <v>0</v>
          </cell>
          <cell r="AB12792" t="str">
            <v>line item not tagged</v>
          </cell>
        </row>
        <row r="12793">
          <cell r="W12793">
            <v>0</v>
          </cell>
          <cell r="AB12793" t="str">
            <v>line item not tagged</v>
          </cell>
        </row>
        <row r="12794">
          <cell r="W12794">
            <v>0</v>
          </cell>
          <cell r="AB12794" t="str">
            <v>line item not tagged</v>
          </cell>
        </row>
        <row r="12795">
          <cell r="W12795">
            <v>0</v>
          </cell>
          <cell r="AB12795" t="str">
            <v>line item not tagged</v>
          </cell>
        </row>
        <row r="12796">
          <cell r="W12796">
            <v>0</v>
          </cell>
          <cell r="AB12796" t="str">
            <v>line item not tagged</v>
          </cell>
        </row>
        <row r="12797">
          <cell r="W12797">
            <v>0</v>
          </cell>
          <cell r="AB12797" t="str">
            <v>line item not tagged</v>
          </cell>
        </row>
        <row r="12798">
          <cell r="W12798">
            <v>0</v>
          </cell>
          <cell r="AB12798" t="str">
            <v>line item not tagged</v>
          </cell>
        </row>
        <row r="12799">
          <cell r="W12799">
            <v>0</v>
          </cell>
          <cell r="AB12799" t="str">
            <v>line item not tagged</v>
          </cell>
        </row>
        <row r="12800">
          <cell r="W12800">
            <v>0</v>
          </cell>
          <cell r="AB12800" t="str">
            <v>line item not tagged</v>
          </cell>
        </row>
        <row r="12801">
          <cell r="W12801">
            <v>0</v>
          </cell>
          <cell r="AB12801" t="str">
            <v>line item not tagged</v>
          </cell>
        </row>
        <row r="12802">
          <cell r="W12802">
            <v>0</v>
          </cell>
          <cell r="AB12802" t="str">
            <v>line item not tagged</v>
          </cell>
        </row>
        <row r="12803">
          <cell r="W12803">
            <v>0</v>
          </cell>
          <cell r="AB12803" t="str">
            <v>line item not tagged</v>
          </cell>
        </row>
        <row r="12804">
          <cell r="W12804">
            <v>0</v>
          </cell>
          <cell r="AB12804" t="str">
            <v>line item not tagged</v>
          </cell>
        </row>
        <row r="12805">
          <cell r="W12805">
            <v>0</v>
          </cell>
          <cell r="AB12805" t="str">
            <v>line item not tagged</v>
          </cell>
        </row>
        <row r="12806">
          <cell r="W12806">
            <v>0</v>
          </cell>
          <cell r="AB12806" t="str">
            <v>line item not tagged</v>
          </cell>
        </row>
        <row r="12807">
          <cell r="W12807">
            <v>0</v>
          </cell>
          <cell r="AB12807" t="str">
            <v>line item not tagged</v>
          </cell>
        </row>
        <row r="12808">
          <cell r="W12808">
            <v>0</v>
          </cell>
          <cell r="AB12808" t="str">
            <v>line item not tagged</v>
          </cell>
        </row>
        <row r="12809">
          <cell r="W12809">
            <v>0</v>
          </cell>
          <cell r="AB12809" t="str">
            <v>line item not tagged</v>
          </cell>
        </row>
        <row r="12810">
          <cell r="W12810">
            <v>0</v>
          </cell>
          <cell r="AB12810" t="str">
            <v>line item not tagged</v>
          </cell>
        </row>
        <row r="12811">
          <cell r="W12811">
            <v>0</v>
          </cell>
          <cell r="AB12811" t="str">
            <v>line item not tagged</v>
          </cell>
        </row>
        <row r="12812">
          <cell r="W12812">
            <v>0</v>
          </cell>
          <cell r="AB12812" t="str">
            <v>line item not tagged</v>
          </cell>
        </row>
        <row r="12813">
          <cell r="W12813">
            <v>0</v>
          </cell>
          <cell r="AB12813" t="str">
            <v>line item not tagged</v>
          </cell>
        </row>
        <row r="12814">
          <cell r="W12814">
            <v>0</v>
          </cell>
          <cell r="AB12814" t="str">
            <v>line item not tagged</v>
          </cell>
        </row>
        <row r="12815">
          <cell r="W12815">
            <v>0</v>
          </cell>
          <cell r="AB12815" t="str">
            <v>line item not tagged</v>
          </cell>
        </row>
        <row r="12816">
          <cell r="W12816">
            <v>0</v>
          </cell>
          <cell r="AB12816" t="str">
            <v>line item not tagged</v>
          </cell>
        </row>
        <row r="12817">
          <cell r="W12817">
            <v>0</v>
          </cell>
          <cell r="AB12817" t="str">
            <v>line item not tagged</v>
          </cell>
        </row>
        <row r="12818">
          <cell r="W12818">
            <v>0</v>
          </cell>
          <cell r="AB12818" t="str">
            <v>line item not tagged</v>
          </cell>
        </row>
        <row r="12819">
          <cell r="W12819">
            <v>0</v>
          </cell>
          <cell r="AB12819" t="str">
            <v>line item not tagged</v>
          </cell>
        </row>
        <row r="12820">
          <cell r="W12820">
            <v>0</v>
          </cell>
          <cell r="AB12820" t="str">
            <v>line item not tagged</v>
          </cell>
        </row>
        <row r="12821">
          <cell r="W12821">
            <v>0</v>
          </cell>
          <cell r="AB12821" t="str">
            <v>line item not tagged</v>
          </cell>
        </row>
        <row r="12822">
          <cell r="W12822">
            <v>0</v>
          </cell>
          <cell r="AB12822" t="str">
            <v>line item not tagged</v>
          </cell>
        </row>
        <row r="12823">
          <cell r="W12823">
            <v>0</v>
          </cell>
          <cell r="AB12823" t="str">
            <v>line item not tagged</v>
          </cell>
        </row>
        <row r="12824">
          <cell r="W12824">
            <v>0</v>
          </cell>
          <cell r="AB12824" t="str">
            <v>line item not tagged</v>
          </cell>
        </row>
        <row r="12825">
          <cell r="W12825">
            <v>0</v>
          </cell>
          <cell r="AB12825" t="str">
            <v>line item not tagged</v>
          </cell>
        </row>
        <row r="12826">
          <cell r="W12826">
            <v>0</v>
          </cell>
          <cell r="AB12826" t="str">
            <v>line item not tagged</v>
          </cell>
        </row>
        <row r="12827">
          <cell r="W12827">
            <v>0</v>
          </cell>
          <cell r="AB12827" t="str">
            <v>line item not tagged</v>
          </cell>
        </row>
        <row r="12828">
          <cell r="W12828">
            <v>0</v>
          </cell>
          <cell r="AB12828" t="str">
            <v>line item not tagged</v>
          </cell>
        </row>
        <row r="12829">
          <cell r="W12829">
            <v>0</v>
          </cell>
          <cell r="AB12829" t="str">
            <v>line item not tagged</v>
          </cell>
        </row>
        <row r="12830">
          <cell r="W12830">
            <v>0</v>
          </cell>
          <cell r="AB12830" t="str">
            <v>line item not tagged</v>
          </cell>
        </row>
        <row r="12831">
          <cell r="W12831">
            <v>0</v>
          </cell>
          <cell r="AB12831" t="str">
            <v>line item not tagged</v>
          </cell>
        </row>
        <row r="12832">
          <cell r="W12832">
            <v>0</v>
          </cell>
          <cell r="AB12832" t="str">
            <v>line item not tagged</v>
          </cell>
        </row>
        <row r="12833">
          <cell r="W12833">
            <v>0</v>
          </cell>
          <cell r="AB12833" t="str">
            <v>line item not tagged</v>
          </cell>
        </row>
        <row r="12834">
          <cell r="W12834">
            <v>0</v>
          </cell>
          <cell r="AB12834" t="str">
            <v>line item not tagged</v>
          </cell>
        </row>
        <row r="12835">
          <cell r="W12835">
            <v>0</v>
          </cell>
          <cell r="AB12835" t="str">
            <v>line item not tagged</v>
          </cell>
        </row>
        <row r="12836">
          <cell r="W12836">
            <v>0</v>
          </cell>
          <cell r="AB12836" t="str">
            <v>line item not tagged</v>
          </cell>
        </row>
        <row r="12837">
          <cell r="W12837">
            <v>0</v>
          </cell>
          <cell r="AB12837" t="str">
            <v>line item not tagged</v>
          </cell>
        </row>
        <row r="12838">
          <cell r="W12838">
            <v>0</v>
          </cell>
          <cell r="AB12838" t="str">
            <v>line item not tagged</v>
          </cell>
        </row>
        <row r="12839">
          <cell r="W12839">
            <v>0</v>
          </cell>
          <cell r="AB12839" t="str">
            <v>line item not tagged</v>
          </cell>
        </row>
        <row r="12840">
          <cell r="W12840">
            <v>0</v>
          </cell>
          <cell r="AB12840" t="str">
            <v>line item not tagged</v>
          </cell>
        </row>
        <row r="12841">
          <cell r="W12841">
            <v>0</v>
          </cell>
          <cell r="AB12841" t="str">
            <v>line item not tagged</v>
          </cell>
        </row>
        <row r="12842">
          <cell r="W12842">
            <v>0</v>
          </cell>
          <cell r="AB12842" t="str">
            <v>line item not tagged</v>
          </cell>
        </row>
        <row r="12843">
          <cell r="W12843">
            <v>0</v>
          </cell>
          <cell r="AB12843" t="str">
            <v>line item not tagged</v>
          </cell>
        </row>
        <row r="12844">
          <cell r="W12844">
            <v>0</v>
          </cell>
          <cell r="AB12844" t="str">
            <v>line item not tagged</v>
          </cell>
        </row>
        <row r="12845">
          <cell r="W12845">
            <v>0</v>
          </cell>
          <cell r="AB12845" t="str">
            <v>line item not tagged</v>
          </cell>
        </row>
        <row r="12846">
          <cell r="W12846">
            <v>0</v>
          </cell>
          <cell r="AB12846" t="str">
            <v>line item not tagged</v>
          </cell>
        </row>
        <row r="12847">
          <cell r="W12847">
            <v>0</v>
          </cell>
          <cell r="AB12847" t="str">
            <v>line item not tagged</v>
          </cell>
        </row>
        <row r="12848">
          <cell r="W12848">
            <v>0</v>
          </cell>
          <cell r="AB12848" t="str">
            <v>line item not tagged</v>
          </cell>
        </row>
        <row r="12849">
          <cell r="W12849">
            <v>0</v>
          </cell>
          <cell r="AB12849" t="str">
            <v>line item not tagged</v>
          </cell>
        </row>
        <row r="12850">
          <cell r="W12850">
            <v>0</v>
          </cell>
          <cell r="AB12850" t="str">
            <v>line item not tagged</v>
          </cell>
        </row>
        <row r="12851">
          <cell r="W12851">
            <v>0</v>
          </cell>
          <cell r="AB12851" t="str">
            <v>line item not tagged</v>
          </cell>
        </row>
        <row r="12852">
          <cell r="W12852">
            <v>0</v>
          </cell>
          <cell r="AB12852" t="str">
            <v>line item not tagged</v>
          </cell>
        </row>
        <row r="12853">
          <cell r="W12853">
            <v>0</v>
          </cell>
          <cell r="AB12853" t="str">
            <v>line item not tagged</v>
          </cell>
        </row>
        <row r="12854">
          <cell r="W12854">
            <v>0</v>
          </cell>
          <cell r="AB12854" t="str">
            <v>line item not tagged</v>
          </cell>
        </row>
        <row r="12855">
          <cell r="W12855">
            <v>0</v>
          </cell>
          <cell r="AB12855" t="str">
            <v>line item not tagged</v>
          </cell>
        </row>
        <row r="12856">
          <cell r="W12856">
            <v>0</v>
          </cell>
          <cell r="AB12856" t="str">
            <v>line item not tagged</v>
          </cell>
        </row>
        <row r="12857">
          <cell r="W12857">
            <v>0</v>
          </cell>
          <cell r="AB12857" t="str">
            <v>line item not tagged</v>
          </cell>
        </row>
        <row r="12858">
          <cell r="W12858">
            <v>0</v>
          </cell>
          <cell r="AB12858" t="str">
            <v>line item not tagged</v>
          </cell>
        </row>
        <row r="12859">
          <cell r="W12859">
            <v>0</v>
          </cell>
          <cell r="AB12859" t="str">
            <v>line item not tagged</v>
          </cell>
        </row>
        <row r="12860">
          <cell r="W12860">
            <v>0</v>
          </cell>
          <cell r="AB12860" t="str">
            <v>line item not tagged</v>
          </cell>
        </row>
        <row r="12861">
          <cell r="W12861">
            <v>0</v>
          </cell>
          <cell r="AB12861" t="str">
            <v>line item not tagged</v>
          </cell>
        </row>
        <row r="12862">
          <cell r="W12862">
            <v>0</v>
          </cell>
          <cell r="AB12862" t="str">
            <v>line item not tagged</v>
          </cell>
        </row>
        <row r="12863">
          <cell r="W12863">
            <v>0</v>
          </cell>
          <cell r="AB12863" t="str">
            <v>line item not tagged</v>
          </cell>
        </row>
        <row r="12864">
          <cell r="W12864">
            <v>0</v>
          </cell>
          <cell r="AB12864" t="str">
            <v>line item not tagged</v>
          </cell>
        </row>
        <row r="12865">
          <cell r="W12865">
            <v>0</v>
          </cell>
          <cell r="AB12865" t="str">
            <v>line item not tagged</v>
          </cell>
        </row>
        <row r="12866">
          <cell r="W12866">
            <v>0</v>
          </cell>
          <cell r="AB12866" t="str">
            <v>line item not tagged</v>
          </cell>
        </row>
        <row r="12867">
          <cell r="W12867">
            <v>0</v>
          </cell>
          <cell r="AB12867" t="str">
            <v>line item not tagged</v>
          </cell>
        </row>
        <row r="12868">
          <cell r="W12868">
            <v>0</v>
          </cell>
          <cell r="AB12868" t="str">
            <v>line item not tagged</v>
          </cell>
        </row>
        <row r="12869">
          <cell r="W12869">
            <v>0</v>
          </cell>
          <cell r="AB12869" t="str">
            <v>line item not tagged</v>
          </cell>
        </row>
        <row r="12870">
          <cell r="W12870">
            <v>0</v>
          </cell>
          <cell r="AB12870" t="str">
            <v>line item not tagged</v>
          </cell>
        </row>
        <row r="12871">
          <cell r="W12871">
            <v>0</v>
          </cell>
          <cell r="AB12871" t="str">
            <v>line item not tagged</v>
          </cell>
        </row>
        <row r="12872">
          <cell r="W12872">
            <v>0</v>
          </cell>
          <cell r="AB12872" t="str">
            <v>line item not tagged</v>
          </cell>
        </row>
        <row r="12873">
          <cell r="W12873">
            <v>0</v>
          </cell>
          <cell r="AB12873" t="str">
            <v>line item not tagged</v>
          </cell>
        </row>
        <row r="12874">
          <cell r="W12874">
            <v>0</v>
          </cell>
          <cell r="AB12874" t="str">
            <v>line item not tagged</v>
          </cell>
        </row>
        <row r="12875">
          <cell r="W12875">
            <v>0</v>
          </cell>
          <cell r="AB12875" t="str">
            <v>line item not tagged</v>
          </cell>
        </row>
        <row r="12876">
          <cell r="W12876">
            <v>0</v>
          </cell>
          <cell r="AB12876" t="str">
            <v>line item not tagged</v>
          </cell>
        </row>
        <row r="12877">
          <cell r="W12877">
            <v>0</v>
          </cell>
          <cell r="AB12877" t="str">
            <v>line item not tagged</v>
          </cell>
        </row>
        <row r="12878">
          <cell r="W12878">
            <v>0</v>
          </cell>
          <cell r="AB12878" t="str">
            <v>line item not tagged</v>
          </cell>
        </row>
        <row r="12879">
          <cell r="W12879">
            <v>0</v>
          </cell>
          <cell r="AB12879" t="str">
            <v>line item not tagged</v>
          </cell>
        </row>
        <row r="12880">
          <cell r="W12880">
            <v>0</v>
          </cell>
          <cell r="AB12880" t="str">
            <v>line item not tagged</v>
          </cell>
        </row>
        <row r="12881">
          <cell r="W12881">
            <v>0</v>
          </cell>
          <cell r="AB12881" t="str">
            <v>line item not tagged</v>
          </cell>
        </row>
        <row r="12882">
          <cell r="W12882">
            <v>0</v>
          </cell>
          <cell r="AB12882" t="str">
            <v>line item not tagged</v>
          </cell>
        </row>
        <row r="12883">
          <cell r="W12883">
            <v>0</v>
          </cell>
          <cell r="AB12883" t="str">
            <v>line item not tagged</v>
          </cell>
        </row>
        <row r="12884">
          <cell r="W12884">
            <v>0</v>
          </cell>
          <cell r="AB12884" t="str">
            <v>line item not tagged</v>
          </cell>
        </row>
        <row r="12885">
          <cell r="W12885">
            <v>0</v>
          </cell>
          <cell r="AB12885" t="str">
            <v>line item not tagged</v>
          </cell>
        </row>
        <row r="12886">
          <cell r="W12886">
            <v>0</v>
          </cell>
          <cell r="AB12886" t="str">
            <v>line item not tagged</v>
          </cell>
        </row>
        <row r="12887">
          <cell r="W12887">
            <v>0</v>
          </cell>
          <cell r="AB12887" t="str">
            <v>line item not tagged</v>
          </cell>
        </row>
        <row r="12888">
          <cell r="W12888">
            <v>0</v>
          </cell>
          <cell r="AB12888" t="str">
            <v>line item not tagged</v>
          </cell>
        </row>
        <row r="12889">
          <cell r="W12889">
            <v>0</v>
          </cell>
          <cell r="AB12889" t="str">
            <v>line item not tagged</v>
          </cell>
        </row>
        <row r="12890">
          <cell r="W12890">
            <v>0</v>
          </cell>
          <cell r="AB12890" t="str">
            <v>line item not tagged</v>
          </cell>
        </row>
        <row r="12891">
          <cell r="W12891">
            <v>0</v>
          </cell>
          <cell r="AB12891" t="str">
            <v>line item not tagged</v>
          </cell>
        </row>
        <row r="12892">
          <cell r="W12892">
            <v>0</v>
          </cell>
          <cell r="AB12892" t="str">
            <v>line item not tagged</v>
          </cell>
        </row>
        <row r="12893">
          <cell r="W12893">
            <v>0</v>
          </cell>
          <cell r="AB12893" t="str">
            <v>line item not tagged</v>
          </cell>
        </row>
        <row r="12894">
          <cell r="W12894">
            <v>0</v>
          </cell>
          <cell r="AB12894" t="str">
            <v>line item not tagged</v>
          </cell>
        </row>
        <row r="12895">
          <cell r="W12895">
            <v>0</v>
          </cell>
          <cell r="AB12895" t="str">
            <v>line item not tagged</v>
          </cell>
        </row>
        <row r="12896">
          <cell r="W12896">
            <v>0</v>
          </cell>
          <cell r="AB12896" t="str">
            <v>line item not tagged</v>
          </cell>
        </row>
        <row r="12897">
          <cell r="W12897">
            <v>0</v>
          </cell>
          <cell r="AB12897" t="str">
            <v>line item not tagged</v>
          </cell>
        </row>
        <row r="12898">
          <cell r="W12898">
            <v>0</v>
          </cell>
          <cell r="AB12898" t="str">
            <v>line item not tagged</v>
          </cell>
        </row>
        <row r="12899">
          <cell r="W12899">
            <v>0</v>
          </cell>
          <cell r="AB12899" t="str">
            <v>line item not tagged</v>
          </cell>
        </row>
        <row r="12900">
          <cell r="W12900">
            <v>0</v>
          </cell>
          <cell r="AB12900" t="str">
            <v>line item not tagged</v>
          </cell>
        </row>
        <row r="12901">
          <cell r="W12901">
            <v>0</v>
          </cell>
          <cell r="AB12901" t="str">
            <v>line item not tagged</v>
          </cell>
        </row>
        <row r="12902">
          <cell r="W12902">
            <v>0</v>
          </cell>
          <cell r="AB12902" t="str">
            <v>line item not tagged</v>
          </cell>
        </row>
        <row r="12903">
          <cell r="W12903">
            <v>0</v>
          </cell>
          <cell r="AB12903" t="str">
            <v>line item not tagged</v>
          </cell>
        </row>
        <row r="12904">
          <cell r="W12904">
            <v>0</v>
          </cell>
          <cell r="AB12904" t="str">
            <v>line item not tagged</v>
          </cell>
        </row>
        <row r="12905">
          <cell r="W12905">
            <v>0</v>
          </cell>
          <cell r="AB12905" t="str">
            <v>line item not tagged</v>
          </cell>
        </row>
        <row r="12906">
          <cell r="W12906">
            <v>0</v>
          </cell>
          <cell r="AB12906" t="str">
            <v>line item not tagged</v>
          </cell>
        </row>
        <row r="12907">
          <cell r="W12907">
            <v>0</v>
          </cell>
          <cell r="AB12907" t="str">
            <v>line item not tagged</v>
          </cell>
        </row>
        <row r="12908">
          <cell r="W12908">
            <v>0</v>
          </cell>
          <cell r="AB12908" t="str">
            <v>line item not tagged</v>
          </cell>
        </row>
        <row r="12909">
          <cell r="W12909">
            <v>0</v>
          </cell>
          <cell r="AB12909" t="str">
            <v>line item not tagged</v>
          </cell>
        </row>
        <row r="12910">
          <cell r="W12910">
            <v>0</v>
          </cell>
          <cell r="AB12910" t="str">
            <v>line item not tagged</v>
          </cell>
        </row>
        <row r="12911">
          <cell r="W12911">
            <v>0</v>
          </cell>
          <cell r="AB12911" t="str">
            <v>line item not tagged</v>
          </cell>
        </row>
        <row r="12912">
          <cell r="W12912">
            <v>0</v>
          </cell>
          <cell r="AB12912" t="str">
            <v>line item not tagged</v>
          </cell>
        </row>
        <row r="12913">
          <cell r="W12913">
            <v>0</v>
          </cell>
          <cell r="AB12913" t="str">
            <v>line item not tagged</v>
          </cell>
        </row>
        <row r="12914">
          <cell r="W12914">
            <v>0</v>
          </cell>
          <cell r="AB12914" t="str">
            <v>line item not tagged</v>
          </cell>
        </row>
        <row r="12915">
          <cell r="W12915">
            <v>0</v>
          </cell>
          <cell r="AB12915" t="str">
            <v>line item not tagged</v>
          </cell>
        </row>
        <row r="12916">
          <cell r="W12916">
            <v>0</v>
          </cell>
          <cell r="AB12916" t="str">
            <v>line item not tagged</v>
          </cell>
        </row>
        <row r="12917">
          <cell r="W12917">
            <v>0</v>
          </cell>
          <cell r="AB12917" t="str">
            <v>line item not tagged</v>
          </cell>
        </row>
        <row r="12918">
          <cell r="W12918">
            <v>0</v>
          </cell>
          <cell r="AB12918" t="str">
            <v>line item not tagged</v>
          </cell>
        </row>
        <row r="12919">
          <cell r="W12919">
            <v>0</v>
          </cell>
          <cell r="AB12919" t="str">
            <v>line item not tagged</v>
          </cell>
        </row>
        <row r="12920">
          <cell r="W12920">
            <v>0</v>
          </cell>
          <cell r="AB12920" t="str">
            <v>line item not tagged</v>
          </cell>
        </row>
        <row r="12921">
          <cell r="W12921">
            <v>0</v>
          </cell>
          <cell r="AB12921" t="str">
            <v>line item not tagged</v>
          </cell>
        </row>
        <row r="12922">
          <cell r="W12922">
            <v>0</v>
          </cell>
          <cell r="AB12922" t="str">
            <v>line item not tagged</v>
          </cell>
        </row>
        <row r="12923">
          <cell r="W12923">
            <v>0</v>
          </cell>
          <cell r="AB12923" t="str">
            <v>line item not tagged</v>
          </cell>
        </row>
        <row r="12924">
          <cell r="W12924">
            <v>0</v>
          </cell>
          <cell r="AB12924" t="str">
            <v>line item not tagged</v>
          </cell>
        </row>
        <row r="12925">
          <cell r="W12925">
            <v>0</v>
          </cell>
          <cell r="AB12925" t="str">
            <v>line item not tagged</v>
          </cell>
        </row>
        <row r="12926">
          <cell r="W12926">
            <v>0</v>
          </cell>
          <cell r="AB12926" t="str">
            <v>line item not tagged</v>
          </cell>
        </row>
        <row r="12927">
          <cell r="W12927">
            <v>0</v>
          </cell>
          <cell r="AB12927" t="str">
            <v>line item not tagged</v>
          </cell>
        </row>
        <row r="12928">
          <cell r="W12928">
            <v>0</v>
          </cell>
          <cell r="AB12928" t="str">
            <v>line item not tagged</v>
          </cell>
        </row>
        <row r="12929">
          <cell r="W12929">
            <v>0</v>
          </cell>
          <cell r="AB12929" t="str">
            <v>line item not tagged</v>
          </cell>
        </row>
        <row r="12930">
          <cell r="W12930">
            <v>0</v>
          </cell>
          <cell r="AB12930" t="str">
            <v>line item not tagged</v>
          </cell>
        </row>
        <row r="12931">
          <cell r="W12931">
            <v>0</v>
          </cell>
          <cell r="AB12931" t="str">
            <v>line item not tagged</v>
          </cell>
        </row>
        <row r="12932">
          <cell r="W12932">
            <v>0</v>
          </cell>
          <cell r="AB12932" t="str">
            <v>line item not tagged</v>
          </cell>
        </row>
        <row r="12933">
          <cell r="W12933">
            <v>0</v>
          </cell>
          <cell r="AB12933" t="str">
            <v>line item not tagged</v>
          </cell>
        </row>
        <row r="12934">
          <cell r="W12934">
            <v>0</v>
          </cell>
          <cell r="AB12934" t="str">
            <v>line item not tagged</v>
          </cell>
        </row>
        <row r="12935">
          <cell r="W12935">
            <v>0</v>
          </cell>
          <cell r="AB12935" t="str">
            <v>line item not tagged</v>
          </cell>
        </row>
        <row r="12936">
          <cell r="W12936">
            <v>0</v>
          </cell>
          <cell r="AB12936" t="str">
            <v>line item not tagged</v>
          </cell>
        </row>
        <row r="12937">
          <cell r="W12937">
            <v>0</v>
          </cell>
          <cell r="AB12937" t="str">
            <v>line item not tagged</v>
          </cell>
        </row>
        <row r="12938">
          <cell r="W12938">
            <v>0</v>
          </cell>
          <cell r="AB12938" t="str">
            <v>line item not tagged</v>
          </cell>
        </row>
        <row r="12939">
          <cell r="W12939">
            <v>0</v>
          </cell>
          <cell r="AB12939" t="str">
            <v>line item not tagged</v>
          </cell>
        </row>
        <row r="12940">
          <cell r="W12940">
            <v>0</v>
          </cell>
          <cell r="AB12940" t="str">
            <v>line item not tagged</v>
          </cell>
        </row>
        <row r="12941">
          <cell r="W12941">
            <v>0</v>
          </cell>
          <cell r="AB12941" t="str">
            <v>line item not tagged</v>
          </cell>
        </row>
        <row r="12942">
          <cell r="W12942">
            <v>0</v>
          </cell>
          <cell r="AB12942" t="str">
            <v>line item not tagged</v>
          </cell>
        </row>
        <row r="12943">
          <cell r="W12943">
            <v>0</v>
          </cell>
          <cell r="AB12943" t="str">
            <v>line item not tagged</v>
          </cell>
        </row>
        <row r="12944">
          <cell r="W12944">
            <v>0</v>
          </cell>
          <cell r="AB12944" t="str">
            <v>line item not tagged</v>
          </cell>
        </row>
        <row r="12945">
          <cell r="W12945">
            <v>0</v>
          </cell>
          <cell r="AB12945" t="str">
            <v>line item not tagged</v>
          </cell>
        </row>
        <row r="12946">
          <cell r="W12946">
            <v>0</v>
          </cell>
          <cell r="AB12946" t="str">
            <v>line item not tagged</v>
          </cell>
        </row>
        <row r="12947">
          <cell r="W12947">
            <v>0</v>
          </cell>
          <cell r="AB12947" t="str">
            <v>line item not tagged</v>
          </cell>
        </row>
        <row r="12948">
          <cell r="W12948">
            <v>0</v>
          </cell>
          <cell r="AB12948" t="str">
            <v>line item not tagged</v>
          </cell>
        </row>
        <row r="12949">
          <cell r="W12949">
            <v>0</v>
          </cell>
          <cell r="AB12949" t="str">
            <v>line item not tagged</v>
          </cell>
        </row>
        <row r="12950">
          <cell r="W12950">
            <v>0</v>
          </cell>
          <cell r="AB12950" t="str">
            <v>line item not tagged</v>
          </cell>
        </row>
        <row r="12951">
          <cell r="W12951">
            <v>0</v>
          </cell>
          <cell r="AB12951" t="str">
            <v>line item not tagged</v>
          </cell>
        </row>
        <row r="12952">
          <cell r="W12952">
            <v>0</v>
          </cell>
          <cell r="AB12952" t="str">
            <v>line item not tagged</v>
          </cell>
        </row>
        <row r="12953">
          <cell r="W12953">
            <v>0</v>
          </cell>
          <cell r="AB12953" t="str">
            <v>line item not tagged</v>
          </cell>
        </row>
        <row r="12954">
          <cell r="W12954">
            <v>0</v>
          </cell>
          <cell r="AB12954" t="str">
            <v>line item not tagged</v>
          </cell>
        </row>
        <row r="12955">
          <cell r="W12955">
            <v>0</v>
          </cell>
          <cell r="AB12955" t="str">
            <v>line item not tagged</v>
          </cell>
        </row>
        <row r="12956">
          <cell r="W12956">
            <v>0</v>
          </cell>
          <cell r="AB12956" t="str">
            <v>line item not tagged</v>
          </cell>
        </row>
        <row r="12957">
          <cell r="W12957">
            <v>0</v>
          </cell>
          <cell r="AB12957" t="str">
            <v>line item not tagged</v>
          </cell>
        </row>
        <row r="12958">
          <cell r="W12958">
            <v>0</v>
          </cell>
          <cell r="AB12958" t="str">
            <v>line item not tagged</v>
          </cell>
        </row>
        <row r="12959">
          <cell r="W12959">
            <v>0</v>
          </cell>
          <cell r="AB12959" t="str">
            <v>line item not tagged</v>
          </cell>
        </row>
        <row r="12960">
          <cell r="W12960">
            <v>0</v>
          </cell>
          <cell r="AB12960" t="str">
            <v>line item not tagged</v>
          </cell>
        </row>
        <row r="12961">
          <cell r="W12961">
            <v>0</v>
          </cell>
          <cell r="AB12961" t="str">
            <v>line item not tagged</v>
          </cell>
        </row>
        <row r="12962">
          <cell r="W12962">
            <v>0</v>
          </cell>
          <cell r="AB12962" t="str">
            <v>line item not tagged</v>
          </cell>
        </row>
        <row r="12963">
          <cell r="W12963">
            <v>0</v>
          </cell>
          <cell r="AB12963" t="str">
            <v>line item not tagged</v>
          </cell>
        </row>
        <row r="12964">
          <cell r="W12964">
            <v>0</v>
          </cell>
          <cell r="AB12964" t="str">
            <v>line item not tagged</v>
          </cell>
        </row>
        <row r="12965">
          <cell r="W12965">
            <v>0</v>
          </cell>
          <cell r="AB12965" t="str">
            <v>line item not tagged</v>
          </cell>
        </row>
        <row r="12966">
          <cell r="W12966">
            <v>0</v>
          </cell>
          <cell r="AB12966" t="str">
            <v>line item not tagged</v>
          </cell>
        </row>
        <row r="12967">
          <cell r="W12967">
            <v>0</v>
          </cell>
          <cell r="AB12967" t="str">
            <v>line item not tagged</v>
          </cell>
        </row>
        <row r="12968">
          <cell r="W12968">
            <v>0</v>
          </cell>
          <cell r="AB12968" t="str">
            <v>line item not tagged</v>
          </cell>
        </row>
        <row r="12969">
          <cell r="W12969">
            <v>0</v>
          </cell>
          <cell r="AB12969" t="str">
            <v>line item not tagged</v>
          </cell>
        </row>
        <row r="12970">
          <cell r="W12970">
            <v>0</v>
          </cell>
          <cell r="AB12970" t="str">
            <v>line item not tagged</v>
          </cell>
        </row>
        <row r="12971">
          <cell r="W12971">
            <v>0</v>
          </cell>
          <cell r="AB12971" t="str">
            <v>line item not tagged</v>
          </cell>
        </row>
        <row r="12972">
          <cell r="W12972">
            <v>0</v>
          </cell>
          <cell r="AB12972" t="str">
            <v>line item not tagged</v>
          </cell>
        </row>
        <row r="12973">
          <cell r="W12973">
            <v>0</v>
          </cell>
          <cell r="AB12973" t="str">
            <v>line item not tagged</v>
          </cell>
        </row>
        <row r="12974">
          <cell r="W12974">
            <v>0</v>
          </cell>
          <cell r="AB12974" t="str">
            <v>line item not tagged</v>
          </cell>
        </row>
        <row r="12975">
          <cell r="W12975">
            <v>0</v>
          </cell>
          <cell r="AB12975" t="str">
            <v>line item not tagged</v>
          </cell>
        </row>
        <row r="12976">
          <cell r="W12976">
            <v>0</v>
          </cell>
          <cell r="AB12976" t="str">
            <v>line item not tagged</v>
          </cell>
        </row>
        <row r="12977">
          <cell r="W12977">
            <v>0</v>
          </cell>
          <cell r="AB12977" t="str">
            <v>line item not tagged</v>
          </cell>
        </row>
        <row r="12978">
          <cell r="W12978">
            <v>0</v>
          </cell>
          <cell r="AB12978" t="str">
            <v>line item not tagged</v>
          </cell>
        </row>
        <row r="12979">
          <cell r="W12979">
            <v>0</v>
          </cell>
          <cell r="AB12979" t="str">
            <v>line item not tagged</v>
          </cell>
        </row>
        <row r="12980">
          <cell r="W12980">
            <v>0</v>
          </cell>
          <cell r="AB12980" t="str">
            <v>line item not tagged</v>
          </cell>
        </row>
        <row r="12981">
          <cell r="W12981">
            <v>0</v>
          </cell>
          <cell r="AB12981" t="str">
            <v>line item not tagged</v>
          </cell>
        </row>
        <row r="12982">
          <cell r="W12982">
            <v>0</v>
          </cell>
          <cell r="AB12982" t="str">
            <v>line item not tagged</v>
          </cell>
        </row>
        <row r="12983">
          <cell r="W12983">
            <v>0</v>
          </cell>
          <cell r="AB12983" t="str">
            <v>line item not tagged</v>
          </cell>
        </row>
        <row r="12984">
          <cell r="W12984">
            <v>0</v>
          </cell>
          <cell r="AB12984" t="str">
            <v>line item not tagged</v>
          </cell>
        </row>
        <row r="12985">
          <cell r="W12985">
            <v>0</v>
          </cell>
          <cell r="AB12985" t="str">
            <v>line item not tagged</v>
          </cell>
        </row>
        <row r="12986">
          <cell r="W12986">
            <v>0</v>
          </cell>
          <cell r="AB12986" t="str">
            <v>line item not tagged</v>
          </cell>
        </row>
        <row r="12987">
          <cell r="W12987">
            <v>0</v>
          </cell>
          <cell r="AB12987" t="str">
            <v>line item not tagged</v>
          </cell>
        </row>
        <row r="12988">
          <cell r="W12988">
            <v>0</v>
          </cell>
          <cell r="AB12988" t="str">
            <v>line item not tagged</v>
          </cell>
        </row>
        <row r="12989">
          <cell r="W12989">
            <v>0</v>
          </cell>
          <cell r="AB12989" t="str">
            <v>line item not tagged</v>
          </cell>
        </row>
        <row r="12990">
          <cell r="W12990">
            <v>0</v>
          </cell>
          <cell r="AB12990" t="str">
            <v>line item not tagged</v>
          </cell>
        </row>
        <row r="12991">
          <cell r="W12991">
            <v>0</v>
          </cell>
          <cell r="AB12991" t="str">
            <v>line item not tagged</v>
          </cell>
        </row>
        <row r="12992">
          <cell r="W12992">
            <v>0</v>
          </cell>
          <cell r="AB12992" t="str">
            <v>line item not tagged</v>
          </cell>
        </row>
        <row r="12993">
          <cell r="W12993">
            <v>0</v>
          </cell>
          <cell r="AB12993" t="str">
            <v>line item not tagged</v>
          </cell>
        </row>
        <row r="12994">
          <cell r="W12994">
            <v>0</v>
          </cell>
          <cell r="AB12994" t="str">
            <v>line item not tagged</v>
          </cell>
        </row>
        <row r="12995">
          <cell r="W12995">
            <v>0</v>
          </cell>
          <cell r="AB12995" t="str">
            <v>line item not tagged</v>
          </cell>
        </row>
        <row r="12996">
          <cell r="W12996">
            <v>0</v>
          </cell>
          <cell r="AB12996" t="str">
            <v>line item not tagged</v>
          </cell>
        </row>
        <row r="12997">
          <cell r="W12997">
            <v>0</v>
          </cell>
          <cell r="AB12997" t="str">
            <v>line item not tagged</v>
          </cell>
        </row>
        <row r="12998">
          <cell r="W12998">
            <v>0</v>
          </cell>
          <cell r="AB12998" t="str">
            <v>line item not tagged</v>
          </cell>
        </row>
        <row r="12999">
          <cell r="W12999">
            <v>0</v>
          </cell>
          <cell r="AB12999" t="str">
            <v>line item not tagged</v>
          </cell>
        </row>
        <row r="13000">
          <cell r="W13000">
            <v>0</v>
          </cell>
          <cell r="AB13000" t="str">
            <v>line item not tagged</v>
          </cell>
        </row>
        <row r="13001">
          <cell r="W13001">
            <v>0</v>
          </cell>
          <cell r="AB13001" t="str">
            <v>line item not tagged</v>
          </cell>
        </row>
        <row r="13002">
          <cell r="W13002">
            <v>0</v>
          </cell>
          <cell r="AB13002" t="str">
            <v>line item not tagged</v>
          </cell>
        </row>
        <row r="13003">
          <cell r="W13003">
            <v>0</v>
          </cell>
          <cell r="AB13003" t="str">
            <v>line item not tagged</v>
          </cell>
        </row>
        <row r="13004">
          <cell r="W13004">
            <v>0</v>
          </cell>
          <cell r="AB13004" t="str">
            <v>line item not tagged</v>
          </cell>
        </row>
        <row r="13005">
          <cell r="W13005">
            <v>0</v>
          </cell>
          <cell r="AB13005" t="str">
            <v>line item not tagged</v>
          </cell>
        </row>
        <row r="13006">
          <cell r="W13006">
            <v>0</v>
          </cell>
          <cell r="AB13006" t="str">
            <v>line item not tagged</v>
          </cell>
        </row>
        <row r="13007">
          <cell r="W13007">
            <v>0</v>
          </cell>
          <cell r="AB13007" t="str">
            <v>line item not tagged</v>
          </cell>
        </row>
        <row r="13008">
          <cell r="W13008">
            <v>0</v>
          </cell>
          <cell r="AB13008" t="str">
            <v>line item not tagged</v>
          </cell>
        </row>
        <row r="13009">
          <cell r="W13009">
            <v>0</v>
          </cell>
          <cell r="AB13009" t="str">
            <v>line item not tagged</v>
          </cell>
        </row>
        <row r="13010">
          <cell r="W13010">
            <v>0</v>
          </cell>
          <cell r="AB13010" t="str">
            <v>line item not tagged</v>
          </cell>
        </row>
        <row r="13011">
          <cell r="W13011">
            <v>0</v>
          </cell>
          <cell r="AB13011" t="str">
            <v>line item not tagged</v>
          </cell>
        </row>
        <row r="13012">
          <cell r="W13012">
            <v>0</v>
          </cell>
          <cell r="AB13012" t="str">
            <v>line item not tagged</v>
          </cell>
        </row>
        <row r="13013">
          <cell r="W13013">
            <v>0</v>
          </cell>
          <cell r="AB13013" t="str">
            <v>line item not tagged</v>
          </cell>
        </row>
        <row r="13014">
          <cell r="W13014">
            <v>0</v>
          </cell>
          <cell r="AB13014" t="str">
            <v>line item not tagged</v>
          </cell>
        </row>
        <row r="13015">
          <cell r="W13015">
            <v>0</v>
          </cell>
          <cell r="AB13015" t="str">
            <v>line item not tagged</v>
          </cell>
        </row>
        <row r="13016">
          <cell r="W13016">
            <v>0</v>
          </cell>
          <cell r="AB13016" t="str">
            <v>line item not tagged</v>
          </cell>
        </row>
        <row r="13017">
          <cell r="W13017">
            <v>0</v>
          </cell>
          <cell r="AB13017" t="str">
            <v>line item not tagged</v>
          </cell>
        </row>
        <row r="13018">
          <cell r="W13018">
            <v>0</v>
          </cell>
          <cell r="AB13018" t="str">
            <v>line item not tagged</v>
          </cell>
        </row>
        <row r="13019">
          <cell r="W13019">
            <v>0</v>
          </cell>
          <cell r="AB13019" t="str">
            <v>line item not tagged</v>
          </cell>
        </row>
        <row r="13020">
          <cell r="W13020">
            <v>0</v>
          </cell>
          <cell r="AB13020" t="str">
            <v>line item not tagged</v>
          </cell>
        </row>
        <row r="13021">
          <cell r="W13021">
            <v>0</v>
          </cell>
          <cell r="AB13021" t="str">
            <v>line item not tagged</v>
          </cell>
        </row>
        <row r="13022">
          <cell r="W13022">
            <v>0</v>
          </cell>
          <cell r="AB13022" t="str">
            <v>line item not tagged</v>
          </cell>
        </row>
        <row r="13023">
          <cell r="W13023">
            <v>0</v>
          </cell>
          <cell r="AB13023" t="str">
            <v>line item not tagged</v>
          </cell>
        </row>
        <row r="13024">
          <cell r="W13024">
            <v>0</v>
          </cell>
          <cell r="AB13024" t="str">
            <v>line item not tagged</v>
          </cell>
        </row>
        <row r="13025">
          <cell r="W13025">
            <v>0</v>
          </cell>
          <cell r="AB13025" t="str">
            <v>line item not tagged</v>
          </cell>
        </row>
        <row r="13026">
          <cell r="W13026">
            <v>0</v>
          </cell>
          <cell r="AB13026" t="str">
            <v>line item not tagged</v>
          </cell>
        </row>
        <row r="13027">
          <cell r="W13027">
            <v>0</v>
          </cell>
          <cell r="AB13027" t="str">
            <v>line item not tagged</v>
          </cell>
        </row>
        <row r="13028">
          <cell r="W13028">
            <v>0</v>
          </cell>
          <cell r="AB13028" t="str">
            <v>line item not tagged</v>
          </cell>
        </row>
        <row r="13029">
          <cell r="W13029">
            <v>0</v>
          </cell>
          <cell r="AB13029" t="str">
            <v>line item not tagged</v>
          </cell>
        </row>
        <row r="13030">
          <cell r="W13030">
            <v>0</v>
          </cell>
          <cell r="AB13030" t="str">
            <v>line item not tagged</v>
          </cell>
        </row>
        <row r="13031">
          <cell r="W13031">
            <v>0</v>
          </cell>
          <cell r="AB13031" t="str">
            <v>line item not tagged</v>
          </cell>
        </row>
        <row r="13032">
          <cell r="W13032">
            <v>0</v>
          </cell>
          <cell r="AB13032" t="str">
            <v>line item not tagged</v>
          </cell>
        </row>
        <row r="13033">
          <cell r="W13033">
            <v>0</v>
          </cell>
          <cell r="AB13033" t="str">
            <v>line item not tagged</v>
          </cell>
        </row>
        <row r="13034">
          <cell r="W13034">
            <v>0</v>
          </cell>
          <cell r="AB13034" t="str">
            <v>line item not tagged</v>
          </cell>
        </row>
        <row r="13035">
          <cell r="W13035">
            <v>0</v>
          </cell>
          <cell r="AB13035" t="str">
            <v>line item not tagged</v>
          </cell>
        </row>
        <row r="13036">
          <cell r="W13036">
            <v>0</v>
          </cell>
          <cell r="AB13036" t="str">
            <v>line item not tagged</v>
          </cell>
        </row>
        <row r="13037">
          <cell r="W13037">
            <v>0</v>
          </cell>
          <cell r="AB13037" t="str">
            <v>line item not tagged</v>
          </cell>
        </row>
        <row r="13038">
          <cell r="W13038">
            <v>0</v>
          </cell>
          <cell r="AB13038" t="str">
            <v>line item not tagged</v>
          </cell>
        </row>
        <row r="13039">
          <cell r="W13039">
            <v>0</v>
          </cell>
          <cell r="AB13039" t="str">
            <v>line item not tagged</v>
          </cell>
        </row>
        <row r="13040">
          <cell r="W13040">
            <v>0</v>
          </cell>
          <cell r="AB13040" t="str">
            <v>line item not tagged</v>
          </cell>
        </row>
        <row r="13041">
          <cell r="W13041">
            <v>0</v>
          </cell>
          <cell r="AB13041" t="str">
            <v>line item not tagged</v>
          </cell>
        </row>
        <row r="13042">
          <cell r="W13042">
            <v>0</v>
          </cell>
          <cell r="AB13042" t="str">
            <v>line item not tagged</v>
          </cell>
        </row>
        <row r="13043">
          <cell r="W13043">
            <v>0</v>
          </cell>
          <cell r="AB13043" t="str">
            <v>line item not tagged</v>
          </cell>
        </row>
        <row r="13044">
          <cell r="W13044">
            <v>0</v>
          </cell>
          <cell r="AB13044" t="str">
            <v>line item not tagged</v>
          </cell>
        </row>
        <row r="13045">
          <cell r="W13045">
            <v>0</v>
          </cell>
          <cell r="AB13045" t="str">
            <v>line item not tagged</v>
          </cell>
        </row>
        <row r="13046">
          <cell r="W13046">
            <v>0</v>
          </cell>
          <cell r="AB13046" t="str">
            <v>line item not tagged</v>
          </cell>
        </row>
        <row r="13047">
          <cell r="W13047">
            <v>0</v>
          </cell>
          <cell r="AB13047" t="str">
            <v>line item not tagged</v>
          </cell>
        </row>
        <row r="13048">
          <cell r="W13048">
            <v>0</v>
          </cell>
          <cell r="AB13048" t="str">
            <v>line item not tagged</v>
          </cell>
        </row>
        <row r="13049">
          <cell r="W13049">
            <v>0</v>
          </cell>
          <cell r="AB13049" t="str">
            <v>line item not tagged</v>
          </cell>
        </row>
        <row r="13050">
          <cell r="W13050">
            <v>0</v>
          </cell>
          <cell r="AB13050" t="str">
            <v>line item not tagged</v>
          </cell>
        </row>
        <row r="13051">
          <cell r="W13051">
            <v>0</v>
          </cell>
          <cell r="AB13051" t="str">
            <v>line item not tagged</v>
          </cell>
        </row>
        <row r="13052">
          <cell r="W13052">
            <v>0</v>
          </cell>
          <cell r="AB13052" t="str">
            <v>line item not tagged</v>
          </cell>
        </row>
        <row r="13053">
          <cell r="W13053">
            <v>0</v>
          </cell>
          <cell r="AB13053" t="str">
            <v>line item not tagged</v>
          </cell>
        </row>
        <row r="13054">
          <cell r="W13054">
            <v>0</v>
          </cell>
          <cell r="AB13054" t="str">
            <v>line item not tagged</v>
          </cell>
        </row>
        <row r="13055">
          <cell r="W13055">
            <v>0</v>
          </cell>
          <cell r="AB13055" t="str">
            <v>line item not tagged</v>
          </cell>
        </row>
        <row r="13056">
          <cell r="W13056">
            <v>0</v>
          </cell>
          <cell r="AB13056" t="str">
            <v>line item not tagged</v>
          </cell>
        </row>
        <row r="13057">
          <cell r="W13057">
            <v>0</v>
          </cell>
          <cell r="AB13057" t="str">
            <v>line item not tagged</v>
          </cell>
        </row>
        <row r="13058">
          <cell r="W13058">
            <v>0</v>
          </cell>
          <cell r="AB13058" t="str">
            <v>line item not tagged</v>
          </cell>
        </row>
        <row r="13059">
          <cell r="W13059">
            <v>0</v>
          </cell>
          <cell r="AB13059" t="str">
            <v>line item not tagged</v>
          </cell>
        </row>
        <row r="13060">
          <cell r="W13060">
            <v>0</v>
          </cell>
          <cell r="AB13060" t="str">
            <v>line item not tagged</v>
          </cell>
        </row>
        <row r="13061">
          <cell r="W13061">
            <v>0</v>
          </cell>
          <cell r="AB13061" t="str">
            <v>line item not tagged</v>
          </cell>
        </row>
        <row r="13062">
          <cell r="W13062">
            <v>0</v>
          </cell>
          <cell r="AB13062" t="str">
            <v>line item not tagged</v>
          </cell>
        </row>
        <row r="13063">
          <cell r="W13063">
            <v>0</v>
          </cell>
          <cell r="AB13063" t="str">
            <v>line item not tagged</v>
          </cell>
        </row>
        <row r="13064">
          <cell r="W13064">
            <v>0</v>
          </cell>
          <cell r="AB13064" t="str">
            <v>line item not tagged</v>
          </cell>
        </row>
        <row r="13065">
          <cell r="W13065">
            <v>0</v>
          </cell>
          <cell r="AB13065" t="str">
            <v>line item not tagged</v>
          </cell>
        </row>
        <row r="13066">
          <cell r="W13066">
            <v>0</v>
          </cell>
          <cell r="AB13066" t="str">
            <v>line item not tagged</v>
          </cell>
        </row>
        <row r="13067">
          <cell r="W13067">
            <v>0</v>
          </cell>
          <cell r="AB13067" t="str">
            <v>line item not tagged</v>
          </cell>
        </row>
        <row r="13068">
          <cell r="W13068">
            <v>0</v>
          </cell>
          <cell r="AB13068" t="str">
            <v>line item not tagged</v>
          </cell>
        </row>
        <row r="13069">
          <cell r="W13069">
            <v>0</v>
          </cell>
          <cell r="AB13069" t="str">
            <v>line item not tagged</v>
          </cell>
        </row>
        <row r="13070">
          <cell r="W13070">
            <v>0</v>
          </cell>
          <cell r="AB13070" t="str">
            <v>line item not tagged</v>
          </cell>
        </row>
        <row r="13071">
          <cell r="W13071">
            <v>0</v>
          </cell>
          <cell r="AB13071" t="str">
            <v>line item not tagged</v>
          </cell>
        </row>
        <row r="13072">
          <cell r="W13072">
            <v>0</v>
          </cell>
          <cell r="AB13072" t="str">
            <v>line item not tagged</v>
          </cell>
        </row>
        <row r="13073">
          <cell r="W13073">
            <v>0</v>
          </cell>
          <cell r="AB13073" t="str">
            <v>line item not tagged</v>
          </cell>
        </row>
        <row r="13074">
          <cell r="W13074">
            <v>0</v>
          </cell>
          <cell r="AB13074" t="str">
            <v>line item not tagged</v>
          </cell>
        </row>
        <row r="13075">
          <cell r="W13075">
            <v>0</v>
          </cell>
          <cell r="AB13075" t="str">
            <v>line item not tagged</v>
          </cell>
        </row>
        <row r="13076">
          <cell r="W13076">
            <v>0</v>
          </cell>
          <cell r="AB13076" t="str">
            <v>line item not tagged</v>
          </cell>
        </row>
        <row r="13077">
          <cell r="W13077">
            <v>0</v>
          </cell>
          <cell r="AB13077" t="str">
            <v>line item not tagged</v>
          </cell>
        </row>
        <row r="13078">
          <cell r="W13078">
            <v>0</v>
          </cell>
          <cell r="AB13078" t="str">
            <v>line item not tagged</v>
          </cell>
        </row>
        <row r="13079">
          <cell r="W13079">
            <v>0</v>
          </cell>
          <cell r="AB13079" t="str">
            <v>line item not tagged</v>
          </cell>
        </row>
        <row r="13080">
          <cell r="W13080">
            <v>0</v>
          </cell>
          <cell r="AB13080" t="str">
            <v>line item not tagged</v>
          </cell>
        </row>
        <row r="13081">
          <cell r="W13081">
            <v>0</v>
          </cell>
          <cell r="AB13081" t="str">
            <v>line item not tagged</v>
          </cell>
        </row>
        <row r="13082">
          <cell r="W13082">
            <v>0</v>
          </cell>
          <cell r="AB13082" t="str">
            <v>line item not tagged</v>
          </cell>
        </row>
        <row r="13083">
          <cell r="W13083">
            <v>0</v>
          </cell>
          <cell r="AB13083" t="str">
            <v>line item not tagged</v>
          </cell>
        </row>
        <row r="13084">
          <cell r="W13084">
            <v>0</v>
          </cell>
          <cell r="AB13084" t="str">
            <v>line item not tagged</v>
          </cell>
        </row>
        <row r="13085">
          <cell r="W13085">
            <v>0</v>
          </cell>
          <cell r="AB13085" t="str">
            <v>line item not tagged</v>
          </cell>
        </row>
        <row r="13086">
          <cell r="W13086">
            <v>0</v>
          </cell>
          <cell r="AB13086" t="str">
            <v>line item not tagged</v>
          </cell>
        </row>
        <row r="13087">
          <cell r="W13087">
            <v>0</v>
          </cell>
          <cell r="AB13087" t="str">
            <v>line item not tagged</v>
          </cell>
        </row>
        <row r="13088">
          <cell r="W13088">
            <v>0</v>
          </cell>
          <cell r="AB13088" t="str">
            <v>line item not tagged</v>
          </cell>
        </row>
        <row r="13089">
          <cell r="W13089">
            <v>0</v>
          </cell>
          <cell r="AB13089" t="str">
            <v>line item not tagged</v>
          </cell>
        </row>
        <row r="13090">
          <cell r="W13090">
            <v>0</v>
          </cell>
          <cell r="AB13090" t="str">
            <v>line item not tagged</v>
          </cell>
        </row>
        <row r="13091">
          <cell r="W13091">
            <v>0</v>
          </cell>
          <cell r="AB13091" t="str">
            <v>line item not tagged</v>
          </cell>
        </row>
        <row r="13092">
          <cell r="W13092">
            <v>0</v>
          </cell>
          <cell r="AB13092" t="str">
            <v>line item not tagged</v>
          </cell>
        </row>
        <row r="13093">
          <cell r="W13093">
            <v>0</v>
          </cell>
          <cell r="AB13093" t="str">
            <v>line item not tagged</v>
          </cell>
        </row>
        <row r="13094">
          <cell r="W13094">
            <v>0</v>
          </cell>
          <cell r="AB13094" t="str">
            <v>line item not tagged</v>
          </cell>
        </row>
        <row r="13095">
          <cell r="W13095">
            <v>0</v>
          </cell>
          <cell r="AB13095" t="str">
            <v>line item not tagged</v>
          </cell>
        </row>
        <row r="13096">
          <cell r="W13096">
            <v>0</v>
          </cell>
          <cell r="AB13096" t="str">
            <v>line item not tagged</v>
          </cell>
        </row>
        <row r="13097">
          <cell r="W13097">
            <v>0</v>
          </cell>
          <cell r="AB13097" t="str">
            <v>line item not tagged</v>
          </cell>
        </row>
        <row r="13098">
          <cell r="W13098">
            <v>0</v>
          </cell>
          <cell r="AB13098" t="str">
            <v>line item not tagged</v>
          </cell>
        </row>
        <row r="13099">
          <cell r="W13099">
            <v>0</v>
          </cell>
          <cell r="AB13099" t="str">
            <v>line item not tagged</v>
          </cell>
        </row>
        <row r="13100">
          <cell r="W13100">
            <v>0</v>
          </cell>
          <cell r="AB13100" t="str">
            <v>line item not tagged</v>
          </cell>
        </row>
        <row r="13101">
          <cell r="W13101">
            <v>0</v>
          </cell>
          <cell r="AB13101" t="str">
            <v>line item not tagged</v>
          </cell>
        </row>
        <row r="13102">
          <cell r="W13102">
            <v>0</v>
          </cell>
          <cell r="AB13102" t="str">
            <v>line item not tagged</v>
          </cell>
        </row>
        <row r="13103">
          <cell r="W13103">
            <v>0</v>
          </cell>
          <cell r="AB13103" t="str">
            <v>line item not tagged</v>
          </cell>
        </row>
        <row r="13104">
          <cell r="W13104">
            <v>0</v>
          </cell>
          <cell r="AB13104" t="str">
            <v>line item not tagged</v>
          </cell>
        </row>
        <row r="13105">
          <cell r="W13105">
            <v>0</v>
          </cell>
          <cell r="AB13105" t="str">
            <v>line item not tagged</v>
          </cell>
        </row>
        <row r="13106">
          <cell r="W13106">
            <v>0</v>
          </cell>
          <cell r="AB13106" t="str">
            <v>line item not tagged</v>
          </cell>
        </row>
        <row r="13107">
          <cell r="W13107">
            <v>0</v>
          </cell>
          <cell r="AB13107" t="str">
            <v>line item not tagged</v>
          </cell>
        </row>
        <row r="13108">
          <cell r="W13108">
            <v>0</v>
          </cell>
          <cell r="AB13108" t="str">
            <v>line item not tagged</v>
          </cell>
        </row>
        <row r="13109">
          <cell r="W13109">
            <v>0</v>
          </cell>
          <cell r="AB13109" t="str">
            <v>line item not tagged</v>
          </cell>
        </row>
        <row r="13110">
          <cell r="W13110">
            <v>0</v>
          </cell>
          <cell r="AB13110" t="str">
            <v>line item not tagged</v>
          </cell>
        </row>
        <row r="13111">
          <cell r="W13111">
            <v>0</v>
          </cell>
          <cell r="AB13111" t="str">
            <v>line item not tagged</v>
          </cell>
        </row>
        <row r="13112">
          <cell r="W13112">
            <v>0</v>
          </cell>
          <cell r="AB13112" t="str">
            <v>line item not tagged</v>
          </cell>
        </row>
        <row r="13113">
          <cell r="W13113">
            <v>0</v>
          </cell>
          <cell r="AB13113" t="str">
            <v>line item not tagged</v>
          </cell>
        </row>
        <row r="13114">
          <cell r="W13114">
            <v>0</v>
          </cell>
          <cell r="AB13114" t="str">
            <v>line item not tagged</v>
          </cell>
        </row>
        <row r="13115">
          <cell r="W13115">
            <v>0</v>
          </cell>
          <cell r="AB13115" t="str">
            <v>line item not tagged</v>
          </cell>
        </row>
        <row r="13116">
          <cell r="W13116">
            <v>0</v>
          </cell>
          <cell r="AB13116" t="str">
            <v>line item not tagged</v>
          </cell>
        </row>
        <row r="13117">
          <cell r="W13117">
            <v>0</v>
          </cell>
          <cell r="AB13117" t="str">
            <v>line item not tagged</v>
          </cell>
        </row>
        <row r="13118">
          <cell r="W13118">
            <v>0</v>
          </cell>
          <cell r="AB13118" t="str">
            <v>line item not tagged</v>
          </cell>
        </row>
        <row r="13119">
          <cell r="W13119">
            <v>0</v>
          </cell>
          <cell r="AB13119" t="str">
            <v>line item not tagged</v>
          </cell>
        </row>
        <row r="13120">
          <cell r="W13120">
            <v>0</v>
          </cell>
          <cell r="AB13120" t="str">
            <v>line item not tagged</v>
          </cell>
        </row>
        <row r="13121">
          <cell r="W13121">
            <v>0</v>
          </cell>
          <cell r="AB13121" t="str">
            <v>line item not tagged</v>
          </cell>
        </row>
        <row r="13122">
          <cell r="W13122">
            <v>0</v>
          </cell>
          <cell r="AB13122" t="str">
            <v>line item not tagged</v>
          </cell>
        </row>
        <row r="13123">
          <cell r="W13123">
            <v>0</v>
          </cell>
          <cell r="AB13123" t="str">
            <v>line item not tagged</v>
          </cell>
        </row>
        <row r="13124">
          <cell r="W13124">
            <v>0</v>
          </cell>
          <cell r="AB13124" t="str">
            <v>line item not tagged</v>
          </cell>
        </row>
        <row r="13125">
          <cell r="W13125">
            <v>0</v>
          </cell>
          <cell r="AB13125" t="str">
            <v>line item not tagged</v>
          </cell>
        </row>
        <row r="13126">
          <cell r="W13126">
            <v>0</v>
          </cell>
          <cell r="AB13126" t="str">
            <v>line item not tagged</v>
          </cell>
        </row>
        <row r="13127">
          <cell r="W13127">
            <v>0</v>
          </cell>
          <cell r="AB13127" t="str">
            <v>line item not tagged</v>
          </cell>
        </row>
        <row r="13128">
          <cell r="W13128">
            <v>0</v>
          </cell>
          <cell r="AB13128" t="str">
            <v>line item not tagged</v>
          </cell>
        </row>
        <row r="13129">
          <cell r="W13129">
            <v>0</v>
          </cell>
          <cell r="AB13129" t="str">
            <v>line item not tagged</v>
          </cell>
        </row>
        <row r="13130">
          <cell r="W13130">
            <v>0</v>
          </cell>
          <cell r="AB13130" t="str">
            <v>line item not tagged</v>
          </cell>
        </row>
        <row r="13131">
          <cell r="W13131">
            <v>0</v>
          </cell>
          <cell r="AB13131" t="str">
            <v>line item not tagged</v>
          </cell>
        </row>
        <row r="13132">
          <cell r="W13132">
            <v>0</v>
          </cell>
          <cell r="AB13132" t="str">
            <v>line item not tagged</v>
          </cell>
        </row>
        <row r="13133">
          <cell r="W13133">
            <v>0</v>
          </cell>
          <cell r="AB13133" t="str">
            <v>line item not tagged</v>
          </cell>
        </row>
        <row r="13134">
          <cell r="W13134">
            <v>0</v>
          </cell>
          <cell r="AB13134" t="str">
            <v>line item not tagged</v>
          </cell>
        </row>
        <row r="13135">
          <cell r="W13135">
            <v>0</v>
          </cell>
          <cell r="AB13135" t="str">
            <v>line item not tagged</v>
          </cell>
        </row>
        <row r="13136">
          <cell r="W13136">
            <v>0</v>
          </cell>
          <cell r="AB13136" t="str">
            <v>line item not tagged</v>
          </cell>
        </row>
        <row r="13137">
          <cell r="W13137">
            <v>0</v>
          </cell>
          <cell r="AB13137" t="str">
            <v>line item not tagged</v>
          </cell>
        </row>
        <row r="13138">
          <cell r="W13138">
            <v>0</v>
          </cell>
          <cell r="AB13138" t="str">
            <v>line item not tagged</v>
          </cell>
        </row>
        <row r="13139">
          <cell r="W13139">
            <v>0</v>
          </cell>
          <cell r="AB13139" t="str">
            <v>line item not tagged</v>
          </cell>
        </row>
        <row r="13140">
          <cell r="W13140">
            <v>0</v>
          </cell>
          <cell r="AB13140" t="str">
            <v>line item not tagged</v>
          </cell>
        </row>
        <row r="13141">
          <cell r="W13141">
            <v>0</v>
          </cell>
          <cell r="AB13141" t="str">
            <v>line item not tagged</v>
          </cell>
        </row>
        <row r="13142">
          <cell r="W13142">
            <v>0</v>
          </cell>
          <cell r="AB13142" t="str">
            <v>line item not tagged</v>
          </cell>
        </row>
        <row r="13143">
          <cell r="W13143">
            <v>0</v>
          </cell>
          <cell r="AB13143" t="str">
            <v>line item not tagged</v>
          </cell>
        </row>
        <row r="13144">
          <cell r="W13144">
            <v>0</v>
          </cell>
          <cell r="AB13144" t="str">
            <v>line item not tagged</v>
          </cell>
        </row>
        <row r="13145">
          <cell r="W13145">
            <v>0</v>
          </cell>
          <cell r="AB13145" t="str">
            <v>line item not tagged</v>
          </cell>
        </row>
        <row r="13146">
          <cell r="W13146">
            <v>0</v>
          </cell>
          <cell r="AB13146" t="str">
            <v>line item not tagged</v>
          </cell>
        </row>
        <row r="13147">
          <cell r="W13147">
            <v>0</v>
          </cell>
          <cell r="AB13147" t="str">
            <v>line item not tagged</v>
          </cell>
        </row>
        <row r="13148">
          <cell r="W13148">
            <v>0</v>
          </cell>
          <cell r="AB13148" t="str">
            <v>line item not tagged</v>
          </cell>
        </row>
        <row r="13149">
          <cell r="W13149">
            <v>0</v>
          </cell>
          <cell r="AB13149" t="str">
            <v>line item not tagged</v>
          </cell>
        </row>
        <row r="13150">
          <cell r="W13150">
            <v>0</v>
          </cell>
          <cell r="AB13150" t="str">
            <v>line item not tagged</v>
          </cell>
        </row>
        <row r="13151">
          <cell r="W13151">
            <v>0</v>
          </cell>
          <cell r="AB13151" t="str">
            <v>line item not tagged</v>
          </cell>
        </row>
        <row r="13152">
          <cell r="W13152">
            <v>0</v>
          </cell>
          <cell r="AB13152" t="str">
            <v>line item not tagged</v>
          </cell>
        </row>
        <row r="13153">
          <cell r="W13153">
            <v>0</v>
          </cell>
          <cell r="AB13153" t="str">
            <v>line item not tagged</v>
          </cell>
        </row>
        <row r="13154">
          <cell r="W13154">
            <v>0</v>
          </cell>
          <cell r="AB13154" t="str">
            <v>line item not tagged</v>
          </cell>
        </row>
        <row r="13155">
          <cell r="W13155">
            <v>0</v>
          </cell>
          <cell r="AB13155" t="str">
            <v>line item not tagged</v>
          </cell>
        </row>
        <row r="13156">
          <cell r="W13156">
            <v>0</v>
          </cell>
          <cell r="AB13156" t="str">
            <v>line item not tagged</v>
          </cell>
        </row>
        <row r="13157">
          <cell r="W13157">
            <v>0</v>
          </cell>
          <cell r="AB13157" t="str">
            <v>line item not tagged</v>
          </cell>
        </row>
        <row r="13158">
          <cell r="W13158">
            <v>0</v>
          </cell>
          <cell r="AB13158" t="str">
            <v>line item not tagged</v>
          </cell>
        </row>
        <row r="13159">
          <cell r="W13159">
            <v>0</v>
          </cell>
          <cell r="AB13159" t="str">
            <v>line item not tagged</v>
          </cell>
        </row>
        <row r="13160">
          <cell r="W13160">
            <v>0</v>
          </cell>
          <cell r="AB13160" t="str">
            <v>line item not tagged</v>
          </cell>
        </row>
        <row r="13161">
          <cell r="W13161">
            <v>0</v>
          </cell>
          <cell r="AB13161" t="str">
            <v>line item not tagged</v>
          </cell>
        </row>
        <row r="13162">
          <cell r="W13162">
            <v>0</v>
          </cell>
          <cell r="AB13162" t="str">
            <v>line item not tagged</v>
          </cell>
        </row>
        <row r="13163">
          <cell r="W13163">
            <v>0</v>
          </cell>
          <cell r="AB13163" t="str">
            <v>line item not tagged</v>
          </cell>
        </row>
        <row r="13164">
          <cell r="W13164">
            <v>0</v>
          </cell>
          <cell r="AB13164" t="str">
            <v>line item not tagged</v>
          </cell>
        </row>
        <row r="13165">
          <cell r="W13165">
            <v>0</v>
          </cell>
          <cell r="AB13165" t="str">
            <v>line item not tagged</v>
          </cell>
        </row>
        <row r="13166">
          <cell r="W13166">
            <v>0</v>
          </cell>
          <cell r="AB13166" t="str">
            <v>line item not tagged</v>
          </cell>
        </row>
        <row r="13167">
          <cell r="W13167">
            <v>0</v>
          </cell>
          <cell r="AB13167" t="str">
            <v>line item not tagged</v>
          </cell>
        </row>
        <row r="13168">
          <cell r="W13168">
            <v>0</v>
          </cell>
          <cell r="AB13168" t="str">
            <v>line item not tagged</v>
          </cell>
        </row>
        <row r="13169">
          <cell r="W13169">
            <v>0</v>
          </cell>
          <cell r="AB13169" t="str">
            <v>line item not tagged</v>
          </cell>
        </row>
        <row r="13170">
          <cell r="W13170">
            <v>0</v>
          </cell>
          <cell r="AB13170" t="str">
            <v>line item not tagged</v>
          </cell>
        </row>
        <row r="13171">
          <cell r="W13171">
            <v>0</v>
          </cell>
          <cell r="AB13171" t="str">
            <v>line item not tagged</v>
          </cell>
        </row>
        <row r="13172">
          <cell r="W13172">
            <v>0</v>
          </cell>
          <cell r="AB13172" t="str">
            <v>line item not tagged</v>
          </cell>
        </row>
        <row r="13173">
          <cell r="W13173">
            <v>0</v>
          </cell>
          <cell r="AB13173" t="str">
            <v>line item not tagged</v>
          </cell>
        </row>
        <row r="13174">
          <cell r="W13174">
            <v>0</v>
          </cell>
          <cell r="AB13174" t="str">
            <v>line item not tagged</v>
          </cell>
        </row>
        <row r="13175">
          <cell r="W13175">
            <v>0</v>
          </cell>
          <cell r="AB13175" t="str">
            <v>line item not tagged</v>
          </cell>
        </row>
        <row r="13176">
          <cell r="W13176">
            <v>0</v>
          </cell>
          <cell r="AB13176" t="str">
            <v>line item not tagged</v>
          </cell>
        </row>
        <row r="13177">
          <cell r="W13177">
            <v>0</v>
          </cell>
          <cell r="AB13177" t="str">
            <v>line item not tagged</v>
          </cell>
        </row>
        <row r="13178">
          <cell r="W13178">
            <v>0</v>
          </cell>
          <cell r="AB13178" t="str">
            <v>line item not tagged</v>
          </cell>
        </row>
        <row r="13179">
          <cell r="W13179">
            <v>0</v>
          </cell>
          <cell r="AB13179" t="str">
            <v>line item not tagged</v>
          </cell>
        </row>
        <row r="13180">
          <cell r="W13180">
            <v>0</v>
          </cell>
          <cell r="AB13180" t="str">
            <v>line item not tagged</v>
          </cell>
        </row>
        <row r="13181">
          <cell r="W13181">
            <v>0</v>
          </cell>
          <cell r="AB13181" t="str">
            <v>line item not tagged</v>
          </cell>
        </row>
        <row r="13182">
          <cell r="W13182">
            <v>0</v>
          </cell>
          <cell r="AB13182" t="str">
            <v>line item not tagged</v>
          </cell>
        </row>
        <row r="13183">
          <cell r="W13183">
            <v>0</v>
          </cell>
          <cell r="AB13183" t="str">
            <v>line item not tagged</v>
          </cell>
        </row>
        <row r="13184">
          <cell r="W13184">
            <v>0</v>
          </cell>
          <cell r="AB13184" t="str">
            <v>line item not tagged</v>
          </cell>
        </row>
        <row r="13185">
          <cell r="W13185">
            <v>0</v>
          </cell>
          <cell r="AB13185" t="str">
            <v>line item not tagged</v>
          </cell>
        </row>
        <row r="13186">
          <cell r="W13186">
            <v>0</v>
          </cell>
          <cell r="AB13186" t="str">
            <v>line item not tagged</v>
          </cell>
        </row>
        <row r="13187">
          <cell r="W13187">
            <v>0</v>
          </cell>
          <cell r="AB13187" t="str">
            <v>line item not tagged</v>
          </cell>
        </row>
        <row r="13188">
          <cell r="W13188">
            <v>0</v>
          </cell>
          <cell r="AB13188" t="str">
            <v>line item not tagged</v>
          </cell>
        </row>
        <row r="13189">
          <cell r="W13189">
            <v>0</v>
          </cell>
          <cell r="AB13189" t="str">
            <v>line item not tagged</v>
          </cell>
        </row>
        <row r="13190">
          <cell r="W13190">
            <v>0</v>
          </cell>
          <cell r="AB13190" t="str">
            <v>line item not tagged</v>
          </cell>
        </row>
        <row r="13191">
          <cell r="W13191">
            <v>0</v>
          </cell>
          <cell r="AB13191" t="str">
            <v>line item not tagged</v>
          </cell>
        </row>
        <row r="13192">
          <cell r="W13192">
            <v>0</v>
          </cell>
          <cell r="AB13192" t="str">
            <v>line item not tagged</v>
          </cell>
        </row>
        <row r="13193">
          <cell r="W13193">
            <v>0</v>
          </cell>
          <cell r="AB13193" t="str">
            <v>line item not tagged</v>
          </cell>
        </row>
        <row r="13194">
          <cell r="W13194">
            <v>0</v>
          </cell>
          <cell r="AB13194" t="str">
            <v>line item not tagged</v>
          </cell>
        </row>
        <row r="13195">
          <cell r="W13195">
            <v>0</v>
          </cell>
          <cell r="AB13195" t="str">
            <v>line item not tagged</v>
          </cell>
        </row>
        <row r="13196">
          <cell r="W13196">
            <v>0</v>
          </cell>
          <cell r="AB13196" t="str">
            <v>line item not tagged</v>
          </cell>
        </row>
        <row r="13197">
          <cell r="W13197">
            <v>0</v>
          </cell>
          <cell r="AB13197" t="str">
            <v>line item not tagged</v>
          </cell>
        </row>
        <row r="13198">
          <cell r="W13198">
            <v>0</v>
          </cell>
          <cell r="AB13198" t="str">
            <v>line item not tagged</v>
          </cell>
        </row>
        <row r="13199">
          <cell r="W13199">
            <v>0</v>
          </cell>
          <cell r="AB13199" t="str">
            <v>line item not tagged</v>
          </cell>
        </row>
        <row r="13200">
          <cell r="W13200">
            <v>0</v>
          </cell>
          <cell r="AB13200" t="str">
            <v>line item not tagged</v>
          </cell>
        </row>
        <row r="13201">
          <cell r="W13201">
            <v>0</v>
          </cell>
          <cell r="AB13201" t="str">
            <v>line item not tagged</v>
          </cell>
        </row>
        <row r="13202">
          <cell r="W13202">
            <v>0</v>
          </cell>
          <cell r="AB13202" t="str">
            <v>line item not tagged</v>
          </cell>
        </row>
        <row r="13203">
          <cell r="W13203">
            <v>0</v>
          </cell>
          <cell r="AB13203" t="str">
            <v>line item not tagged</v>
          </cell>
        </row>
        <row r="13204">
          <cell r="W13204">
            <v>0</v>
          </cell>
          <cell r="AB13204" t="str">
            <v>line item not tagged</v>
          </cell>
        </row>
        <row r="13205">
          <cell r="W13205">
            <v>0</v>
          </cell>
          <cell r="AB13205" t="str">
            <v>line item not tagged</v>
          </cell>
        </row>
        <row r="13206">
          <cell r="W13206">
            <v>0</v>
          </cell>
          <cell r="AB13206" t="str">
            <v>line item not tagged</v>
          </cell>
        </row>
        <row r="13207">
          <cell r="W13207">
            <v>0</v>
          </cell>
          <cell r="AB13207" t="str">
            <v>line item not tagged</v>
          </cell>
        </row>
        <row r="13208">
          <cell r="W13208">
            <v>0</v>
          </cell>
          <cell r="AB13208" t="str">
            <v>line item not tagged</v>
          </cell>
        </row>
        <row r="13209">
          <cell r="W13209">
            <v>0</v>
          </cell>
          <cell r="AB13209" t="str">
            <v>line item not tagged</v>
          </cell>
        </row>
        <row r="13210">
          <cell r="W13210">
            <v>0</v>
          </cell>
          <cell r="AB13210" t="str">
            <v>line item not tagged</v>
          </cell>
        </row>
        <row r="13211">
          <cell r="W13211">
            <v>0</v>
          </cell>
          <cell r="AB13211" t="str">
            <v>line item not tagged</v>
          </cell>
        </row>
        <row r="13212">
          <cell r="W13212">
            <v>0</v>
          </cell>
          <cell r="AB13212" t="str">
            <v>line item not tagged</v>
          </cell>
        </row>
        <row r="13213">
          <cell r="W13213">
            <v>0</v>
          </cell>
          <cell r="AB13213" t="str">
            <v>line item not tagged</v>
          </cell>
        </row>
        <row r="13214">
          <cell r="W13214">
            <v>0</v>
          </cell>
          <cell r="AB13214" t="str">
            <v>line item not tagged</v>
          </cell>
        </row>
        <row r="13215">
          <cell r="W13215">
            <v>0</v>
          </cell>
          <cell r="AB13215" t="str">
            <v>line item not tagged</v>
          </cell>
        </row>
        <row r="13216">
          <cell r="W13216">
            <v>0</v>
          </cell>
          <cell r="AB13216" t="str">
            <v>line item not tagged</v>
          </cell>
        </row>
        <row r="13217">
          <cell r="W13217">
            <v>0</v>
          </cell>
          <cell r="AB13217" t="str">
            <v>line item not tagged</v>
          </cell>
        </row>
        <row r="13218">
          <cell r="W13218">
            <v>0</v>
          </cell>
          <cell r="AB13218" t="str">
            <v>line item not tagged</v>
          </cell>
        </row>
        <row r="13219">
          <cell r="W13219">
            <v>0</v>
          </cell>
          <cell r="AB13219" t="str">
            <v>line item not tagged</v>
          </cell>
        </row>
        <row r="13220">
          <cell r="W13220">
            <v>0</v>
          </cell>
          <cell r="AB13220" t="str">
            <v>line item not tagged</v>
          </cell>
        </row>
        <row r="13221">
          <cell r="W13221">
            <v>0</v>
          </cell>
          <cell r="AB13221" t="str">
            <v>line item not tagged</v>
          </cell>
        </row>
        <row r="13222">
          <cell r="W13222">
            <v>0</v>
          </cell>
          <cell r="AB13222" t="str">
            <v>line item not tagged</v>
          </cell>
        </row>
        <row r="13223">
          <cell r="W13223">
            <v>0</v>
          </cell>
          <cell r="AB13223" t="str">
            <v>line item not tagged</v>
          </cell>
        </row>
        <row r="13224">
          <cell r="W13224">
            <v>0</v>
          </cell>
          <cell r="AB13224" t="str">
            <v>line item not tagged</v>
          </cell>
        </row>
        <row r="13225">
          <cell r="W13225">
            <v>0</v>
          </cell>
          <cell r="AB13225" t="str">
            <v>line item not tagged</v>
          </cell>
        </row>
        <row r="13226">
          <cell r="W13226">
            <v>0</v>
          </cell>
          <cell r="AB13226" t="str">
            <v>line item not tagged</v>
          </cell>
        </row>
        <row r="13227">
          <cell r="W13227">
            <v>0</v>
          </cell>
          <cell r="AB13227" t="str">
            <v>line item not tagged</v>
          </cell>
        </row>
        <row r="13228">
          <cell r="W13228">
            <v>0</v>
          </cell>
          <cell r="AB13228" t="str">
            <v>line item not tagged</v>
          </cell>
        </row>
        <row r="13229">
          <cell r="W13229">
            <v>0</v>
          </cell>
          <cell r="AB13229" t="str">
            <v>line item not tagged</v>
          </cell>
        </row>
        <row r="13230">
          <cell r="W13230">
            <v>0</v>
          </cell>
          <cell r="AB13230" t="str">
            <v>line item not tagged</v>
          </cell>
        </row>
        <row r="13231">
          <cell r="W13231">
            <v>0</v>
          </cell>
          <cell r="AB13231" t="str">
            <v>line item not tagged</v>
          </cell>
        </row>
        <row r="13232">
          <cell r="W13232">
            <v>0</v>
          </cell>
          <cell r="AB13232" t="str">
            <v>line item not tagged</v>
          </cell>
        </row>
        <row r="13233">
          <cell r="W13233">
            <v>0</v>
          </cell>
          <cell r="AB13233" t="str">
            <v>line item not tagged</v>
          </cell>
        </row>
        <row r="13234">
          <cell r="W13234">
            <v>0</v>
          </cell>
          <cell r="AB13234" t="str">
            <v>line item not tagged</v>
          </cell>
        </row>
        <row r="13235">
          <cell r="W13235">
            <v>0</v>
          </cell>
          <cell r="AB13235" t="str">
            <v>line item not tagged</v>
          </cell>
        </row>
        <row r="13236">
          <cell r="W13236">
            <v>0</v>
          </cell>
          <cell r="AB13236" t="str">
            <v>line item not tagged</v>
          </cell>
        </row>
        <row r="13237">
          <cell r="W13237">
            <v>0</v>
          </cell>
          <cell r="AB13237" t="str">
            <v>line item not tagged</v>
          </cell>
        </row>
        <row r="13238">
          <cell r="W13238">
            <v>0</v>
          </cell>
          <cell r="AB13238" t="str">
            <v>line item not tagged</v>
          </cell>
        </row>
        <row r="13239">
          <cell r="W13239">
            <v>0</v>
          </cell>
          <cell r="AB13239" t="str">
            <v>line item not tagged</v>
          </cell>
        </row>
        <row r="13240">
          <cell r="W13240">
            <v>0</v>
          </cell>
          <cell r="AB13240" t="str">
            <v>line item not tagged</v>
          </cell>
        </row>
        <row r="13241">
          <cell r="W13241">
            <v>0</v>
          </cell>
          <cell r="AB13241" t="str">
            <v>line item not tagged</v>
          </cell>
        </row>
        <row r="13242">
          <cell r="W13242">
            <v>0</v>
          </cell>
          <cell r="AB13242" t="str">
            <v>line item not tagged</v>
          </cell>
        </row>
        <row r="13243">
          <cell r="W13243">
            <v>0</v>
          </cell>
          <cell r="AB13243" t="str">
            <v>line item not tagged</v>
          </cell>
        </row>
        <row r="13244">
          <cell r="W13244">
            <v>0</v>
          </cell>
          <cell r="AB13244" t="str">
            <v>line item not tagged</v>
          </cell>
        </row>
        <row r="13245">
          <cell r="W13245">
            <v>0</v>
          </cell>
          <cell r="AB13245" t="str">
            <v>line item not tagged</v>
          </cell>
        </row>
        <row r="13246">
          <cell r="W13246">
            <v>0</v>
          </cell>
          <cell r="AB13246" t="str">
            <v>line item not tagged</v>
          </cell>
        </row>
        <row r="13247">
          <cell r="W13247">
            <v>0</v>
          </cell>
          <cell r="AB13247" t="str">
            <v>line item not tagged</v>
          </cell>
        </row>
        <row r="13248">
          <cell r="W13248">
            <v>0</v>
          </cell>
          <cell r="AB13248" t="str">
            <v>line item not tagged</v>
          </cell>
        </row>
        <row r="13249">
          <cell r="W13249">
            <v>0</v>
          </cell>
          <cell r="AB13249" t="str">
            <v>line item not tagged</v>
          </cell>
        </row>
        <row r="13250">
          <cell r="W13250">
            <v>0</v>
          </cell>
          <cell r="AB13250" t="str">
            <v>line item not tagged</v>
          </cell>
        </row>
        <row r="13251">
          <cell r="W13251">
            <v>0</v>
          </cell>
          <cell r="AB13251" t="str">
            <v>line item not tagged</v>
          </cell>
        </row>
        <row r="13252">
          <cell r="W13252">
            <v>0</v>
          </cell>
          <cell r="AB13252" t="str">
            <v>line item not tagged</v>
          </cell>
        </row>
        <row r="13253">
          <cell r="W13253">
            <v>0</v>
          </cell>
          <cell r="AB13253" t="str">
            <v>line item not tagged</v>
          </cell>
        </row>
        <row r="13254">
          <cell r="W13254">
            <v>0</v>
          </cell>
          <cell r="AB13254" t="str">
            <v>line item not tagged</v>
          </cell>
        </row>
        <row r="13255">
          <cell r="W13255">
            <v>0</v>
          </cell>
          <cell r="AB13255" t="str">
            <v>line item not tagged</v>
          </cell>
        </row>
        <row r="13256">
          <cell r="W13256">
            <v>0</v>
          </cell>
          <cell r="AB13256" t="str">
            <v>line item not tagged</v>
          </cell>
        </row>
        <row r="13257">
          <cell r="W13257">
            <v>0</v>
          </cell>
          <cell r="AB13257" t="str">
            <v>line item not tagged</v>
          </cell>
        </row>
        <row r="13258">
          <cell r="W13258">
            <v>0</v>
          </cell>
          <cell r="AB13258" t="str">
            <v>line item not tagged</v>
          </cell>
        </row>
        <row r="13259">
          <cell r="W13259">
            <v>0</v>
          </cell>
          <cell r="AB13259" t="str">
            <v>line item not tagged</v>
          </cell>
        </row>
        <row r="13260">
          <cell r="W13260">
            <v>0</v>
          </cell>
          <cell r="AB13260" t="str">
            <v>line item not tagged</v>
          </cell>
        </row>
        <row r="13261">
          <cell r="W13261">
            <v>0</v>
          </cell>
          <cell r="AB13261" t="str">
            <v>line item not tagged</v>
          </cell>
        </row>
        <row r="13262">
          <cell r="W13262">
            <v>0</v>
          </cell>
          <cell r="AB13262" t="str">
            <v>line item not tagged</v>
          </cell>
        </row>
        <row r="13263">
          <cell r="W13263">
            <v>0</v>
          </cell>
          <cell r="AB13263" t="str">
            <v>line item not tagged</v>
          </cell>
        </row>
        <row r="13264">
          <cell r="W13264">
            <v>0</v>
          </cell>
          <cell r="AB13264" t="str">
            <v>line item not tagged</v>
          </cell>
        </row>
        <row r="13265">
          <cell r="W13265">
            <v>0</v>
          </cell>
          <cell r="AB13265" t="str">
            <v>line item not tagged</v>
          </cell>
        </row>
        <row r="13266">
          <cell r="W13266">
            <v>0</v>
          </cell>
          <cell r="AB13266" t="str">
            <v>line item not tagged</v>
          </cell>
        </row>
        <row r="13267">
          <cell r="W13267">
            <v>0</v>
          </cell>
          <cell r="AB13267" t="str">
            <v>line item not tagged</v>
          </cell>
        </row>
        <row r="13268">
          <cell r="W13268">
            <v>0</v>
          </cell>
          <cell r="AB13268" t="str">
            <v>line item not tagged</v>
          </cell>
        </row>
        <row r="13269">
          <cell r="W13269">
            <v>0</v>
          </cell>
          <cell r="AB13269" t="str">
            <v>line item not tagged</v>
          </cell>
        </row>
        <row r="13270">
          <cell r="W13270">
            <v>0</v>
          </cell>
          <cell r="AB13270" t="str">
            <v>line item not tagged</v>
          </cell>
        </row>
        <row r="13271">
          <cell r="W13271">
            <v>0</v>
          </cell>
          <cell r="AB13271" t="str">
            <v>line item not tagged</v>
          </cell>
        </row>
        <row r="13272">
          <cell r="W13272">
            <v>0</v>
          </cell>
          <cell r="AB13272" t="str">
            <v>line item not tagged</v>
          </cell>
        </row>
        <row r="13273">
          <cell r="W13273">
            <v>0</v>
          </cell>
          <cell r="AB13273" t="str">
            <v>line item not tagged</v>
          </cell>
        </row>
        <row r="13274">
          <cell r="W13274">
            <v>0</v>
          </cell>
          <cell r="AB13274" t="str">
            <v>line item not tagged</v>
          </cell>
        </row>
        <row r="13275">
          <cell r="W13275">
            <v>0</v>
          </cell>
          <cell r="AB13275" t="str">
            <v>line item not tagged</v>
          </cell>
        </row>
        <row r="13276">
          <cell r="W13276">
            <v>0</v>
          </cell>
          <cell r="AB13276" t="str">
            <v>line item not tagged</v>
          </cell>
        </row>
        <row r="13277">
          <cell r="W13277">
            <v>0</v>
          </cell>
          <cell r="AB13277" t="str">
            <v>line item not tagged</v>
          </cell>
        </row>
        <row r="13278">
          <cell r="W13278">
            <v>0</v>
          </cell>
          <cell r="AB13278" t="str">
            <v>line item not tagged</v>
          </cell>
        </row>
        <row r="13279">
          <cell r="W13279">
            <v>0</v>
          </cell>
          <cell r="AB13279" t="str">
            <v>line item not tagged</v>
          </cell>
        </row>
        <row r="13280">
          <cell r="W13280">
            <v>0</v>
          </cell>
          <cell r="AB13280" t="str">
            <v>line item not tagged</v>
          </cell>
        </row>
        <row r="13281">
          <cell r="W13281">
            <v>0</v>
          </cell>
          <cell r="AB13281" t="str">
            <v>line item not tagged</v>
          </cell>
        </row>
        <row r="13282">
          <cell r="W13282">
            <v>0</v>
          </cell>
          <cell r="AB13282" t="str">
            <v>line item not tagged</v>
          </cell>
        </row>
        <row r="13283">
          <cell r="W13283">
            <v>0</v>
          </cell>
          <cell r="AB13283" t="str">
            <v>line item not tagged</v>
          </cell>
        </row>
        <row r="13284">
          <cell r="W13284">
            <v>0</v>
          </cell>
          <cell r="AB13284" t="str">
            <v>line item not tagged</v>
          </cell>
        </row>
        <row r="13285">
          <cell r="W13285">
            <v>0</v>
          </cell>
          <cell r="AB13285" t="str">
            <v>line item not tagged</v>
          </cell>
        </row>
        <row r="13286">
          <cell r="W13286">
            <v>0</v>
          </cell>
          <cell r="AB13286" t="str">
            <v>line item not tagged</v>
          </cell>
        </row>
        <row r="13287">
          <cell r="W13287">
            <v>0</v>
          </cell>
          <cell r="AB13287" t="str">
            <v>line item not tagged</v>
          </cell>
        </row>
        <row r="13288">
          <cell r="W13288">
            <v>0</v>
          </cell>
          <cell r="AB13288" t="str">
            <v>line item not tagged</v>
          </cell>
        </row>
        <row r="13289">
          <cell r="W13289">
            <v>0</v>
          </cell>
          <cell r="AB13289" t="str">
            <v>line item not tagged</v>
          </cell>
        </row>
        <row r="13290">
          <cell r="W13290">
            <v>0</v>
          </cell>
          <cell r="AB13290" t="str">
            <v>line item not tagged</v>
          </cell>
        </row>
        <row r="13291">
          <cell r="W13291">
            <v>0</v>
          </cell>
          <cell r="AB13291" t="str">
            <v>line item not tagged</v>
          </cell>
        </row>
        <row r="13292">
          <cell r="W13292">
            <v>0</v>
          </cell>
          <cell r="AB13292" t="str">
            <v>line item not tagged</v>
          </cell>
        </row>
        <row r="13293">
          <cell r="W13293">
            <v>0</v>
          </cell>
          <cell r="AB13293" t="str">
            <v>line item not tagged</v>
          </cell>
        </row>
        <row r="13294">
          <cell r="W13294">
            <v>0</v>
          </cell>
          <cell r="AB13294" t="str">
            <v>line item not tagged</v>
          </cell>
        </row>
        <row r="13295">
          <cell r="W13295">
            <v>0</v>
          </cell>
          <cell r="AB13295" t="str">
            <v>line item not tagged</v>
          </cell>
        </row>
        <row r="13296">
          <cell r="W13296">
            <v>0</v>
          </cell>
          <cell r="AB13296" t="str">
            <v>line item not tagged</v>
          </cell>
        </row>
        <row r="13297">
          <cell r="W13297">
            <v>0</v>
          </cell>
          <cell r="AB13297" t="str">
            <v>line item not tagged</v>
          </cell>
        </row>
        <row r="13298">
          <cell r="W13298">
            <v>0</v>
          </cell>
          <cell r="AB13298" t="str">
            <v>line item not tagged</v>
          </cell>
        </row>
        <row r="13299">
          <cell r="W13299">
            <v>0</v>
          </cell>
          <cell r="AB13299" t="str">
            <v>line item not tagged</v>
          </cell>
        </row>
        <row r="13300">
          <cell r="W13300">
            <v>0</v>
          </cell>
          <cell r="AB13300" t="str">
            <v>line item not tagged</v>
          </cell>
        </row>
        <row r="13301">
          <cell r="W13301">
            <v>0</v>
          </cell>
          <cell r="AB13301" t="str">
            <v>line item not tagged</v>
          </cell>
        </row>
        <row r="13302">
          <cell r="W13302">
            <v>0</v>
          </cell>
          <cell r="AB13302" t="str">
            <v>line item not tagged</v>
          </cell>
        </row>
        <row r="13303">
          <cell r="W13303">
            <v>0</v>
          </cell>
          <cell r="AB13303" t="str">
            <v>line item not tagged</v>
          </cell>
        </row>
        <row r="13304">
          <cell r="W13304">
            <v>0</v>
          </cell>
          <cell r="AB13304" t="str">
            <v>line item not tagged</v>
          </cell>
        </row>
        <row r="13305">
          <cell r="W13305">
            <v>0</v>
          </cell>
          <cell r="AB13305" t="str">
            <v>line item not tagged</v>
          </cell>
        </row>
        <row r="13306">
          <cell r="W13306">
            <v>0</v>
          </cell>
          <cell r="AB13306" t="str">
            <v>line item not tagged</v>
          </cell>
        </row>
        <row r="13307">
          <cell r="W13307">
            <v>0</v>
          </cell>
          <cell r="AB13307" t="str">
            <v>line item not tagged</v>
          </cell>
        </row>
        <row r="13308">
          <cell r="W13308">
            <v>0</v>
          </cell>
          <cell r="AB13308" t="str">
            <v>line item not tagged</v>
          </cell>
        </row>
        <row r="13309">
          <cell r="W13309">
            <v>0</v>
          </cell>
          <cell r="AB13309" t="str">
            <v>line item not tagged</v>
          </cell>
        </row>
        <row r="13310">
          <cell r="W13310">
            <v>0</v>
          </cell>
          <cell r="AB13310" t="str">
            <v>line item not tagged</v>
          </cell>
        </row>
        <row r="13311">
          <cell r="W13311">
            <v>0</v>
          </cell>
          <cell r="AB13311" t="str">
            <v>line item not tagged</v>
          </cell>
        </row>
        <row r="13312">
          <cell r="W13312">
            <v>0</v>
          </cell>
          <cell r="AB13312" t="str">
            <v>line item not tagged</v>
          </cell>
        </row>
        <row r="13313">
          <cell r="W13313">
            <v>0</v>
          </cell>
          <cell r="AB13313" t="str">
            <v>line item not tagged</v>
          </cell>
        </row>
        <row r="13314">
          <cell r="W13314">
            <v>0</v>
          </cell>
          <cell r="AB13314" t="str">
            <v>line item not tagged</v>
          </cell>
        </row>
        <row r="13315">
          <cell r="W13315">
            <v>0</v>
          </cell>
          <cell r="AB13315" t="str">
            <v>line item not tagged</v>
          </cell>
        </row>
        <row r="13316">
          <cell r="W13316">
            <v>0</v>
          </cell>
          <cell r="AB13316" t="str">
            <v>line item not tagged</v>
          </cell>
        </row>
        <row r="13317">
          <cell r="W13317">
            <v>0</v>
          </cell>
          <cell r="AB13317" t="str">
            <v>line item not tagged</v>
          </cell>
        </row>
        <row r="13318">
          <cell r="W13318">
            <v>0</v>
          </cell>
          <cell r="AB13318" t="str">
            <v>line item not tagged</v>
          </cell>
        </row>
        <row r="13319">
          <cell r="W13319">
            <v>0</v>
          </cell>
          <cell r="AB13319" t="str">
            <v>line item not tagged</v>
          </cell>
        </row>
        <row r="13320">
          <cell r="W13320">
            <v>0</v>
          </cell>
          <cell r="AB13320" t="str">
            <v>line item not tagged</v>
          </cell>
        </row>
        <row r="13321">
          <cell r="W13321">
            <v>0</v>
          </cell>
          <cell r="AB13321" t="str">
            <v>line item not tagged</v>
          </cell>
        </row>
        <row r="13322">
          <cell r="W13322">
            <v>0</v>
          </cell>
          <cell r="AB13322" t="str">
            <v>line item not tagged</v>
          </cell>
        </row>
        <row r="13323">
          <cell r="W13323">
            <v>0</v>
          </cell>
          <cell r="AB13323" t="str">
            <v>line item not tagged</v>
          </cell>
        </row>
        <row r="13324">
          <cell r="W13324">
            <v>0</v>
          </cell>
          <cell r="AB13324" t="str">
            <v>line item not tagged</v>
          </cell>
        </row>
        <row r="13325">
          <cell r="W13325">
            <v>0</v>
          </cell>
          <cell r="AB13325" t="str">
            <v>line item not tagged</v>
          </cell>
        </row>
        <row r="13326">
          <cell r="W13326">
            <v>0</v>
          </cell>
          <cell r="AB13326" t="str">
            <v>line item not tagged</v>
          </cell>
        </row>
        <row r="13327">
          <cell r="W13327">
            <v>0</v>
          </cell>
          <cell r="AB13327" t="str">
            <v>line item not tagged</v>
          </cell>
        </row>
        <row r="13328">
          <cell r="W13328">
            <v>0</v>
          </cell>
          <cell r="AB13328" t="str">
            <v>line item not tagged</v>
          </cell>
        </row>
        <row r="13329">
          <cell r="W13329">
            <v>0</v>
          </cell>
          <cell r="AB13329" t="str">
            <v>line item not tagged</v>
          </cell>
        </row>
        <row r="13330">
          <cell r="W13330">
            <v>0</v>
          </cell>
          <cell r="AB13330" t="str">
            <v>line item not tagged</v>
          </cell>
        </row>
        <row r="13331">
          <cell r="W13331">
            <v>0</v>
          </cell>
          <cell r="AB13331" t="str">
            <v>line item not tagged</v>
          </cell>
        </row>
        <row r="13332">
          <cell r="W13332">
            <v>0</v>
          </cell>
          <cell r="AB13332" t="str">
            <v>line item not tagged</v>
          </cell>
        </row>
        <row r="13333">
          <cell r="W13333">
            <v>0</v>
          </cell>
          <cell r="AB13333" t="str">
            <v>line item not tagged</v>
          </cell>
        </row>
        <row r="13334">
          <cell r="W13334">
            <v>0</v>
          </cell>
          <cell r="AB13334" t="str">
            <v>line item not tagged</v>
          </cell>
        </row>
        <row r="13335">
          <cell r="W13335">
            <v>0</v>
          </cell>
          <cell r="AB13335" t="str">
            <v>line item not tagged</v>
          </cell>
        </row>
        <row r="13336">
          <cell r="W13336">
            <v>0</v>
          </cell>
          <cell r="AB13336" t="str">
            <v>line item not tagged</v>
          </cell>
        </row>
        <row r="13337">
          <cell r="W13337">
            <v>0</v>
          </cell>
          <cell r="AB13337" t="str">
            <v>line item not tagged</v>
          </cell>
        </row>
        <row r="13338">
          <cell r="W13338">
            <v>0</v>
          </cell>
          <cell r="AB13338" t="str">
            <v>line item not tagged</v>
          </cell>
        </row>
        <row r="13339">
          <cell r="W13339">
            <v>0</v>
          </cell>
          <cell r="AB13339" t="str">
            <v>line item not tagged</v>
          </cell>
        </row>
        <row r="13340">
          <cell r="W13340">
            <v>0</v>
          </cell>
          <cell r="AB13340" t="str">
            <v>line item not tagged</v>
          </cell>
        </row>
        <row r="13341">
          <cell r="W13341">
            <v>0</v>
          </cell>
          <cell r="AB13341" t="str">
            <v>line item not tagged</v>
          </cell>
        </row>
        <row r="13342">
          <cell r="W13342">
            <v>0</v>
          </cell>
          <cell r="AB13342" t="str">
            <v>line item not tagged</v>
          </cell>
        </row>
        <row r="13343">
          <cell r="W13343">
            <v>0</v>
          </cell>
          <cell r="AB13343" t="str">
            <v>line item not tagged</v>
          </cell>
        </row>
        <row r="13344">
          <cell r="W13344">
            <v>0</v>
          </cell>
          <cell r="AB13344" t="str">
            <v>line item not tagged</v>
          </cell>
        </row>
        <row r="13345">
          <cell r="W13345">
            <v>0</v>
          </cell>
          <cell r="AB13345" t="str">
            <v>line item not tagged</v>
          </cell>
        </row>
        <row r="13346">
          <cell r="W13346">
            <v>0</v>
          </cell>
          <cell r="AB13346" t="str">
            <v>line item not tagged</v>
          </cell>
        </row>
        <row r="13347">
          <cell r="W13347">
            <v>0</v>
          </cell>
          <cell r="AB13347" t="str">
            <v>line item not tagged</v>
          </cell>
        </row>
        <row r="13348">
          <cell r="W13348">
            <v>0</v>
          </cell>
          <cell r="AB13348" t="str">
            <v>line item not tagged</v>
          </cell>
        </row>
        <row r="13349">
          <cell r="W13349">
            <v>0</v>
          </cell>
          <cell r="AB13349" t="str">
            <v>line item not tagged</v>
          </cell>
        </row>
        <row r="13350">
          <cell r="W13350">
            <v>0</v>
          </cell>
          <cell r="AB13350" t="str">
            <v>line item not tagged</v>
          </cell>
        </row>
        <row r="13351">
          <cell r="W13351">
            <v>0</v>
          </cell>
          <cell r="AB13351" t="str">
            <v>line item not tagged</v>
          </cell>
        </row>
        <row r="13352">
          <cell r="W13352">
            <v>0</v>
          </cell>
          <cell r="AB13352" t="str">
            <v>line item not tagged</v>
          </cell>
        </row>
        <row r="13353">
          <cell r="W13353">
            <v>0</v>
          </cell>
          <cell r="AB13353" t="str">
            <v>line item not tagged</v>
          </cell>
        </row>
        <row r="13354">
          <cell r="W13354">
            <v>0</v>
          </cell>
          <cell r="AB13354" t="str">
            <v>line item not tagged</v>
          </cell>
        </row>
        <row r="13355">
          <cell r="W13355">
            <v>0</v>
          </cell>
          <cell r="AB13355" t="str">
            <v>line item not tagged</v>
          </cell>
        </row>
        <row r="13356">
          <cell r="W13356">
            <v>0</v>
          </cell>
          <cell r="AB13356" t="str">
            <v>line item not tagged</v>
          </cell>
        </row>
        <row r="13357">
          <cell r="W13357">
            <v>0</v>
          </cell>
          <cell r="AB13357" t="str">
            <v>line item not tagged</v>
          </cell>
        </row>
        <row r="13358">
          <cell r="W13358">
            <v>0</v>
          </cell>
          <cell r="AB13358" t="str">
            <v>line item not tagged</v>
          </cell>
        </row>
        <row r="13359">
          <cell r="W13359">
            <v>0</v>
          </cell>
          <cell r="AB13359" t="str">
            <v>line item not tagged</v>
          </cell>
        </row>
        <row r="13360">
          <cell r="W13360">
            <v>0</v>
          </cell>
          <cell r="AB13360" t="str">
            <v>line item not tagged</v>
          </cell>
        </row>
        <row r="13361">
          <cell r="W13361">
            <v>0</v>
          </cell>
          <cell r="AB13361" t="str">
            <v>line item not tagged</v>
          </cell>
        </row>
        <row r="13362">
          <cell r="W13362">
            <v>0</v>
          </cell>
          <cell r="AB13362" t="str">
            <v>line item not tagged</v>
          </cell>
        </row>
        <row r="13363">
          <cell r="W13363">
            <v>0</v>
          </cell>
          <cell r="AB13363" t="str">
            <v>line item not tagged</v>
          </cell>
        </row>
        <row r="13364">
          <cell r="W13364">
            <v>0</v>
          </cell>
          <cell r="AB13364" t="str">
            <v>line item not tagged</v>
          </cell>
        </row>
        <row r="13365">
          <cell r="W13365">
            <v>0</v>
          </cell>
          <cell r="AB13365" t="str">
            <v>line item not tagged</v>
          </cell>
        </row>
        <row r="13366">
          <cell r="W13366">
            <v>0</v>
          </cell>
          <cell r="AB13366" t="str">
            <v>line item not tagged</v>
          </cell>
        </row>
        <row r="13367">
          <cell r="W13367">
            <v>0</v>
          </cell>
          <cell r="AB13367" t="str">
            <v>line item not tagged</v>
          </cell>
        </row>
        <row r="13368">
          <cell r="W13368">
            <v>0</v>
          </cell>
          <cell r="AB13368" t="str">
            <v>line item not tagged</v>
          </cell>
        </row>
        <row r="13369">
          <cell r="W13369">
            <v>0</v>
          </cell>
          <cell r="AB13369" t="str">
            <v>line item not tagged</v>
          </cell>
        </row>
        <row r="13370">
          <cell r="W13370">
            <v>0</v>
          </cell>
          <cell r="AB13370" t="str">
            <v>line item not tagged</v>
          </cell>
        </row>
        <row r="13371">
          <cell r="W13371">
            <v>0</v>
          </cell>
          <cell r="AB13371" t="str">
            <v>line item not tagged</v>
          </cell>
        </row>
        <row r="13372">
          <cell r="W13372">
            <v>0</v>
          </cell>
          <cell r="AB13372" t="str">
            <v>line item not tagged</v>
          </cell>
        </row>
        <row r="13373">
          <cell r="W13373">
            <v>0</v>
          </cell>
          <cell r="AB13373" t="str">
            <v>line item not tagged</v>
          </cell>
        </row>
        <row r="13374">
          <cell r="W13374">
            <v>0</v>
          </cell>
          <cell r="AB13374" t="str">
            <v>line item not tagged</v>
          </cell>
        </row>
        <row r="13375">
          <cell r="W13375">
            <v>0</v>
          </cell>
          <cell r="AB13375" t="str">
            <v>line item not tagged</v>
          </cell>
        </row>
        <row r="13376">
          <cell r="W13376">
            <v>0</v>
          </cell>
          <cell r="AB13376" t="str">
            <v>line item not tagged</v>
          </cell>
        </row>
        <row r="13377">
          <cell r="W13377">
            <v>0</v>
          </cell>
          <cell r="AB13377" t="str">
            <v>line item not tagged</v>
          </cell>
        </row>
        <row r="13378">
          <cell r="W13378">
            <v>0</v>
          </cell>
          <cell r="AB13378" t="str">
            <v>line item not tagged</v>
          </cell>
        </row>
        <row r="13379">
          <cell r="W13379">
            <v>0</v>
          </cell>
          <cell r="AB13379" t="str">
            <v>line item not tagged</v>
          </cell>
        </row>
        <row r="13380">
          <cell r="W13380">
            <v>0</v>
          </cell>
          <cell r="AB13380" t="str">
            <v>line item not tagged</v>
          </cell>
        </row>
        <row r="13381">
          <cell r="W13381">
            <v>0</v>
          </cell>
          <cell r="AB13381" t="str">
            <v>line item not tagged</v>
          </cell>
        </row>
        <row r="13382">
          <cell r="W13382">
            <v>0</v>
          </cell>
          <cell r="AB13382" t="str">
            <v>line item not tagged</v>
          </cell>
        </row>
        <row r="13383">
          <cell r="W13383">
            <v>0</v>
          </cell>
          <cell r="AB13383" t="str">
            <v>line item not tagged</v>
          </cell>
        </row>
        <row r="13384">
          <cell r="W13384">
            <v>0</v>
          </cell>
          <cell r="AB13384" t="str">
            <v>line item not tagged</v>
          </cell>
        </row>
        <row r="13385">
          <cell r="W13385">
            <v>0</v>
          </cell>
          <cell r="AB13385" t="str">
            <v>line item not tagged</v>
          </cell>
        </row>
        <row r="13386">
          <cell r="W13386">
            <v>0</v>
          </cell>
          <cell r="AB13386" t="str">
            <v>line item not tagged</v>
          </cell>
        </row>
        <row r="13387">
          <cell r="W13387">
            <v>0</v>
          </cell>
          <cell r="AB13387" t="str">
            <v>line item not tagged</v>
          </cell>
        </row>
        <row r="13388">
          <cell r="W13388">
            <v>0</v>
          </cell>
          <cell r="AB13388" t="str">
            <v>line item not tagged</v>
          </cell>
        </row>
        <row r="13389">
          <cell r="W13389">
            <v>0</v>
          </cell>
          <cell r="AB13389" t="str">
            <v>line item not tagged</v>
          </cell>
        </row>
        <row r="13390">
          <cell r="W13390">
            <v>0</v>
          </cell>
          <cell r="AB13390" t="str">
            <v>line item not tagged</v>
          </cell>
        </row>
        <row r="13391">
          <cell r="W13391">
            <v>0</v>
          </cell>
          <cell r="AB13391" t="str">
            <v>line item not tagged</v>
          </cell>
        </row>
        <row r="13392">
          <cell r="W13392">
            <v>0</v>
          </cell>
          <cell r="AB13392" t="str">
            <v>line item not tagged</v>
          </cell>
        </row>
        <row r="13393">
          <cell r="W13393">
            <v>0</v>
          </cell>
          <cell r="AB13393" t="str">
            <v>line item not tagged</v>
          </cell>
        </row>
        <row r="13394">
          <cell r="W13394">
            <v>0</v>
          </cell>
          <cell r="AB13394" t="str">
            <v>line item not tagged</v>
          </cell>
        </row>
        <row r="13395">
          <cell r="W13395">
            <v>0</v>
          </cell>
          <cell r="AB13395" t="str">
            <v>line item not tagged</v>
          </cell>
        </row>
        <row r="13396">
          <cell r="W13396">
            <v>0</v>
          </cell>
          <cell r="AB13396" t="str">
            <v>line item not tagged</v>
          </cell>
        </row>
        <row r="13397">
          <cell r="W13397">
            <v>0</v>
          </cell>
          <cell r="AB13397" t="str">
            <v>line item not tagged</v>
          </cell>
        </row>
        <row r="13398">
          <cell r="W13398">
            <v>0</v>
          </cell>
          <cell r="AB13398" t="str">
            <v>line item not tagged</v>
          </cell>
        </row>
        <row r="13399">
          <cell r="W13399">
            <v>0</v>
          </cell>
          <cell r="AB13399" t="str">
            <v>line item not tagged</v>
          </cell>
        </row>
        <row r="13400">
          <cell r="W13400">
            <v>0</v>
          </cell>
          <cell r="AB13400" t="str">
            <v>line item not tagged</v>
          </cell>
        </row>
        <row r="13401">
          <cell r="W13401">
            <v>0</v>
          </cell>
          <cell r="AB13401" t="str">
            <v>line item not tagged</v>
          </cell>
        </row>
        <row r="13402">
          <cell r="W13402">
            <v>0</v>
          </cell>
          <cell r="AB13402" t="str">
            <v>line item not tagged</v>
          </cell>
        </row>
        <row r="13403">
          <cell r="W13403">
            <v>0</v>
          </cell>
          <cell r="AB13403" t="str">
            <v>line item not tagged</v>
          </cell>
        </row>
        <row r="13404">
          <cell r="W13404">
            <v>0</v>
          </cell>
          <cell r="AB13404" t="str">
            <v>line item not tagged</v>
          </cell>
        </row>
        <row r="13405">
          <cell r="W13405">
            <v>0</v>
          </cell>
          <cell r="AB13405" t="str">
            <v>line item not tagged</v>
          </cell>
        </row>
        <row r="13406">
          <cell r="W13406">
            <v>0</v>
          </cell>
          <cell r="AB13406" t="str">
            <v>line item not tagged</v>
          </cell>
        </row>
        <row r="13407">
          <cell r="W13407">
            <v>0</v>
          </cell>
          <cell r="AB13407" t="str">
            <v>line item not tagged</v>
          </cell>
        </row>
        <row r="13408">
          <cell r="W13408">
            <v>0</v>
          </cell>
          <cell r="AB13408" t="str">
            <v>line item not tagged</v>
          </cell>
        </row>
        <row r="13409">
          <cell r="W13409">
            <v>0</v>
          </cell>
          <cell r="AB13409" t="str">
            <v>line item not tagged</v>
          </cell>
        </row>
        <row r="13410">
          <cell r="W13410">
            <v>0</v>
          </cell>
          <cell r="AB13410" t="str">
            <v>line item not tagged</v>
          </cell>
        </row>
        <row r="13411">
          <cell r="W13411">
            <v>0</v>
          </cell>
          <cell r="AB13411" t="str">
            <v>line item not tagged</v>
          </cell>
        </row>
        <row r="13412">
          <cell r="W13412">
            <v>0</v>
          </cell>
          <cell r="AB13412" t="str">
            <v>line item not tagged</v>
          </cell>
        </row>
        <row r="13413">
          <cell r="W13413">
            <v>0</v>
          </cell>
          <cell r="AB13413" t="str">
            <v>line item not tagged</v>
          </cell>
        </row>
        <row r="13414">
          <cell r="W13414">
            <v>0</v>
          </cell>
          <cell r="AB13414" t="str">
            <v>line item not tagged</v>
          </cell>
        </row>
        <row r="13415">
          <cell r="W13415">
            <v>0</v>
          </cell>
          <cell r="AB13415" t="str">
            <v>line item not tagged</v>
          </cell>
        </row>
        <row r="13416">
          <cell r="W13416">
            <v>0</v>
          </cell>
          <cell r="AB13416" t="str">
            <v>line item not tagged</v>
          </cell>
        </row>
        <row r="13417">
          <cell r="W13417">
            <v>0</v>
          </cell>
          <cell r="AB13417" t="str">
            <v>line item not tagged</v>
          </cell>
        </row>
        <row r="13418">
          <cell r="W13418">
            <v>0</v>
          </cell>
          <cell r="AB13418" t="str">
            <v>line item not tagged</v>
          </cell>
        </row>
        <row r="13419">
          <cell r="W13419">
            <v>0</v>
          </cell>
          <cell r="AB13419" t="str">
            <v>line item not tagged</v>
          </cell>
        </row>
        <row r="13420">
          <cell r="W13420">
            <v>0</v>
          </cell>
          <cell r="AB13420" t="str">
            <v>line item not tagged</v>
          </cell>
        </row>
        <row r="13421">
          <cell r="W13421">
            <v>0</v>
          </cell>
          <cell r="AB13421" t="str">
            <v>line item not tagged</v>
          </cell>
        </row>
        <row r="13422">
          <cell r="W13422">
            <v>0</v>
          </cell>
          <cell r="AB13422" t="str">
            <v>line item not tagged</v>
          </cell>
        </row>
        <row r="13423">
          <cell r="W13423">
            <v>0</v>
          </cell>
          <cell r="AB13423" t="str">
            <v>line item not tagged</v>
          </cell>
        </row>
        <row r="13424">
          <cell r="W13424">
            <v>0</v>
          </cell>
          <cell r="AB13424" t="str">
            <v>line item not tagged</v>
          </cell>
        </row>
        <row r="13425">
          <cell r="W13425">
            <v>0</v>
          </cell>
          <cell r="AB13425" t="str">
            <v>line item not tagged</v>
          </cell>
        </row>
        <row r="13426">
          <cell r="W13426">
            <v>0</v>
          </cell>
          <cell r="AB13426" t="str">
            <v>line item not tagged</v>
          </cell>
        </row>
        <row r="13427">
          <cell r="W13427">
            <v>0</v>
          </cell>
          <cell r="AB13427" t="str">
            <v>line item not tagged</v>
          </cell>
        </row>
        <row r="13428">
          <cell r="W13428">
            <v>0</v>
          </cell>
          <cell r="AB13428" t="str">
            <v>line item not tagged</v>
          </cell>
        </row>
        <row r="13429">
          <cell r="W13429">
            <v>0</v>
          </cell>
          <cell r="AB13429" t="str">
            <v>line item not tagged</v>
          </cell>
        </row>
        <row r="13430">
          <cell r="W13430">
            <v>0</v>
          </cell>
          <cell r="AB13430" t="str">
            <v>line item not tagged</v>
          </cell>
        </row>
        <row r="13431">
          <cell r="W13431">
            <v>0</v>
          </cell>
          <cell r="AB13431" t="str">
            <v>line item not tagged</v>
          </cell>
        </row>
        <row r="13432">
          <cell r="W13432">
            <v>0</v>
          </cell>
          <cell r="AB13432" t="str">
            <v>line item not tagged</v>
          </cell>
        </row>
        <row r="13433">
          <cell r="W13433">
            <v>0</v>
          </cell>
          <cell r="AB13433" t="str">
            <v>line item not tagged</v>
          </cell>
        </row>
        <row r="13434">
          <cell r="W13434">
            <v>0</v>
          </cell>
          <cell r="AB13434" t="str">
            <v>line item not tagged</v>
          </cell>
        </row>
        <row r="13435">
          <cell r="W13435">
            <v>0</v>
          </cell>
          <cell r="AB13435" t="str">
            <v>line item not tagged</v>
          </cell>
        </row>
        <row r="13436">
          <cell r="W13436">
            <v>0</v>
          </cell>
          <cell r="AB13436" t="str">
            <v>line item not tagged</v>
          </cell>
        </row>
        <row r="13437">
          <cell r="W13437">
            <v>0</v>
          </cell>
          <cell r="AB13437" t="str">
            <v>line item not tagged</v>
          </cell>
        </row>
        <row r="13438">
          <cell r="W13438">
            <v>0</v>
          </cell>
          <cell r="AB13438" t="str">
            <v>line item not tagged</v>
          </cell>
        </row>
        <row r="13439">
          <cell r="W13439">
            <v>0</v>
          </cell>
          <cell r="AB13439" t="str">
            <v>line item not tagged</v>
          </cell>
        </row>
        <row r="13440">
          <cell r="W13440">
            <v>0</v>
          </cell>
          <cell r="AB13440" t="str">
            <v>line item not tagged</v>
          </cell>
        </row>
        <row r="13441">
          <cell r="W13441">
            <v>0</v>
          </cell>
          <cell r="AB13441" t="str">
            <v>line item not tagged</v>
          </cell>
        </row>
        <row r="13442">
          <cell r="W13442">
            <v>0</v>
          </cell>
          <cell r="AB13442" t="str">
            <v>line item not tagged</v>
          </cell>
        </row>
        <row r="13443">
          <cell r="W13443">
            <v>0</v>
          </cell>
          <cell r="AB13443" t="str">
            <v>line item not tagged</v>
          </cell>
        </row>
        <row r="13444">
          <cell r="W13444">
            <v>0</v>
          </cell>
          <cell r="AB13444" t="str">
            <v>line item not tagged</v>
          </cell>
        </row>
        <row r="13445">
          <cell r="W13445">
            <v>0</v>
          </cell>
          <cell r="AB13445" t="str">
            <v>line item not tagged</v>
          </cell>
        </row>
        <row r="13446">
          <cell r="W13446">
            <v>0</v>
          </cell>
          <cell r="AB13446" t="str">
            <v>line item not tagged</v>
          </cell>
        </row>
        <row r="13447">
          <cell r="W13447">
            <v>0</v>
          </cell>
          <cell r="AB13447" t="str">
            <v>line item not tagged</v>
          </cell>
        </row>
        <row r="13448">
          <cell r="W13448">
            <v>0</v>
          </cell>
          <cell r="AB13448" t="str">
            <v>line item not tagged</v>
          </cell>
        </row>
        <row r="13449">
          <cell r="W13449">
            <v>0</v>
          </cell>
          <cell r="AB13449" t="str">
            <v>line item not tagged</v>
          </cell>
        </row>
        <row r="13450">
          <cell r="W13450">
            <v>0</v>
          </cell>
          <cell r="AB13450" t="str">
            <v>line item not tagged</v>
          </cell>
        </row>
        <row r="13451">
          <cell r="W13451">
            <v>0</v>
          </cell>
          <cell r="AB13451" t="str">
            <v>line item not tagged</v>
          </cell>
        </row>
        <row r="13452">
          <cell r="W13452">
            <v>0</v>
          </cell>
          <cell r="AB13452" t="str">
            <v>line item not tagged</v>
          </cell>
        </row>
        <row r="13453">
          <cell r="W13453">
            <v>0</v>
          </cell>
          <cell r="AB13453" t="str">
            <v>line item not tagged</v>
          </cell>
        </row>
        <row r="13454">
          <cell r="W13454">
            <v>0</v>
          </cell>
          <cell r="AB13454" t="str">
            <v>line item not tagged</v>
          </cell>
        </row>
        <row r="13455">
          <cell r="W13455">
            <v>0</v>
          </cell>
          <cell r="AB13455" t="str">
            <v>line item not tagged</v>
          </cell>
        </row>
        <row r="13456">
          <cell r="W13456">
            <v>0</v>
          </cell>
          <cell r="AB13456" t="str">
            <v>line item not tagged</v>
          </cell>
        </row>
        <row r="13457">
          <cell r="W13457">
            <v>0</v>
          </cell>
          <cell r="AB13457" t="str">
            <v>line item not tagged</v>
          </cell>
        </row>
        <row r="13458">
          <cell r="W13458">
            <v>0</v>
          </cell>
          <cell r="AB13458" t="str">
            <v>line item not tagged</v>
          </cell>
        </row>
        <row r="13459">
          <cell r="W13459">
            <v>0</v>
          </cell>
          <cell r="AB13459" t="str">
            <v>line item not tagged</v>
          </cell>
        </row>
        <row r="13460">
          <cell r="W13460">
            <v>0</v>
          </cell>
          <cell r="AB13460" t="str">
            <v>line item not tagged</v>
          </cell>
        </row>
        <row r="13461">
          <cell r="W13461">
            <v>0</v>
          </cell>
          <cell r="AB13461" t="str">
            <v>line item not tagged</v>
          </cell>
        </row>
        <row r="13462">
          <cell r="W13462">
            <v>0</v>
          </cell>
          <cell r="AB13462" t="str">
            <v>line item not tagged</v>
          </cell>
        </row>
        <row r="13463">
          <cell r="W13463">
            <v>0</v>
          </cell>
          <cell r="AB13463" t="str">
            <v>line item not tagged</v>
          </cell>
        </row>
        <row r="13464">
          <cell r="W13464">
            <v>0</v>
          </cell>
          <cell r="AB13464" t="str">
            <v>line item not tagged</v>
          </cell>
        </row>
        <row r="13465">
          <cell r="W13465">
            <v>0</v>
          </cell>
          <cell r="AB13465" t="str">
            <v>line item not tagged</v>
          </cell>
        </row>
        <row r="13466">
          <cell r="W13466">
            <v>0</v>
          </cell>
          <cell r="AB13466" t="str">
            <v>line item not tagged</v>
          </cell>
        </row>
        <row r="13467">
          <cell r="W13467">
            <v>0</v>
          </cell>
          <cell r="AB13467" t="str">
            <v>line item not tagged</v>
          </cell>
        </row>
        <row r="13468">
          <cell r="W13468">
            <v>0</v>
          </cell>
          <cell r="AB13468" t="str">
            <v>line item not tagged</v>
          </cell>
        </row>
        <row r="13469">
          <cell r="W13469">
            <v>0</v>
          </cell>
          <cell r="AB13469" t="str">
            <v>line item not tagged</v>
          </cell>
        </row>
        <row r="13470">
          <cell r="W13470">
            <v>0</v>
          </cell>
          <cell r="AB13470" t="str">
            <v>line item not tagged</v>
          </cell>
        </row>
        <row r="13471">
          <cell r="W13471">
            <v>0</v>
          </cell>
          <cell r="AB13471" t="str">
            <v>line item not tagged</v>
          </cell>
        </row>
        <row r="13472">
          <cell r="W13472">
            <v>0</v>
          </cell>
          <cell r="AB13472" t="str">
            <v>line item not tagged</v>
          </cell>
        </row>
        <row r="13473">
          <cell r="W13473">
            <v>0</v>
          </cell>
          <cell r="AB13473" t="str">
            <v>line item not tagged</v>
          </cell>
        </row>
        <row r="13474">
          <cell r="W13474">
            <v>0</v>
          </cell>
          <cell r="AB13474" t="str">
            <v>line item not tagged</v>
          </cell>
        </row>
        <row r="13475">
          <cell r="W13475">
            <v>0</v>
          </cell>
          <cell r="AB13475" t="str">
            <v>line item not tagged</v>
          </cell>
        </row>
        <row r="13476">
          <cell r="W13476">
            <v>0</v>
          </cell>
          <cell r="AB13476" t="str">
            <v>line item not tagged</v>
          </cell>
        </row>
        <row r="13477">
          <cell r="W13477">
            <v>0</v>
          </cell>
          <cell r="AB13477" t="str">
            <v>line item not tagged</v>
          </cell>
        </row>
        <row r="13478">
          <cell r="W13478">
            <v>0</v>
          </cell>
          <cell r="AB13478" t="str">
            <v>line item not tagged</v>
          </cell>
        </row>
        <row r="13479">
          <cell r="W13479">
            <v>0</v>
          </cell>
          <cell r="AB13479" t="str">
            <v>line item not tagged</v>
          </cell>
        </row>
        <row r="13480">
          <cell r="W13480">
            <v>0</v>
          </cell>
          <cell r="AB13480" t="str">
            <v>line item not tagged</v>
          </cell>
        </row>
        <row r="13481">
          <cell r="W13481">
            <v>0</v>
          </cell>
          <cell r="AB13481" t="str">
            <v>line item not tagged</v>
          </cell>
        </row>
        <row r="13482">
          <cell r="W13482">
            <v>0</v>
          </cell>
          <cell r="AB13482" t="str">
            <v>line item not tagged</v>
          </cell>
        </row>
        <row r="13483">
          <cell r="W13483">
            <v>0</v>
          </cell>
          <cell r="AB13483" t="str">
            <v>line item not tagged</v>
          </cell>
        </row>
        <row r="13484">
          <cell r="W13484">
            <v>0</v>
          </cell>
          <cell r="AB13484" t="str">
            <v>line item not tagged</v>
          </cell>
        </row>
        <row r="13485">
          <cell r="W13485">
            <v>0</v>
          </cell>
          <cell r="AB13485" t="str">
            <v>line item not tagged</v>
          </cell>
        </row>
        <row r="13486">
          <cell r="W13486">
            <v>0</v>
          </cell>
          <cell r="AB13486" t="str">
            <v>line item not tagged</v>
          </cell>
        </row>
        <row r="13487">
          <cell r="W13487">
            <v>0</v>
          </cell>
          <cell r="AB13487" t="str">
            <v>line item not tagged</v>
          </cell>
        </row>
        <row r="13488">
          <cell r="W13488">
            <v>0</v>
          </cell>
          <cell r="AB13488" t="str">
            <v>line item not tagged</v>
          </cell>
        </row>
        <row r="13489">
          <cell r="W13489">
            <v>0</v>
          </cell>
          <cell r="AB13489" t="str">
            <v>line item not tagged</v>
          </cell>
        </row>
        <row r="13490">
          <cell r="W13490">
            <v>0</v>
          </cell>
          <cell r="AB13490" t="str">
            <v>line item not tagged</v>
          </cell>
        </row>
        <row r="13491">
          <cell r="W13491">
            <v>0</v>
          </cell>
          <cell r="AB13491" t="str">
            <v>line item not tagged</v>
          </cell>
        </row>
        <row r="13492">
          <cell r="W13492">
            <v>0</v>
          </cell>
          <cell r="AB13492" t="str">
            <v>line item not tagged</v>
          </cell>
        </row>
        <row r="13493">
          <cell r="W13493">
            <v>0</v>
          </cell>
          <cell r="AB13493" t="str">
            <v>line item not tagged</v>
          </cell>
        </row>
        <row r="13494">
          <cell r="W13494">
            <v>0</v>
          </cell>
          <cell r="AB13494" t="str">
            <v>line item not tagged</v>
          </cell>
        </row>
        <row r="13495">
          <cell r="W13495">
            <v>0</v>
          </cell>
          <cell r="AB13495" t="str">
            <v>line item not tagged</v>
          </cell>
        </row>
        <row r="13496">
          <cell r="W13496">
            <v>0</v>
          </cell>
          <cell r="AB13496" t="str">
            <v>line item not tagged</v>
          </cell>
        </row>
        <row r="13497">
          <cell r="W13497">
            <v>0</v>
          </cell>
          <cell r="AB13497" t="str">
            <v>line item not tagged</v>
          </cell>
        </row>
        <row r="13498">
          <cell r="W13498">
            <v>0</v>
          </cell>
          <cell r="AB13498" t="str">
            <v>line item not tagged</v>
          </cell>
        </row>
        <row r="13499">
          <cell r="W13499">
            <v>0</v>
          </cell>
          <cell r="AB13499" t="str">
            <v>line item not tagged</v>
          </cell>
        </row>
        <row r="13500">
          <cell r="W13500">
            <v>0</v>
          </cell>
          <cell r="AB13500" t="str">
            <v>line item not tagged</v>
          </cell>
        </row>
        <row r="13501">
          <cell r="W13501">
            <v>0</v>
          </cell>
          <cell r="AB13501" t="str">
            <v>line item not tagged</v>
          </cell>
        </row>
        <row r="13502">
          <cell r="W13502">
            <v>0</v>
          </cell>
          <cell r="AB13502" t="str">
            <v>line item not tagged</v>
          </cell>
        </row>
        <row r="13503">
          <cell r="W13503">
            <v>0</v>
          </cell>
          <cell r="AB13503" t="str">
            <v>line item not tagged</v>
          </cell>
        </row>
        <row r="13504">
          <cell r="W13504">
            <v>0</v>
          </cell>
          <cell r="AB13504" t="str">
            <v>line item not tagged</v>
          </cell>
        </row>
        <row r="13505">
          <cell r="W13505">
            <v>0</v>
          </cell>
          <cell r="AB13505" t="str">
            <v>line item not tagged</v>
          </cell>
        </row>
        <row r="13506">
          <cell r="W13506">
            <v>0</v>
          </cell>
          <cell r="AB13506" t="str">
            <v>line item not tagged</v>
          </cell>
        </row>
        <row r="13507">
          <cell r="W13507">
            <v>0</v>
          </cell>
          <cell r="AB13507" t="str">
            <v>line item not tagged</v>
          </cell>
        </row>
        <row r="13508">
          <cell r="W13508">
            <v>0</v>
          </cell>
          <cell r="AB13508" t="str">
            <v>line item not tagged</v>
          </cell>
        </row>
        <row r="13509">
          <cell r="W13509">
            <v>0</v>
          </cell>
          <cell r="AB13509" t="str">
            <v>line item not tagged</v>
          </cell>
        </row>
        <row r="13510">
          <cell r="W13510">
            <v>0</v>
          </cell>
          <cell r="AB13510" t="str">
            <v>line item not tagged</v>
          </cell>
        </row>
        <row r="13511">
          <cell r="W13511">
            <v>0</v>
          </cell>
          <cell r="AB13511" t="str">
            <v>line item not tagged</v>
          </cell>
        </row>
        <row r="13512">
          <cell r="W13512">
            <v>0</v>
          </cell>
          <cell r="AB13512" t="str">
            <v>line item not tagged</v>
          </cell>
        </row>
        <row r="13513">
          <cell r="W13513">
            <v>0</v>
          </cell>
          <cell r="AB13513" t="str">
            <v>line item not tagged</v>
          </cell>
        </row>
        <row r="13514">
          <cell r="W13514">
            <v>0</v>
          </cell>
          <cell r="AB13514" t="str">
            <v>line item not tagged</v>
          </cell>
        </row>
        <row r="13515">
          <cell r="W13515">
            <v>0</v>
          </cell>
          <cell r="AB13515" t="str">
            <v>line item not tagged</v>
          </cell>
        </row>
        <row r="13516">
          <cell r="W13516">
            <v>0</v>
          </cell>
          <cell r="AB13516" t="str">
            <v>line item not tagged</v>
          </cell>
        </row>
        <row r="13517">
          <cell r="W13517">
            <v>0</v>
          </cell>
          <cell r="AB13517" t="str">
            <v>line item not tagged</v>
          </cell>
        </row>
        <row r="13518">
          <cell r="W13518">
            <v>0</v>
          </cell>
          <cell r="AB13518" t="str">
            <v>line item not tagged</v>
          </cell>
        </row>
        <row r="13519">
          <cell r="W13519">
            <v>0</v>
          </cell>
          <cell r="AB13519" t="str">
            <v>line item not tagged</v>
          </cell>
        </row>
        <row r="13520">
          <cell r="W13520">
            <v>0</v>
          </cell>
          <cell r="AB13520" t="str">
            <v>line item not tagged</v>
          </cell>
        </row>
        <row r="13521">
          <cell r="W13521">
            <v>0</v>
          </cell>
          <cell r="AB13521" t="str">
            <v>line item not tagged</v>
          </cell>
        </row>
        <row r="13522">
          <cell r="W13522">
            <v>0</v>
          </cell>
          <cell r="AB13522" t="str">
            <v>line item not tagged</v>
          </cell>
        </row>
        <row r="13523">
          <cell r="W13523">
            <v>0</v>
          </cell>
          <cell r="AB13523" t="str">
            <v>line item not tagged</v>
          </cell>
        </row>
        <row r="13524">
          <cell r="W13524">
            <v>0</v>
          </cell>
          <cell r="AB13524" t="str">
            <v>line item not tagged</v>
          </cell>
        </row>
        <row r="13525">
          <cell r="W13525">
            <v>0</v>
          </cell>
          <cell r="AB13525" t="str">
            <v>line item not tagged</v>
          </cell>
        </row>
        <row r="13526">
          <cell r="W13526">
            <v>0</v>
          </cell>
          <cell r="AB13526" t="str">
            <v>line item not tagged</v>
          </cell>
        </row>
        <row r="13527">
          <cell r="W13527">
            <v>0</v>
          </cell>
          <cell r="AB13527" t="str">
            <v>line item not tagged</v>
          </cell>
        </row>
        <row r="13528">
          <cell r="W13528">
            <v>0</v>
          </cell>
          <cell r="AB13528" t="str">
            <v>line item not tagged</v>
          </cell>
        </row>
        <row r="13529">
          <cell r="W13529">
            <v>0</v>
          </cell>
          <cell r="AB13529" t="str">
            <v>line item not tagged</v>
          </cell>
        </row>
        <row r="13530">
          <cell r="W13530">
            <v>0</v>
          </cell>
          <cell r="AB13530" t="str">
            <v>line item not tagged</v>
          </cell>
        </row>
        <row r="13531">
          <cell r="W13531">
            <v>0</v>
          </cell>
          <cell r="AB13531" t="str">
            <v>line item not tagged</v>
          </cell>
        </row>
        <row r="13532">
          <cell r="W13532">
            <v>0</v>
          </cell>
          <cell r="AB13532" t="str">
            <v>line item not tagged</v>
          </cell>
        </row>
        <row r="13533">
          <cell r="W13533">
            <v>0</v>
          </cell>
          <cell r="AB13533" t="str">
            <v>line item not tagged</v>
          </cell>
        </row>
        <row r="13534">
          <cell r="W13534">
            <v>0</v>
          </cell>
          <cell r="AB13534" t="str">
            <v>line item not tagged</v>
          </cell>
        </row>
        <row r="13535">
          <cell r="W13535">
            <v>0</v>
          </cell>
          <cell r="AB13535" t="str">
            <v>line item not tagged</v>
          </cell>
        </row>
        <row r="13536">
          <cell r="W13536">
            <v>0</v>
          </cell>
          <cell r="AB13536" t="str">
            <v>line item not tagged</v>
          </cell>
        </row>
        <row r="13537">
          <cell r="W13537">
            <v>0</v>
          </cell>
          <cell r="AB13537" t="str">
            <v>line item not tagged</v>
          </cell>
        </row>
        <row r="13538">
          <cell r="W13538">
            <v>0</v>
          </cell>
          <cell r="AB13538" t="str">
            <v>line item not tagged</v>
          </cell>
        </row>
        <row r="13539">
          <cell r="W13539">
            <v>0</v>
          </cell>
          <cell r="AB13539" t="str">
            <v>line item not tagged</v>
          </cell>
        </row>
        <row r="13540">
          <cell r="W13540">
            <v>0</v>
          </cell>
          <cell r="AB13540" t="str">
            <v>line item not tagged</v>
          </cell>
        </row>
        <row r="13541">
          <cell r="W13541">
            <v>0</v>
          </cell>
          <cell r="AB13541" t="str">
            <v>line item not tagged</v>
          </cell>
        </row>
        <row r="13542">
          <cell r="W13542">
            <v>0</v>
          </cell>
          <cell r="AB13542" t="str">
            <v>line item not tagged</v>
          </cell>
        </row>
        <row r="13543">
          <cell r="W13543">
            <v>0</v>
          </cell>
          <cell r="AB13543" t="str">
            <v>line item not tagged</v>
          </cell>
        </row>
        <row r="13544">
          <cell r="W13544">
            <v>0</v>
          </cell>
          <cell r="AB13544" t="str">
            <v>line item not tagged</v>
          </cell>
        </row>
        <row r="13545">
          <cell r="W13545">
            <v>0</v>
          </cell>
          <cell r="AB13545" t="str">
            <v>line item not tagged</v>
          </cell>
        </row>
        <row r="13546">
          <cell r="W13546">
            <v>0</v>
          </cell>
          <cell r="AB13546" t="str">
            <v>line item not tagged</v>
          </cell>
        </row>
        <row r="13547">
          <cell r="W13547">
            <v>0</v>
          </cell>
          <cell r="AB13547" t="str">
            <v>line item not tagged</v>
          </cell>
        </row>
        <row r="13548">
          <cell r="W13548">
            <v>0</v>
          </cell>
          <cell r="AB13548" t="str">
            <v>line item not tagged</v>
          </cell>
        </row>
        <row r="13549">
          <cell r="W13549">
            <v>0</v>
          </cell>
          <cell r="AB13549" t="str">
            <v>line item not tagged</v>
          </cell>
        </row>
        <row r="13550">
          <cell r="W13550">
            <v>0</v>
          </cell>
          <cell r="AB13550" t="str">
            <v>line item not tagged</v>
          </cell>
        </row>
        <row r="13551">
          <cell r="W13551">
            <v>0</v>
          </cell>
          <cell r="AB13551" t="str">
            <v>line item not tagged</v>
          </cell>
        </row>
        <row r="13552">
          <cell r="W13552">
            <v>0</v>
          </cell>
          <cell r="AB13552" t="str">
            <v>line item not tagged</v>
          </cell>
        </row>
        <row r="13553">
          <cell r="W13553">
            <v>0</v>
          </cell>
          <cell r="AB13553" t="str">
            <v>line item not tagged</v>
          </cell>
        </row>
        <row r="13554">
          <cell r="W13554">
            <v>0</v>
          </cell>
          <cell r="AB13554" t="str">
            <v>line item not tagged</v>
          </cell>
        </row>
        <row r="13555">
          <cell r="W13555">
            <v>0</v>
          </cell>
          <cell r="AB13555" t="str">
            <v>line item not tagged</v>
          </cell>
        </row>
        <row r="13556">
          <cell r="W13556">
            <v>0</v>
          </cell>
          <cell r="AB13556" t="str">
            <v>line item not tagged</v>
          </cell>
        </row>
        <row r="13557">
          <cell r="W13557">
            <v>0</v>
          </cell>
          <cell r="AB13557" t="str">
            <v>line item not tagged</v>
          </cell>
        </row>
        <row r="13558">
          <cell r="W13558">
            <v>0</v>
          </cell>
          <cell r="AB13558" t="str">
            <v>line item not tagged</v>
          </cell>
        </row>
        <row r="13559">
          <cell r="W13559">
            <v>0</v>
          </cell>
          <cell r="AB13559" t="str">
            <v>line item not tagged</v>
          </cell>
        </row>
        <row r="13560">
          <cell r="W13560">
            <v>0</v>
          </cell>
          <cell r="AB13560" t="str">
            <v>line item not tagged</v>
          </cell>
        </row>
        <row r="13561">
          <cell r="W13561">
            <v>0</v>
          </cell>
          <cell r="AB13561" t="str">
            <v>line item not tagged</v>
          </cell>
        </row>
        <row r="13562">
          <cell r="W13562">
            <v>0</v>
          </cell>
          <cell r="AB13562" t="str">
            <v>line item not tagged</v>
          </cell>
        </row>
        <row r="13563">
          <cell r="W13563">
            <v>0</v>
          </cell>
          <cell r="AB13563" t="str">
            <v>line item not tagged</v>
          </cell>
        </row>
        <row r="13564">
          <cell r="W13564">
            <v>0</v>
          </cell>
          <cell r="AB13564" t="str">
            <v>line item not tagged</v>
          </cell>
        </row>
        <row r="13565">
          <cell r="W13565">
            <v>0</v>
          </cell>
          <cell r="AB13565" t="str">
            <v>line item not tagged</v>
          </cell>
        </row>
        <row r="13566">
          <cell r="W13566">
            <v>0</v>
          </cell>
          <cell r="AB13566" t="str">
            <v>line item not tagged</v>
          </cell>
        </row>
        <row r="13567">
          <cell r="W13567">
            <v>0</v>
          </cell>
          <cell r="AB13567" t="str">
            <v>line item not tagged</v>
          </cell>
        </row>
        <row r="13568">
          <cell r="W13568">
            <v>0</v>
          </cell>
          <cell r="AB13568" t="str">
            <v>line item not tagged</v>
          </cell>
        </row>
        <row r="13569">
          <cell r="W13569">
            <v>0</v>
          </cell>
          <cell r="AB13569" t="str">
            <v>line item not tagged</v>
          </cell>
        </row>
        <row r="13570">
          <cell r="W13570">
            <v>0</v>
          </cell>
          <cell r="AB13570" t="str">
            <v>line item not tagged</v>
          </cell>
        </row>
        <row r="13571">
          <cell r="W13571">
            <v>0</v>
          </cell>
          <cell r="AB13571" t="str">
            <v>line item not tagged</v>
          </cell>
        </row>
        <row r="13572">
          <cell r="W13572">
            <v>0</v>
          </cell>
          <cell r="AB13572" t="str">
            <v>line item not tagged</v>
          </cell>
        </row>
        <row r="13573">
          <cell r="W13573">
            <v>0</v>
          </cell>
          <cell r="AB13573" t="str">
            <v>line item not tagged</v>
          </cell>
        </row>
        <row r="13574">
          <cell r="W13574">
            <v>0</v>
          </cell>
          <cell r="AB13574" t="str">
            <v>line item not tagged</v>
          </cell>
        </row>
        <row r="13575">
          <cell r="W13575">
            <v>0</v>
          </cell>
          <cell r="AB13575" t="str">
            <v>line item not tagged</v>
          </cell>
        </row>
        <row r="13576">
          <cell r="W13576">
            <v>0</v>
          </cell>
          <cell r="AB13576" t="str">
            <v>line item not tagged</v>
          </cell>
        </row>
        <row r="13577">
          <cell r="W13577">
            <v>0</v>
          </cell>
          <cell r="AB13577" t="str">
            <v>line item not tagged</v>
          </cell>
        </row>
        <row r="13578">
          <cell r="W13578">
            <v>0</v>
          </cell>
          <cell r="AB13578" t="str">
            <v>line item not tagged</v>
          </cell>
        </row>
        <row r="13579">
          <cell r="W13579">
            <v>0</v>
          </cell>
          <cell r="AB13579" t="str">
            <v>line item not tagged</v>
          </cell>
        </row>
        <row r="13580">
          <cell r="W13580">
            <v>0</v>
          </cell>
          <cell r="AB13580" t="str">
            <v>line item not tagged</v>
          </cell>
        </row>
        <row r="13581">
          <cell r="W13581">
            <v>0</v>
          </cell>
          <cell r="AB13581" t="str">
            <v>line item not tagged</v>
          </cell>
        </row>
        <row r="13582">
          <cell r="W13582">
            <v>0</v>
          </cell>
          <cell r="AB13582" t="str">
            <v>line item not tagged</v>
          </cell>
        </row>
        <row r="13583">
          <cell r="W13583">
            <v>0</v>
          </cell>
          <cell r="AB13583" t="str">
            <v>line item not tagged</v>
          </cell>
        </row>
        <row r="13584">
          <cell r="W13584">
            <v>0</v>
          </cell>
          <cell r="AB13584" t="str">
            <v>line item not tagged</v>
          </cell>
        </row>
        <row r="13585">
          <cell r="W13585">
            <v>0</v>
          </cell>
          <cell r="AB13585" t="str">
            <v>line item not tagged</v>
          </cell>
        </row>
        <row r="13586">
          <cell r="W13586">
            <v>0</v>
          </cell>
          <cell r="AB13586" t="str">
            <v>line item not tagged</v>
          </cell>
        </row>
        <row r="13587">
          <cell r="W13587">
            <v>0</v>
          </cell>
          <cell r="AB13587" t="str">
            <v>line item not tagged</v>
          </cell>
        </row>
        <row r="13588">
          <cell r="W13588">
            <v>0</v>
          </cell>
          <cell r="AB13588" t="str">
            <v>line item not tagged</v>
          </cell>
        </row>
        <row r="13589">
          <cell r="W13589">
            <v>0</v>
          </cell>
          <cell r="AB13589" t="str">
            <v>line item not tagged</v>
          </cell>
        </row>
        <row r="13590">
          <cell r="W13590">
            <v>0</v>
          </cell>
          <cell r="AB13590" t="str">
            <v>line item not tagged</v>
          </cell>
        </row>
        <row r="13591">
          <cell r="W13591">
            <v>0</v>
          </cell>
          <cell r="AB13591" t="str">
            <v>line item not tagged</v>
          </cell>
        </row>
        <row r="13592">
          <cell r="W13592">
            <v>0</v>
          </cell>
          <cell r="AB13592" t="str">
            <v>line item not tagged</v>
          </cell>
        </row>
        <row r="13593">
          <cell r="W13593">
            <v>0</v>
          </cell>
          <cell r="AB13593" t="str">
            <v>line item not tagged</v>
          </cell>
        </row>
        <row r="13594">
          <cell r="W13594">
            <v>0</v>
          </cell>
          <cell r="AB13594" t="str">
            <v>line item not tagged</v>
          </cell>
        </row>
        <row r="13595">
          <cell r="W13595">
            <v>0</v>
          </cell>
          <cell r="AB13595" t="str">
            <v>line item not tagged</v>
          </cell>
        </row>
        <row r="13596">
          <cell r="W13596">
            <v>0</v>
          </cell>
          <cell r="AB13596" t="str">
            <v>line item not tagged</v>
          </cell>
        </row>
        <row r="13597">
          <cell r="W13597">
            <v>0</v>
          </cell>
          <cell r="AB13597" t="str">
            <v>line item not tagged</v>
          </cell>
        </row>
        <row r="13598">
          <cell r="W13598">
            <v>0</v>
          </cell>
          <cell r="AB13598" t="str">
            <v>line item not tagged</v>
          </cell>
        </row>
        <row r="13599">
          <cell r="W13599">
            <v>0</v>
          </cell>
          <cell r="AB13599" t="str">
            <v>line item not tagged</v>
          </cell>
        </row>
        <row r="13600">
          <cell r="W13600">
            <v>0</v>
          </cell>
          <cell r="AB13600" t="str">
            <v>line item not tagged</v>
          </cell>
        </row>
        <row r="13601">
          <cell r="W13601">
            <v>0</v>
          </cell>
          <cell r="AB13601" t="str">
            <v>line item not tagged</v>
          </cell>
        </row>
        <row r="13602">
          <cell r="W13602">
            <v>0</v>
          </cell>
          <cell r="AB13602" t="str">
            <v>line item not tagged</v>
          </cell>
        </row>
        <row r="13603">
          <cell r="W13603">
            <v>0</v>
          </cell>
          <cell r="AB13603" t="str">
            <v>line item not tagged</v>
          </cell>
        </row>
        <row r="13604">
          <cell r="W13604">
            <v>0</v>
          </cell>
          <cell r="AB13604" t="str">
            <v>line item not tagged</v>
          </cell>
        </row>
        <row r="13605">
          <cell r="W13605">
            <v>0</v>
          </cell>
          <cell r="AB13605" t="str">
            <v>line item not tagged</v>
          </cell>
        </row>
        <row r="13606">
          <cell r="W13606">
            <v>0</v>
          </cell>
          <cell r="AB13606" t="str">
            <v>line item not tagged</v>
          </cell>
        </row>
        <row r="13607">
          <cell r="W13607">
            <v>0</v>
          </cell>
          <cell r="AB13607" t="str">
            <v>line item not tagged</v>
          </cell>
        </row>
        <row r="13608">
          <cell r="W13608">
            <v>0</v>
          </cell>
          <cell r="AB13608" t="str">
            <v>line item not tagged</v>
          </cell>
        </row>
        <row r="13609">
          <cell r="W13609">
            <v>0</v>
          </cell>
          <cell r="AB13609" t="str">
            <v>line item not tagged</v>
          </cell>
        </row>
        <row r="13610">
          <cell r="W13610">
            <v>0</v>
          </cell>
          <cell r="AB13610" t="str">
            <v>line item not tagged</v>
          </cell>
        </row>
        <row r="13611">
          <cell r="W13611">
            <v>0</v>
          </cell>
          <cell r="AB13611" t="str">
            <v>line item not tagged</v>
          </cell>
        </row>
        <row r="13612">
          <cell r="W13612">
            <v>0</v>
          </cell>
          <cell r="AB13612" t="str">
            <v>line item not tagged</v>
          </cell>
        </row>
        <row r="13613">
          <cell r="W13613">
            <v>0</v>
          </cell>
          <cell r="AB13613" t="str">
            <v>line item not tagged</v>
          </cell>
        </row>
        <row r="13614">
          <cell r="W13614">
            <v>0</v>
          </cell>
          <cell r="AB13614" t="str">
            <v>line item not tagged</v>
          </cell>
        </row>
        <row r="13615">
          <cell r="W13615">
            <v>0</v>
          </cell>
          <cell r="AB13615" t="str">
            <v>line item not tagged</v>
          </cell>
        </row>
        <row r="13616">
          <cell r="W13616">
            <v>0</v>
          </cell>
          <cell r="AB13616" t="str">
            <v>line item not tagged</v>
          </cell>
        </row>
        <row r="13617">
          <cell r="W13617">
            <v>0</v>
          </cell>
          <cell r="AB13617" t="str">
            <v>line item not tagged</v>
          </cell>
        </row>
        <row r="13618">
          <cell r="W13618">
            <v>0</v>
          </cell>
          <cell r="AB13618" t="str">
            <v>line item not tagged</v>
          </cell>
        </row>
        <row r="13619">
          <cell r="W13619">
            <v>0</v>
          </cell>
          <cell r="AB13619" t="str">
            <v>line item not tagged</v>
          </cell>
        </row>
        <row r="13620">
          <cell r="W13620">
            <v>0</v>
          </cell>
          <cell r="AB13620" t="str">
            <v>line item not tagged</v>
          </cell>
        </row>
        <row r="13621">
          <cell r="W13621">
            <v>0</v>
          </cell>
          <cell r="AB13621" t="str">
            <v>line item not tagged</v>
          </cell>
        </row>
        <row r="13622">
          <cell r="W13622">
            <v>0</v>
          </cell>
          <cell r="AB13622" t="str">
            <v>line item not tagged</v>
          </cell>
        </row>
        <row r="13623">
          <cell r="W13623">
            <v>0</v>
          </cell>
          <cell r="AB13623" t="str">
            <v>line item not tagged</v>
          </cell>
        </row>
        <row r="13624">
          <cell r="W13624">
            <v>0</v>
          </cell>
          <cell r="AB13624" t="str">
            <v>line item not tagged</v>
          </cell>
        </row>
        <row r="13625">
          <cell r="W13625">
            <v>0</v>
          </cell>
          <cell r="AB13625" t="str">
            <v>line item not tagged</v>
          </cell>
        </row>
        <row r="13626">
          <cell r="W13626">
            <v>0</v>
          </cell>
          <cell r="AB13626" t="str">
            <v>line item not tagged</v>
          </cell>
        </row>
        <row r="13627">
          <cell r="W13627">
            <v>0</v>
          </cell>
          <cell r="AB13627" t="str">
            <v>line item not tagged</v>
          </cell>
        </row>
        <row r="13628">
          <cell r="W13628">
            <v>0</v>
          </cell>
          <cell r="AB13628" t="str">
            <v>line item not tagged</v>
          </cell>
        </row>
        <row r="13629">
          <cell r="W13629">
            <v>0</v>
          </cell>
          <cell r="AB13629" t="str">
            <v>line item not tagged</v>
          </cell>
        </row>
        <row r="13630">
          <cell r="W13630">
            <v>0</v>
          </cell>
          <cell r="AB13630" t="str">
            <v>line item not tagged</v>
          </cell>
        </row>
        <row r="13631">
          <cell r="W13631">
            <v>0</v>
          </cell>
          <cell r="AB13631" t="str">
            <v>line item not tagged</v>
          </cell>
        </row>
        <row r="13632">
          <cell r="W13632">
            <v>0</v>
          </cell>
          <cell r="AB13632" t="str">
            <v>line item not tagged</v>
          </cell>
        </row>
        <row r="13633">
          <cell r="W13633">
            <v>0</v>
          </cell>
          <cell r="AB13633" t="str">
            <v>line item not tagged</v>
          </cell>
        </row>
        <row r="13634">
          <cell r="W13634">
            <v>0</v>
          </cell>
          <cell r="AB13634" t="str">
            <v>line item not tagged</v>
          </cell>
        </row>
        <row r="13635">
          <cell r="W13635">
            <v>0</v>
          </cell>
          <cell r="AB13635" t="str">
            <v>line item not tagged</v>
          </cell>
        </row>
        <row r="13636">
          <cell r="W13636">
            <v>0</v>
          </cell>
          <cell r="AB13636" t="str">
            <v>line item not tagged</v>
          </cell>
        </row>
        <row r="13637">
          <cell r="W13637">
            <v>0</v>
          </cell>
          <cell r="AB13637" t="str">
            <v>line item not tagged</v>
          </cell>
        </row>
        <row r="13638">
          <cell r="W13638">
            <v>0</v>
          </cell>
          <cell r="AB13638" t="str">
            <v>line item not tagged</v>
          </cell>
        </row>
        <row r="13639">
          <cell r="W13639">
            <v>0</v>
          </cell>
          <cell r="AB13639" t="str">
            <v>line item not tagged</v>
          </cell>
        </row>
        <row r="13640">
          <cell r="W13640">
            <v>0</v>
          </cell>
          <cell r="AB13640" t="str">
            <v>line item not tagged</v>
          </cell>
        </row>
        <row r="13641">
          <cell r="W13641">
            <v>0</v>
          </cell>
          <cell r="AB13641" t="str">
            <v>line item not tagged</v>
          </cell>
        </row>
        <row r="13642">
          <cell r="W13642">
            <v>0</v>
          </cell>
          <cell r="AB13642" t="str">
            <v>line item not tagged</v>
          </cell>
        </row>
        <row r="13643">
          <cell r="W13643">
            <v>0</v>
          </cell>
          <cell r="AB13643" t="str">
            <v>line item not tagged</v>
          </cell>
        </row>
        <row r="13644">
          <cell r="W13644">
            <v>0</v>
          </cell>
          <cell r="AB13644" t="str">
            <v>line item not tagged</v>
          </cell>
        </row>
        <row r="13645">
          <cell r="W13645">
            <v>0</v>
          </cell>
          <cell r="AB13645" t="str">
            <v>line item not tagged</v>
          </cell>
        </row>
        <row r="13646">
          <cell r="W13646">
            <v>0</v>
          </cell>
          <cell r="AB13646" t="str">
            <v>line item not tagged</v>
          </cell>
        </row>
        <row r="13647">
          <cell r="W13647">
            <v>0</v>
          </cell>
          <cell r="AB13647" t="str">
            <v>line item not tagged</v>
          </cell>
        </row>
        <row r="13648">
          <cell r="W13648">
            <v>0</v>
          </cell>
          <cell r="AB13648" t="str">
            <v>line item not tagged</v>
          </cell>
        </row>
        <row r="13649">
          <cell r="W13649">
            <v>0</v>
          </cell>
          <cell r="AB13649" t="str">
            <v>line item not tagged</v>
          </cell>
        </row>
        <row r="13650">
          <cell r="W13650">
            <v>0</v>
          </cell>
          <cell r="AB13650" t="str">
            <v>line item not tagged</v>
          </cell>
        </row>
        <row r="13651">
          <cell r="W13651">
            <v>0</v>
          </cell>
          <cell r="AB13651" t="str">
            <v>line item not tagged</v>
          </cell>
        </row>
        <row r="13652">
          <cell r="W13652">
            <v>0</v>
          </cell>
          <cell r="AB13652" t="str">
            <v>line item not tagged</v>
          </cell>
        </row>
        <row r="13653">
          <cell r="W13653">
            <v>0</v>
          </cell>
          <cell r="AB13653" t="str">
            <v>line item not tagged</v>
          </cell>
        </row>
        <row r="13654">
          <cell r="W13654">
            <v>0</v>
          </cell>
          <cell r="AB13654" t="str">
            <v>line item not tagged</v>
          </cell>
        </row>
        <row r="13655">
          <cell r="W13655">
            <v>0</v>
          </cell>
          <cell r="AB13655" t="str">
            <v>line item not tagged</v>
          </cell>
        </row>
        <row r="13656">
          <cell r="W13656">
            <v>0</v>
          </cell>
          <cell r="AB13656" t="str">
            <v>line item not tagged</v>
          </cell>
        </row>
        <row r="13657">
          <cell r="W13657">
            <v>0</v>
          </cell>
          <cell r="AB13657" t="str">
            <v>line item not tagged</v>
          </cell>
        </row>
        <row r="13658">
          <cell r="W13658">
            <v>0</v>
          </cell>
          <cell r="AB13658" t="str">
            <v>line item not tagged</v>
          </cell>
        </row>
        <row r="13659">
          <cell r="W13659">
            <v>0</v>
          </cell>
          <cell r="AB13659" t="str">
            <v>line item not tagged</v>
          </cell>
        </row>
        <row r="13660">
          <cell r="W13660">
            <v>0</v>
          </cell>
          <cell r="AB13660" t="str">
            <v>line item not tagged</v>
          </cell>
        </row>
        <row r="13661">
          <cell r="W13661">
            <v>0</v>
          </cell>
          <cell r="AB13661" t="str">
            <v>line item not tagged</v>
          </cell>
        </row>
        <row r="13662">
          <cell r="W13662">
            <v>0</v>
          </cell>
          <cell r="AB13662" t="str">
            <v>line item not tagged</v>
          </cell>
        </row>
        <row r="13663">
          <cell r="W13663">
            <v>0</v>
          </cell>
          <cell r="AB13663" t="str">
            <v>line item not tagged</v>
          </cell>
        </row>
        <row r="13664">
          <cell r="W13664">
            <v>0</v>
          </cell>
          <cell r="AB13664" t="str">
            <v>line item not tagged</v>
          </cell>
        </row>
        <row r="13665">
          <cell r="W13665">
            <v>0</v>
          </cell>
          <cell r="AB13665" t="str">
            <v>line item not tagged</v>
          </cell>
        </row>
        <row r="13666">
          <cell r="W13666">
            <v>0</v>
          </cell>
          <cell r="AB13666" t="str">
            <v>line item not tagged</v>
          </cell>
        </row>
        <row r="13667">
          <cell r="W13667">
            <v>0</v>
          </cell>
          <cell r="AB13667" t="str">
            <v>line item not tagged</v>
          </cell>
        </row>
        <row r="13668">
          <cell r="W13668">
            <v>0</v>
          </cell>
          <cell r="AB13668" t="str">
            <v>line item not tagged</v>
          </cell>
        </row>
        <row r="13669">
          <cell r="W13669">
            <v>0</v>
          </cell>
          <cell r="AB13669" t="str">
            <v>line item not tagged</v>
          </cell>
        </row>
        <row r="13670">
          <cell r="W13670">
            <v>0</v>
          </cell>
          <cell r="AB13670" t="str">
            <v>line item not tagged</v>
          </cell>
        </row>
        <row r="13671">
          <cell r="W13671">
            <v>0</v>
          </cell>
          <cell r="AB13671" t="str">
            <v>line item not tagged</v>
          </cell>
        </row>
        <row r="13672">
          <cell r="W13672">
            <v>0</v>
          </cell>
          <cell r="AB13672" t="str">
            <v>line item not tagged</v>
          </cell>
        </row>
        <row r="13673">
          <cell r="W13673">
            <v>0</v>
          </cell>
          <cell r="AB13673" t="str">
            <v>line item not tagged</v>
          </cell>
        </row>
        <row r="13674">
          <cell r="W13674">
            <v>0</v>
          </cell>
          <cell r="AB13674" t="str">
            <v>line item not tagged</v>
          </cell>
        </row>
        <row r="13675">
          <cell r="W13675">
            <v>0</v>
          </cell>
          <cell r="AB13675" t="str">
            <v>line item not tagged</v>
          </cell>
        </row>
        <row r="13676">
          <cell r="W13676">
            <v>0</v>
          </cell>
          <cell r="AB13676" t="str">
            <v>line item not tagged</v>
          </cell>
        </row>
        <row r="13677">
          <cell r="W13677">
            <v>0</v>
          </cell>
          <cell r="AB13677" t="str">
            <v>line item not tagged</v>
          </cell>
        </row>
        <row r="13678">
          <cell r="W13678">
            <v>0</v>
          </cell>
          <cell r="AB13678" t="str">
            <v>line item not tagged</v>
          </cell>
        </row>
        <row r="13679">
          <cell r="W13679">
            <v>0</v>
          </cell>
          <cell r="AB13679" t="str">
            <v>line item not tagged</v>
          </cell>
        </row>
        <row r="13680">
          <cell r="W13680">
            <v>0</v>
          </cell>
          <cell r="AB13680" t="str">
            <v>line item not tagged</v>
          </cell>
        </row>
        <row r="13681">
          <cell r="W13681">
            <v>0</v>
          </cell>
          <cell r="AB13681" t="str">
            <v>line item not tagged</v>
          </cell>
        </row>
        <row r="13682">
          <cell r="W13682">
            <v>0</v>
          </cell>
          <cell r="AB13682" t="str">
            <v>line item not tagged</v>
          </cell>
        </row>
        <row r="13683">
          <cell r="W13683">
            <v>0</v>
          </cell>
          <cell r="AB13683" t="str">
            <v>line item not tagged</v>
          </cell>
        </row>
        <row r="13684">
          <cell r="W13684">
            <v>0</v>
          </cell>
          <cell r="AB13684" t="str">
            <v>line item not tagged</v>
          </cell>
        </row>
        <row r="13685">
          <cell r="W13685">
            <v>0</v>
          </cell>
          <cell r="AB13685" t="str">
            <v>line item not tagged</v>
          </cell>
        </row>
        <row r="13686">
          <cell r="W13686">
            <v>0</v>
          </cell>
          <cell r="AB13686" t="str">
            <v>line item not tagged</v>
          </cell>
        </row>
        <row r="13687">
          <cell r="W13687">
            <v>0</v>
          </cell>
          <cell r="AB13687" t="str">
            <v>line item not tagged</v>
          </cell>
        </row>
        <row r="13688">
          <cell r="W13688">
            <v>0</v>
          </cell>
          <cell r="AB13688" t="str">
            <v>line item not tagged</v>
          </cell>
        </row>
        <row r="13689">
          <cell r="W13689">
            <v>0</v>
          </cell>
          <cell r="AB13689" t="str">
            <v>line item not tagged</v>
          </cell>
        </row>
        <row r="13690">
          <cell r="W13690">
            <v>0</v>
          </cell>
          <cell r="AB13690" t="str">
            <v>line item not tagged</v>
          </cell>
        </row>
        <row r="13691">
          <cell r="W13691">
            <v>0</v>
          </cell>
          <cell r="AB13691" t="str">
            <v>line item not tagged</v>
          </cell>
        </row>
        <row r="13692">
          <cell r="W13692">
            <v>0</v>
          </cell>
          <cell r="AB13692" t="str">
            <v>line item not tagged</v>
          </cell>
        </row>
        <row r="13693">
          <cell r="W13693">
            <v>0</v>
          </cell>
          <cell r="AB13693" t="str">
            <v>line item not tagged</v>
          </cell>
        </row>
        <row r="13694">
          <cell r="W13694">
            <v>0</v>
          </cell>
          <cell r="AB13694" t="str">
            <v>line item not tagged</v>
          </cell>
        </row>
        <row r="13695">
          <cell r="W13695">
            <v>0</v>
          </cell>
          <cell r="AB13695" t="str">
            <v>line item not tagged</v>
          </cell>
        </row>
        <row r="13696">
          <cell r="W13696">
            <v>0</v>
          </cell>
          <cell r="AB13696" t="str">
            <v>line item not tagged</v>
          </cell>
        </row>
        <row r="13697">
          <cell r="W13697">
            <v>0</v>
          </cell>
          <cell r="AB13697" t="str">
            <v>line item not tagged</v>
          </cell>
        </row>
        <row r="13698">
          <cell r="W13698">
            <v>0</v>
          </cell>
          <cell r="AB13698" t="str">
            <v>line item not tagged</v>
          </cell>
        </row>
        <row r="13699">
          <cell r="W13699">
            <v>0</v>
          </cell>
          <cell r="AB13699" t="str">
            <v>line item not tagged</v>
          </cell>
        </row>
        <row r="13700">
          <cell r="W13700">
            <v>0</v>
          </cell>
          <cell r="AB13700" t="str">
            <v>line item not tagged</v>
          </cell>
        </row>
        <row r="13701">
          <cell r="W13701">
            <v>0</v>
          </cell>
          <cell r="AB13701" t="str">
            <v>line item not tagged</v>
          </cell>
        </row>
        <row r="13702">
          <cell r="W13702">
            <v>0</v>
          </cell>
          <cell r="AB13702" t="str">
            <v>line item not tagged</v>
          </cell>
        </row>
        <row r="13703">
          <cell r="W13703">
            <v>0</v>
          </cell>
          <cell r="AB13703" t="str">
            <v>line item not tagged</v>
          </cell>
        </row>
        <row r="13704">
          <cell r="W13704">
            <v>0</v>
          </cell>
          <cell r="AB13704" t="str">
            <v>line item not tagged</v>
          </cell>
        </row>
        <row r="13705">
          <cell r="W13705">
            <v>0</v>
          </cell>
          <cell r="AB13705" t="str">
            <v>line item not tagged</v>
          </cell>
        </row>
        <row r="13706">
          <cell r="W13706">
            <v>0</v>
          </cell>
          <cell r="AB13706" t="str">
            <v>line item not tagged</v>
          </cell>
        </row>
        <row r="13707">
          <cell r="W13707">
            <v>0</v>
          </cell>
          <cell r="AB13707" t="str">
            <v>line item not tagged</v>
          </cell>
        </row>
        <row r="13708">
          <cell r="W13708">
            <v>0</v>
          </cell>
          <cell r="AB13708" t="str">
            <v>line item not tagged</v>
          </cell>
        </row>
        <row r="13709">
          <cell r="W13709">
            <v>0</v>
          </cell>
          <cell r="AB13709" t="str">
            <v>line item not tagged</v>
          </cell>
        </row>
        <row r="13710">
          <cell r="W13710">
            <v>0</v>
          </cell>
          <cell r="AB13710" t="str">
            <v>line item not tagged</v>
          </cell>
        </row>
        <row r="13711">
          <cell r="W13711">
            <v>0</v>
          </cell>
          <cell r="AB13711" t="str">
            <v>line item not tagged</v>
          </cell>
        </row>
        <row r="13712">
          <cell r="W13712">
            <v>0</v>
          </cell>
          <cell r="AB13712" t="str">
            <v>line item not tagged</v>
          </cell>
        </row>
        <row r="13713">
          <cell r="W13713">
            <v>0</v>
          </cell>
          <cell r="AB13713" t="str">
            <v>line item not tagged</v>
          </cell>
        </row>
        <row r="13714">
          <cell r="W13714">
            <v>0</v>
          </cell>
          <cell r="AB13714" t="str">
            <v>line item not tagged</v>
          </cell>
        </row>
        <row r="13715">
          <cell r="W13715">
            <v>0</v>
          </cell>
          <cell r="AB13715" t="str">
            <v>line item not tagged</v>
          </cell>
        </row>
        <row r="13716">
          <cell r="W13716">
            <v>0</v>
          </cell>
          <cell r="AB13716" t="str">
            <v>line item not tagged</v>
          </cell>
        </row>
        <row r="13717">
          <cell r="W13717">
            <v>0</v>
          </cell>
          <cell r="AB13717" t="str">
            <v>line item not tagged</v>
          </cell>
        </row>
        <row r="13718">
          <cell r="W13718">
            <v>0</v>
          </cell>
          <cell r="AB13718" t="str">
            <v>line item not tagged</v>
          </cell>
        </row>
        <row r="13719">
          <cell r="W13719">
            <v>0</v>
          </cell>
          <cell r="AB13719" t="str">
            <v>line item not tagged</v>
          </cell>
        </row>
        <row r="13720">
          <cell r="W13720">
            <v>0</v>
          </cell>
          <cell r="AB13720" t="str">
            <v>line item not tagged</v>
          </cell>
        </row>
        <row r="13721">
          <cell r="W13721">
            <v>0</v>
          </cell>
          <cell r="AB13721" t="str">
            <v>line item not tagged</v>
          </cell>
        </row>
        <row r="13722">
          <cell r="W13722">
            <v>0</v>
          </cell>
          <cell r="AB13722" t="str">
            <v>line item not tagged</v>
          </cell>
        </row>
        <row r="13723">
          <cell r="W13723">
            <v>0</v>
          </cell>
          <cell r="AB13723" t="str">
            <v>line item not tagged</v>
          </cell>
        </row>
        <row r="13724">
          <cell r="W13724">
            <v>0</v>
          </cell>
          <cell r="AB13724" t="str">
            <v>line item not tagged</v>
          </cell>
        </row>
        <row r="13725">
          <cell r="W13725">
            <v>0</v>
          </cell>
          <cell r="AB13725" t="str">
            <v>line item not tagged</v>
          </cell>
        </row>
        <row r="13726">
          <cell r="W13726">
            <v>0</v>
          </cell>
          <cell r="AB13726" t="str">
            <v>line item not tagged</v>
          </cell>
        </row>
        <row r="13727">
          <cell r="W13727">
            <v>0</v>
          </cell>
          <cell r="AB13727" t="str">
            <v>line item not tagged</v>
          </cell>
        </row>
        <row r="13728">
          <cell r="W13728">
            <v>0</v>
          </cell>
          <cell r="AB13728" t="str">
            <v>line item not tagged</v>
          </cell>
        </row>
        <row r="13729">
          <cell r="W13729">
            <v>0</v>
          </cell>
          <cell r="AB13729" t="str">
            <v>line item not tagged</v>
          </cell>
        </row>
        <row r="13730">
          <cell r="W13730">
            <v>0</v>
          </cell>
          <cell r="AB13730" t="str">
            <v>line item not tagged</v>
          </cell>
        </row>
        <row r="13731">
          <cell r="W13731">
            <v>0</v>
          </cell>
          <cell r="AB13731" t="str">
            <v>line item not tagged</v>
          </cell>
        </row>
        <row r="13732">
          <cell r="W13732">
            <v>0</v>
          </cell>
          <cell r="AB13732" t="str">
            <v>line item not tagged</v>
          </cell>
        </row>
        <row r="13733">
          <cell r="W13733">
            <v>0</v>
          </cell>
          <cell r="AB13733" t="str">
            <v>line item not tagged</v>
          </cell>
        </row>
        <row r="13734">
          <cell r="W13734">
            <v>0</v>
          </cell>
          <cell r="AB13734" t="str">
            <v>line item not tagged</v>
          </cell>
        </row>
        <row r="13735">
          <cell r="W13735">
            <v>0</v>
          </cell>
          <cell r="AB13735" t="str">
            <v>line item not tagged</v>
          </cell>
        </row>
        <row r="13736">
          <cell r="W13736">
            <v>0</v>
          </cell>
          <cell r="AB13736" t="str">
            <v>line item not tagged</v>
          </cell>
        </row>
        <row r="13737">
          <cell r="W13737">
            <v>0</v>
          </cell>
          <cell r="AB13737" t="str">
            <v>line item not tagged</v>
          </cell>
        </row>
        <row r="13738">
          <cell r="W13738">
            <v>0</v>
          </cell>
          <cell r="AB13738" t="str">
            <v>line item not tagged</v>
          </cell>
        </row>
        <row r="13739">
          <cell r="W13739">
            <v>0</v>
          </cell>
          <cell r="AB13739" t="str">
            <v>line item not tagged</v>
          </cell>
        </row>
        <row r="13740">
          <cell r="W13740">
            <v>0</v>
          </cell>
          <cell r="AB13740" t="str">
            <v>line item not tagged</v>
          </cell>
        </row>
        <row r="13741">
          <cell r="W13741">
            <v>0</v>
          </cell>
          <cell r="AB13741" t="str">
            <v>line item not tagged</v>
          </cell>
        </row>
        <row r="13742">
          <cell r="W13742">
            <v>0</v>
          </cell>
          <cell r="AB13742" t="str">
            <v>line item not tagged</v>
          </cell>
        </row>
        <row r="13743">
          <cell r="W13743">
            <v>0</v>
          </cell>
          <cell r="AB13743" t="str">
            <v>line item not tagged</v>
          </cell>
        </row>
        <row r="13744">
          <cell r="W13744">
            <v>0</v>
          </cell>
          <cell r="AB13744" t="str">
            <v>line item not tagged</v>
          </cell>
        </row>
        <row r="13745">
          <cell r="W13745">
            <v>0</v>
          </cell>
          <cell r="AB13745" t="str">
            <v>line item not tagged</v>
          </cell>
        </row>
        <row r="13746">
          <cell r="W13746">
            <v>0</v>
          </cell>
          <cell r="AB13746" t="str">
            <v>line item not tagged</v>
          </cell>
        </row>
        <row r="13747">
          <cell r="W13747">
            <v>0</v>
          </cell>
          <cell r="AB13747" t="str">
            <v>line item not tagged</v>
          </cell>
        </row>
        <row r="13748">
          <cell r="W13748">
            <v>0</v>
          </cell>
          <cell r="AB13748" t="str">
            <v>line item not tagged</v>
          </cell>
        </row>
        <row r="13749">
          <cell r="W13749">
            <v>0</v>
          </cell>
          <cell r="AB13749" t="str">
            <v>line item not tagged</v>
          </cell>
        </row>
        <row r="13750">
          <cell r="W13750">
            <v>0</v>
          </cell>
          <cell r="AB13750" t="str">
            <v>line item not tagged</v>
          </cell>
        </row>
        <row r="13751">
          <cell r="W13751">
            <v>0</v>
          </cell>
          <cell r="AB13751" t="str">
            <v>line item not tagged</v>
          </cell>
        </row>
        <row r="13752">
          <cell r="W13752">
            <v>0</v>
          </cell>
          <cell r="AB13752" t="str">
            <v>line item not tagged</v>
          </cell>
        </row>
        <row r="13753">
          <cell r="W13753">
            <v>0</v>
          </cell>
          <cell r="AB13753" t="str">
            <v>line item not tagged</v>
          </cell>
        </row>
        <row r="13754">
          <cell r="W13754">
            <v>0</v>
          </cell>
          <cell r="AB13754" t="str">
            <v>line item not tagged</v>
          </cell>
        </row>
        <row r="13755">
          <cell r="W13755">
            <v>0</v>
          </cell>
          <cell r="AB13755" t="str">
            <v>line item not tagged</v>
          </cell>
        </row>
        <row r="13756">
          <cell r="W13756">
            <v>0</v>
          </cell>
          <cell r="AB13756" t="str">
            <v>line item not tagged</v>
          </cell>
        </row>
        <row r="13757">
          <cell r="W13757">
            <v>0</v>
          </cell>
          <cell r="AB13757" t="str">
            <v>line item not tagged</v>
          </cell>
        </row>
        <row r="13758">
          <cell r="W13758">
            <v>0</v>
          </cell>
          <cell r="AB13758" t="str">
            <v>line item not tagged</v>
          </cell>
        </row>
        <row r="13759">
          <cell r="W13759">
            <v>0</v>
          </cell>
          <cell r="AB13759" t="str">
            <v>line item not tagged</v>
          </cell>
        </row>
        <row r="13760">
          <cell r="W13760">
            <v>0</v>
          </cell>
          <cell r="AB13760" t="str">
            <v>line item not tagged</v>
          </cell>
        </row>
        <row r="13761">
          <cell r="W13761">
            <v>0</v>
          </cell>
          <cell r="AB13761" t="str">
            <v>line item not tagged</v>
          </cell>
        </row>
        <row r="13762">
          <cell r="W13762">
            <v>0</v>
          </cell>
          <cell r="AB13762" t="str">
            <v>line item not tagged</v>
          </cell>
        </row>
        <row r="13763">
          <cell r="W13763">
            <v>0</v>
          </cell>
          <cell r="AB13763" t="str">
            <v>line item not tagged</v>
          </cell>
        </row>
        <row r="13764">
          <cell r="W13764">
            <v>0</v>
          </cell>
          <cell r="AB13764" t="str">
            <v>line item not tagged</v>
          </cell>
        </row>
        <row r="13765">
          <cell r="W13765">
            <v>0</v>
          </cell>
          <cell r="AB13765" t="str">
            <v>line item not tagged</v>
          </cell>
        </row>
        <row r="13766">
          <cell r="W13766">
            <v>0</v>
          </cell>
          <cell r="AB13766" t="str">
            <v>line item not tagged</v>
          </cell>
        </row>
        <row r="13767">
          <cell r="W13767">
            <v>0</v>
          </cell>
          <cell r="AB13767" t="str">
            <v>line item not tagged</v>
          </cell>
        </row>
        <row r="13768">
          <cell r="W13768">
            <v>0</v>
          </cell>
          <cell r="AB13768" t="str">
            <v>line item not tagged</v>
          </cell>
        </row>
        <row r="13769">
          <cell r="W13769">
            <v>0</v>
          </cell>
          <cell r="AB13769" t="str">
            <v>line item not tagged</v>
          </cell>
        </row>
        <row r="13770">
          <cell r="W13770">
            <v>0</v>
          </cell>
          <cell r="AB13770" t="str">
            <v>line item not tagged</v>
          </cell>
        </row>
        <row r="13771">
          <cell r="W13771">
            <v>0</v>
          </cell>
          <cell r="AB13771" t="str">
            <v>line item not tagged</v>
          </cell>
        </row>
        <row r="13772">
          <cell r="W13772">
            <v>0</v>
          </cell>
          <cell r="AB13772" t="str">
            <v>line item not tagged</v>
          </cell>
        </row>
        <row r="13773">
          <cell r="W13773">
            <v>0</v>
          </cell>
          <cell r="AB13773" t="str">
            <v>line item not tagged</v>
          </cell>
        </row>
        <row r="13774">
          <cell r="W13774">
            <v>0</v>
          </cell>
          <cell r="AB13774" t="str">
            <v>line item not tagged</v>
          </cell>
        </row>
        <row r="13775">
          <cell r="W13775">
            <v>0</v>
          </cell>
          <cell r="AB13775" t="str">
            <v>line item not tagged</v>
          </cell>
        </row>
        <row r="13776">
          <cell r="W13776">
            <v>0</v>
          </cell>
          <cell r="AB13776" t="str">
            <v>line item not tagged</v>
          </cell>
        </row>
        <row r="13777">
          <cell r="W13777">
            <v>0</v>
          </cell>
          <cell r="AB13777" t="str">
            <v>line item not tagged</v>
          </cell>
        </row>
        <row r="13778">
          <cell r="W13778">
            <v>0</v>
          </cell>
          <cell r="AB13778" t="str">
            <v>line item not tagged</v>
          </cell>
        </row>
        <row r="13779">
          <cell r="W13779">
            <v>0</v>
          </cell>
          <cell r="AB13779" t="str">
            <v>line item not tagged</v>
          </cell>
        </row>
        <row r="13780">
          <cell r="W13780">
            <v>0</v>
          </cell>
          <cell r="AB13780" t="str">
            <v>line item not tagged</v>
          </cell>
        </row>
        <row r="13781">
          <cell r="W13781">
            <v>0</v>
          </cell>
          <cell r="AB13781" t="str">
            <v>line item not tagged</v>
          </cell>
        </row>
        <row r="13782">
          <cell r="W13782">
            <v>0</v>
          </cell>
          <cell r="AB13782" t="str">
            <v>line item not tagged</v>
          </cell>
        </row>
        <row r="13783">
          <cell r="W13783">
            <v>0</v>
          </cell>
          <cell r="AB13783" t="str">
            <v>line item not tagged</v>
          </cell>
        </row>
        <row r="13784">
          <cell r="W13784">
            <v>0</v>
          </cell>
          <cell r="AB13784" t="str">
            <v>line item not tagged</v>
          </cell>
        </row>
        <row r="13785">
          <cell r="W13785">
            <v>0</v>
          </cell>
          <cell r="AB13785" t="str">
            <v>line item not tagged</v>
          </cell>
        </row>
        <row r="13786">
          <cell r="W13786">
            <v>0</v>
          </cell>
          <cell r="AB13786" t="str">
            <v>line item not tagged</v>
          </cell>
        </row>
        <row r="13787">
          <cell r="W13787">
            <v>0</v>
          </cell>
          <cell r="AB13787" t="str">
            <v>line item not tagged</v>
          </cell>
        </row>
        <row r="13788">
          <cell r="W13788">
            <v>0</v>
          </cell>
          <cell r="AB13788" t="str">
            <v>line item not tagged</v>
          </cell>
        </row>
        <row r="13789">
          <cell r="W13789">
            <v>0</v>
          </cell>
          <cell r="AB13789" t="str">
            <v>line item not tagged</v>
          </cell>
        </row>
        <row r="13790">
          <cell r="W13790">
            <v>0</v>
          </cell>
          <cell r="AB13790" t="str">
            <v>line item not tagged</v>
          </cell>
        </row>
        <row r="13791">
          <cell r="W13791">
            <v>0</v>
          </cell>
          <cell r="AB13791" t="str">
            <v>line item not tagged</v>
          </cell>
        </row>
        <row r="13792">
          <cell r="W13792">
            <v>0</v>
          </cell>
          <cell r="AB13792" t="str">
            <v>line item not tagged</v>
          </cell>
        </row>
        <row r="13793">
          <cell r="W13793">
            <v>0</v>
          </cell>
          <cell r="AB13793" t="str">
            <v>line item not tagged</v>
          </cell>
        </row>
        <row r="13794">
          <cell r="W13794">
            <v>0</v>
          </cell>
          <cell r="AB13794" t="str">
            <v>line item not tagged</v>
          </cell>
        </row>
        <row r="13795">
          <cell r="W13795">
            <v>0</v>
          </cell>
          <cell r="AB13795" t="str">
            <v>line item not tagged</v>
          </cell>
        </row>
        <row r="13796">
          <cell r="W13796">
            <v>0</v>
          </cell>
          <cell r="AB13796" t="str">
            <v>line item not tagged</v>
          </cell>
        </row>
        <row r="13797">
          <cell r="W13797">
            <v>0</v>
          </cell>
          <cell r="AB13797" t="str">
            <v>line item not tagged</v>
          </cell>
        </row>
        <row r="13798">
          <cell r="W13798">
            <v>0</v>
          </cell>
          <cell r="AB13798" t="str">
            <v>line item not tagged</v>
          </cell>
        </row>
        <row r="13799">
          <cell r="W13799">
            <v>0</v>
          </cell>
          <cell r="AB13799" t="str">
            <v>line item not tagged</v>
          </cell>
        </row>
        <row r="13800">
          <cell r="W13800">
            <v>0</v>
          </cell>
          <cell r="AB13800" t="str">
            <v>line item not tagged</v>
          </cell>
        </row>
        <row r="13801">
          <cell r="W13801">
            <v>0</v>
          </cell>
          <cell r="AB13801" t="str">
            <v>line item not tagged</v>
          </cell>
        </row>
        <row r="13802">
          <cell r="W13802">
            <v>0</v>
          </cell>
          <cell r="AB13802" t="str">
            <v>line item not tagged</v>
          </cell>
        </row>
        <row r="13803">
          <cell r="W13803">
            <v>0</v>
          </cell>
          <cell r="AB13803" t="str">
            <v>line item not tagged</v>
          </cell>
        </row>
        <row r="13804">
          <cell r="W13804">
            <v>0</v>
          </cell>
          <cell r="AB13804" t="str">
            <v>line item not tagged</v>
          </cell>
        </row>
        <row r="13805">
          <cell r="W13805">
            <v>0</v>
          </cell>
          <cell r="AB13805" t="str">
            <v>line item not tagged</v>
          </cell>
        </row>
        <row r="13806">
          <cell r="W13806">
            <v>0</v>
          </cell>
          <cell r="AB13806" t="str">
            <v>line item not tagged</v>
          </cell>
        </row>
        <row r="13807">
          <cell r="W13807">
            <v>0</v>
          </cell>
          <cell r="AB13807" t="str">
            <v>line item not tagged</v>
          </cell>
        </row>
        <row r="13808">
          <cell r="W13808">
            <v>0</v>
          </cell>
          <cell r="AB13808" t="str">
            <v>line item not tagged</v>
          </cell>
        </row>
        <row r="13809">
          <cell r="W13809">
            <v>0</v>
          </cell>
          <cell r="AB13809" t="str">
            <v>line item not tagged</v>
          </cell>
        </row>
        <row r="13810">
          <cell r="W13810">
            <v>0</v>
          </cell>
          <cell r="AB13810" t="str">
            <v>line item not tagged</v>
          </cell>
        </row>
        <row r="13811">
          <cell r="W13811">
            <v>0</v>
          </cell>
          <cell r="AB13811" t="str">
            <v>line item not tagged</v>
          </cell>
        </row>
        <row r="13812">
          <cell r="W13812">
            <v>0</v>
          </cell>
          <cell r="AB13812" t="str">
            <v>line item not tagged</v>
          </cell>
        </row>
        <row r="13813">
          <cell r="W13813">
            <v>0</v>
          </cell>
          <cell r="AB13813" t="str">
            <v>line item not tagged</v>
          </cell>
        </row>
        <row r="13814">
          <cell r="W13814">
            <v>0</v>
          </cell>
          <cell r="AB13814" t="str">
            <v>line item not tagged</v>
          </cell>
        </row>
        <row r="13815">
          <cell r="W13815">
            <v>0</v>
          </cell>
          <cell r="AB13815" t="str">
            <v>line item not tagged</v>
          </cell>
        </row>
        <row r="13816">
          <cell r="W13816">
            <v>0</v>
          </cell>
          <cell r="AB13816" t="str">
            <v>line item not tagged</v>
          </cell>
        </row>
        <row r="13817">
          <cell r="W13817">
            <v>0</v>
          </cell>
          <cell r="AB13817" t="str">
            <v>line item not tagged</v>
          </cell>
        </row>
        <row r="13818">
          <cell r="W13818">
            <v>0</v>
          </cell>
          <cell r="AB13818" t="str">
            <v>line item not tagged</v>
          </cell>
        </row>
        <row r="13819">
          <cell r="W13819">
            <v>0</v>
          </cell>
          <cell r="AB13819" t="str">
            <v>line item not tagged</v>
          </cell>
        </row>
        <row r="13820">
          <cell r="W13820">
            <v>0</v>
          </cell>
          <cell r="AB13820" t="str">
            <v>line item not tagged</v>
          </cell>
        </row>
        <row r="13821">
          <cell r="W13821">
            <v>0</v>
          </cell>
          <cell r="AB13821" t="str">
            <v>line item not tagged</v>
          </cell>
        </row>
        <row r="13822">
          <cell r="W13822">
            <v>0</v>
          </cell>
          <cell r="AB13822" t="str">
            <v>line item not tagged</v>
          </cell>
        </row>
        <row r="13823">
          <cell r="W13823">
            <v>0</v>
          </cell>
          <cell r="AB13823" t="str">
            <v>line item not tagged</v>
          </cell>
        </row>
        <row r="13824">
          <cell r="W13824">
            <v>0</v>
          </cell>
          <cell r="AB13824" t="str">
            <v>line item not tagged</v>
          </cell>
        </row>
        <row r="13825">
          <cell r="W13825">
            <v>0</v>
          </cell>
          <cell r="AB13825" t="str">
            <v>line item not tagged</v>
          </cell>
        </row>
        <row r="13826">
          <cell r="W13826">
            <v>0</v>
          </cell>
          <cell r="AB13826" t="str">
            <v>line item not tagged</v>
          </cell>
        </row>
        <row r="13827">
          <cell r="W13827">
            <v>0</v>
          </cell>
          <cell r="AB13827" t="str">
            <v>line item not tagged</v>
          </cell>
        </row>
        <row r="13828">
          <cell r="W13828">
            <v>0</v>
          </cell>
          <cell r="AB13828" t="str">
            <v>line item not tagged</v>
          </cell>
        </row>
        <row r="13829">
          <cell r="W13829">
            <v>0</v>
          </cell>
          <cell r="AB13829" t="str">
            <v>line item not tagged</v>
          </cell>
        </row>
        <row r="13830">
          <cell r="W13830">
            <v>0</v>
          </cell>
          <cell r="AB13830" t="str">
            <v>line item not tagged</v>
          </cell>
        </row>
        <row r="13831">
          <cell r="W13831">
            <v>0</v>
          </cell>
          <cell r="AB13831" t="str">
            <v>line item not tagged</v>
          </cell>
        </row>
        <row r="13832">
          <cell r="W13832">
            <v>0</v>
          </cell>
          <cell r="AB13832" t="str">
            <v>line item not tagged</v>
          </cell>
        </row>
        <row r="13833">
          <cell r="W13833">
            <v>0</v>
          </cell>
          <cell r="AB13833" t="str">
            <v>line item not tagged</v>
          </cell>
        </row>
        <row r="13834">
          <cell r="W13834">
            <v>0</v>
          </cell>
          <cell r="AB13834" t="str">
            <v>line item not tagged</v>
          </cell>
        </row>
        <row r="13835">
          <cell r="W13835">
            <v>0</v>
          </cell>
          <cell r="AB13835" t="str">
            <v>line item not tagged</v>
          </cell>
        </row>
        <row r="13836">
          <cell r="W13836">
            <v>0</v>
          </cell>
          <cell r="AB13836" t="str">
            <v>line item not tagged</v>
          </cell>
        </row>
        <row r="13837">
          <cell r="W13837">
            <v>0</v>
          </cell>
          <cell r="AB13837" t="str">
            <v>line item not tagged</v>
          </cell>
        </row>
        <row r="13838">
          <cell r="W13838">
            <v>0</v>
          </cell>
          <cell r="AB13838" t="str">
            <v>line item not tagged</v>
          </cell>
        </row>
        <row r="13839">
          <cell r="W13839">
            <v>0</v>
          </cell>
          <cell r="AB13839" t="str">
            <v>line item not tagged</v>
          </cell>
        </row>
        <row r="13840">
          <cell r="W13840">
            <v>0</v>
          </cell>
          <cell r="AB13840" t="str">
            <v>line item not tagged</v>
          </cell>
        </row>
        <row r="13841">
          <cell r="W13841">
            <v>0</v>
          </cell>
          <cell r="AB13841" t="str">
            <v>line item not tagged</v>
          </cell>
        </row>
        <row r="13842">
          <cell r="W13842">
            <v>0</v>
          </cell>
          <cell r="AB13842" t="str">
            <v>line item not tagged</v>
          </cell>
        </row>
        <row r="13843">
          <cell r="W13843">
            <v>0</v>
          </cell>
          <cell r="AB13843" t="str">
            <v>line item not tagged</v>
          </cell>
        </row>
        <row r="13844">
          <cell r="W13844">
            <v>0</v>
          </cell>
          <cell r="AB13844" t="str">
            <v>line item not tagged</v>
          </cell>
        </row>
        <row r="13845">
          <cell r="W13845">
            <v>0</v>
          </cell>
          <cell r="AB13845" t="str">
            <v>line item not tagged</v>
          </cell>
        </row>
        <row r="13846">
          <cell r="W13846">
            <v>0</v>
          </cell>
          <cell r="AB13846" t="str">
            <v>line item not tagged</v>
          </cell>
        </row>
        <row r="13847">
          <cell r="W13847">
            <v>0</v>
          </cell>
          <cell r="AB13847" t="str">
            <v>line item not tagged</v>
          </cell>
        </row>
        <row r="13848">
          <cell r="W13848">
            <v>0</v>
          </cell>
          <cell r="AB13848" t="str">
            <v>line item not tagged</v>
          </cell>
        </row>
        <row r="13849">
          <cell r="W13849">
            <v>0</v>
          </cell>
          <cell r="AB13849" t="str">
            <v>line item not tagged</v>
          </cell>
        </row>
        <row r="13850">
          <cell r="W13850">
            <v>0</v>
          </cell>
          <cell r="AB13850" t="str">
            <v>line item not tagged</v>
          </cell>
        </row>
        <row r="13851">
          <cell r="W13851">
            <v>0</v>
          </cell>
          <cell r="AB13851" t="str">
            <v>line item not tagged</v>
          </cell>
        </row>
        <row r="13852">
          <cell r="W13852">
            <v>0</v>
          </cell>
          <cell r="AB13852" t="str">
            <v>line item not tagged</v>
          </cell>
        </row>
        <row r="13853">
          <cell r="W13853">
            <v>0</v>
          </cell>
          <cell r="AB13853" t="str">
            <v>line item not tagged</v>
          </cell>
        </row>
        <row r="13854">
          <cell r="W13854">
            <v>0</v>
          </cell>
          <cell r="AB13854" t="str">
            <v>line item not tagged</v>
          </cell>
        </row>
        <row r="13855">
          <cell r="W13855">
            <v>0</v>
          </cell>
          <cell r="AB13855" t="str">
            <v>line item not tagged</v>
          </cell>
        </row>
        <row r="13856">
          <cell r="W13856">
            <v>0</v>
          </cell>
          <cell r="AB13856" t="str">
            <v>line item not tagged</v>
          </cell>
        </row>
        <row r="13857">
          <cell r="W13857">
            <v>0</v>
          </cell>
          <cell r="AB13857" t="str">
            <v>line item not tagged</v>
          </cell>
        </row>
        <row r="13858">
          <cell r="W13858">
            <v>0</v>
          </cell>
          <cell r="AB13858" t="str">
            <v>line item not tagged</v>
          </cell>
        </row>
        <row r="13859">
          <cell r="W13859">
            <v>0</v>
          </cell>
          <cell r="AB13859" t="str">
            <v>line item not tagged</v>
          </cell>
        </row>
        <row r="13860">
          <cell r="W13860">
            <v>0</v>
          </cell>
          <cell r="AB13860" t="str">
            <v>line item not tagged</v>
          </cell>
        </row>
        <row r="13861">
          <cell r="W13861">
            <v>0</v>
          </cell>
          <cell r="AB13861" t="str">
            <v>line item not tagged</v>
          </cell>
        </row>
        <row r="13862">
          <cell r="W13862">
            <v>0</v>
          </cell>
          <cell r="AB13862" t="str">
            <v>line item not tagged</v>
          </cell>
        </row>
        <row r="13863">
          <cell r="W13863">
            <v>0</v>
          </cell>
          <cell r="AB13863" t="str">
            <v>line item not tagged</v>
          </cell>
        </row>
        <row r="13864">
          <cell r="W13864">
            <v>0</v>
          </cell>
          <cell r="AB13864" t="str">
            <v>line item not tagged</v>
          </cell>
        </row>
        <row r="13865">
          <cell r="W13865">
            <v>0</v>
          </cell>
          <cell r="AB13865" t="str">
            <v>line item not tagged</v>
          </cell>
        </row>
        <row r="13866">
          <cell r="W13866">
            <v>0</v>
          </cell>
          <cell r="AB13866" t="str">
            <v>line item not tagged</v>
          </cell>
        </row>
        <row r="13867">
          <cell r="W13867">
            <v>0</v>
          </cell>
          <cell r="AB13867" t="str">
            <v>line item not tagged</v>
          </cell>
        </row>
        <row r="13868">
          <cell r="W13868">
            <v>0</v>
          </cell>
          <cell r="AB13868" t="str">
            <v>line item not tagged</v>
          </cell>
        </row>
        <row r="13869">
          <cell r="W13869">
            <v>0</v>
          </cell>
          <cell r="AB13869" t="str">
            <v>line item not tagged</v>
          </cell>
        </row>
        <row r="13870">
          <cell r="W13870">
            <v>0</v>
          </cell>
          <cell r="AB13870" t="str">
            <v>line item not tagged</v>
          </cell>
        </row>
        <row r="13871">
          <cell r="W13871">
            <v>0</v>
          </cell>
          <cell r="AB13871" t="str">
            <v>line item not tagged</v>
          </cell>
        </row>
        <row r="13872">
          <cell r="W13872">
            <v>0</v>
          </cell>
          <cell r="AB13872" t="str">
            <v>line item not tagged</v>
          </cell>
        </row>
        <row r="13873">
          <cell r="W13873">
            <v>0</v>
          </cell>
          <cell r="AB13873" t="str">
            <v>line item not tagged</v>
          </cell>
        </row>
        <row r="13874">
          <cell r="W13874">
            <v>0</v>
          </cell>
          <cell r="AB13874" t="str">
            <v>line item not tagged</v>
          </cell>
        </row>
        <row r="13875">
          <cell r="W13875">
            <v>0</v>
          </cell>
          <cell r="AB13875" t="str">
            <v>line item not tagged</v>
          </cell>
        </row>
        <row r="13876">
          <cell r="W13876">
            <v>0</v>
          </cell>
          <cell r="AB13876" t="str">
            <v>line item not tagged</v>
          </cell>
        </row>
        <row r="13877">
          <cell r="W13877">
            <v>0</v>
          </cell>
          <cell r="AB13877" t="str">
            <v>line item not tagged</v>
          </cell>
        </row>
        <row r="13878">
          <cell r="W13878">
            <v>0</v>
          </cell>
          <cell r="AB13878" t="str">
            <v>line item not tagged</v>
          </cell>
        </row>
        <row r="13879">
          <cell r="W13879">
            <v>0</v>
          </cell>
          <cell r="AB13879" t="str">
            <v>line item not tagged</v>
          </cell>
        </row>
        <row r="13880">
          <cell r="W13880">
            <v>0</v>
          </cell>
          <cell r="AB13880" t="str">
            <v>line item not tagged</v>
          </cell>
        </row>
        <row r="13881">
          <cell r="W13881">
            <v>0</v>
          </cell>
          <cell r="AB13881" t="str">
            <v>line item not tagged</v>
          </cell>
        </row>
        <row r="13882">
          <cell r="W13882">
            <v>0</v>
          </cell>
          <cell r="AB13882" t="str">
            <v>line item not tagged</v>
          </cell>
        </row>
        <row r="13883">
          <cell r="W13883">
            <v>0</v>
          </cell>
          <cell r="AB13883" t="str">
            <v>line item not tagged</v>
          </cell>
        </row>
        <row r="13884">
          <cell r="W13884">
            <v>0</v>
          </cell>
          <cell r="AB13884" t="str">
            <v>line item not tagged</v>
          </cell>
        </row>
        <row r="13885">
          <cell r="W13885">
            <v>0</v>
          </cell>
          <cell r="AB13885" t="str">
            <v>line item not tagged</v>
          </cell>
        </row>
        <row r="13886">
          <cell r="W13886">
            <v>0</v>
          </cell>
          <cell r="AB13886" t="str">
            <v>line item not tagged</v>
          </cell>
        </row>
        <row r="13887">
          <cell r="W13887">
            <v>0</v>
          </cell>
          <cell r="AB13887" t="str">
            <v>line item not tagged</v>
          </cell>
        </row>
        <row r="13888">
          <cell r="W13888">
            <v>0</v>
          </cell>
          <cell r="AB13888" t="str">
            <v>line item not tagged</v>
          </cell>
        </row>
        <row r="13889">
          <cell r="W13889">
            <v>0</v>
          </cell>
          <cell r="AB13889" t="str">
            <v>line item not tagged</v>
          </cell>
        </row>
        <row r="13890">
          <cell r="W13890">
            <v>0</v>
          </cell>
          <cell r="AB13890" t="str">
            <v>line item not tagged</v>
          </cell>
        </row>
        <row r="13891">
          <cell r="W13891">
            <v>0</v>
          </cell>
          <cell r="AB13891" t="str">
            <v>line item not tagged</v>
          </cell>
        </row>
        <row r="13892">
          <cell r="W13892">
            <v>0</v>
          </cell>
          <cell r="AB13892" t="str">
            <v>line item not tagged</v>
          </cell>
        </row>
        <row r="13893">
          <cell r="W13893">
            <v>0</v>
          </cell>
          <cell r="AB13893" t="str">
            <v>line item not tagged</v>
          </cell>
        </row>
        <row r="13894">
          <cell r="W13894">
            <v>0</v>
          </cell>
          <cell r="AB13894" t="str">
            <v>line item not tagged</v>
          </cell>
        </row>
        <row r="13895">
          <cell r="W13895">
            <v>0</v>
          </cell>
          <cell r="AB13895" t="str">
            <v>line item not tagged</v>
          </cell>
        </row>
        <row r="13896">
          <cell r="W13896">
            <v>0</v>
          </cell>
          <cell r="AB13896" t="str">
            <v>line item not tagged</v>
          </cell>
        </row>
        <row r="13897">
          <cell r="W13897">
            <v>0</v>
          </cell>
          <cell r="AB13897" t="str">
            <v>line item not tagged</v>
          </cell>
        </row>
        <row r="13898">
          <cell r="W13898">
            <v>0</v>
          </cell>
          <cell r="AB13898" t="str">
            <v>line item not tagged</v>
          </cell>
        </row>
        <row r="13899">
          <cell r="W13899">
            <v>0</v>
          </cell>
          <cell r="AB13899" t="str">
            <v>line item not tagged</v>
          </cell>
        </row>
        <row r="13900">
          <cell r="W13900">
            <v>0</v>
          </cell>
          <cell r="AB13900" t="str">
            <v>line item not tagged</v>
          </cell>
        </row>
        <row r="13901">
          <cell r="W13901">
            <v>0</v>
          </cell>
          <cell r="AB13901" t="str">
            <v>line item not tagged</v>
          </cell>
        </row>
        <row r="13902">
          <cell r="W13902">
            <v>0</v>
          </cell>
          <cell r="AB13902" t="str">
            <v>line item not tagged</v>
          </cell>
        </row>
        <row r="13903">
          <cell r="W13903">
            <v>0</v>
          </cell>
          <cell r="AB13903" t="str">
            <v>line item not tagged</v>
          </cell>
        </row>
        <row r="13904">
          <cell r="W13904">
            <v>0</v>
          </cell>
          <cell r="AB13904" t="str">
            <v>line item not tagged</v>
          </cell>
        </row>
        <row r="13905">
          <cell r="W13905">
            <v>0</v>
          </cell>
          <cell r="AB13905" t="str">
            <v>line item not tagged</v>
          </cell>
        </row>
        <row r="13906">
          <cell r="W13906">
            <v>0</v>
          </cell>
          <cell r="AB13906" t="str">
            <v>line item not tagged</v>
          </cell>
        </row>
        <row r="13907">
          <cell r="W13907">
            <v>0</v>
          </cell>
          <cell r="AB13907" t="str">
            <v>line item not tagged</v>
          </cell>
        </row>
        <row r="13908">
          <cell r="W13908">
            <v>0</v>
          </cell>
          <cell r="AB13908" t="str">
            <v>line item not tagged</v>
          </cell>
        </row>
        <row r="13909">
          <cell r="W13909">
            <v>0</v>
          </cell>
          <cell r="AB13909" t="str">
            <v>line item not tagged</v>
          </cell>
        </row>
        <row r="13910">
          <cell r="W13910">
            <v>0</v>
          </cell>
          <cell r="AB13910" t="str">
            <v>line item not tagged</v>
          </cell>
        </row>
        <row r="13911">
          <cell r="W13911">
            <v>0</v>
          </cell>
          <cell r="AB13911" t="str">
            <v>line item not tagged</v>
          </cell>
        </row>
        <row r="13912">
          <cell r="W13912">
            <v>0</v>
          </cell>
          <cell r="AB13912" t="str">
            <v>line item not tagged</v>
          </cell>
        </row>
        <row r="13913">
          <cell r="W13913">
            <v>0</v>
          </cell>
          <cell r="AB13913" t="str">
            <v>line item not tagged</v>
          </cell>
        </row>
        <row r="13914">
          <cell r="W13914">
            <v>0</v>
          </cell>
          <cell r="AB13914" t="str">
            <v>line item not tagged</v>
          </cell>
        </row>
        <row r="13915">
          <cell r="W13915">
            <v>0</v>
          </cell>
          <cell r="AB13915" t="str">
            <v>line item not tagged</v>
          </cell>
        </row>
        <row r="13916">
          <cell r="W13916">
            <v>0</v>
          </cell>
          <cell r="AB13916" t="str">
            <v>line item not tagged</v>
          </cell>
        </row>
        <row r="13917">
          <cell r="W13917">
            <v>0</v>
          </cell>
          <cell r="AB13917" t="str">
            <v>line item not tagged</v>
          </cell>
        </row>
        <row r="13918">
          <cell r="W13918">
            <v>0</v>
          </cell>
          <cell r="AB13918" t="str">
            <v>line item not tagged</v>
          </cell>
        </row>
        <row r="13919">
          <cell r="W13919">
            <v>0</v>
          </cell>
          <cell r="AB13919" t="str">
            <v>line item not tagged</v>
          </cell>
        </row>
        <row r="13920">
          <cell r="W13920">
            <v>0</v>
          </cell>
          <cell r="AB13920" t="str">
            <v>line item not tagged</v>
          </cell>
        </row>
        <row r="13921">
          <cell r="W13921">
            <v>0</v>
          </cell>
          <cell r="AB13921" t="str">
            <v>line item not tagged</v>
          </cell>
        </row>
        <row r="13922">
          <cell r="W13922">
            <v>0</v>
          </cell>
          <cell r="AB13922" t="str">
            <v>line item not tagged</v>
          </cell>
        </row>
        <row r="13923">
          <cell r="W13923">
            <v>0</v>
          </cell>
          <cell r="AB13923" t="str">
            <v>line item not tagged</v>
          </cell>
        </row>
        <row r="13924">
          <cell r="W13924">
            <v>0</v>
          </cell>
          <cell r="AB13924" t="str">
            <v>line item not tagged</v>
          </cell>
        </row>
        <row r="13925">
          <cell r="W13925">
            <v>0</v>
          </cell>
          <cell r="AB13925" t="str">
            <v>line item not tagged</v>
          </cell>
        </row>
        <row r="13926">
          <cell r="W13926">
            <v>0</v>
          </cell>
          <cell r="AB13926" t="str">
            <v>line item not tagged</v>
          </cell>
        </row>
        <row r="13927">
          <cell r="W13927">
            <v>0</v>
          </cell>
          <cell r="AB13927" t="str">
            <v>line item not tagged</v>
          </cell>
        </row>
        <row r="13928">
          <cell r="W13928">
            <v>0</v>
          </cell>
          <cell r="AB13928" t="str">
            <v>line item not tagged</v>
          </cell>
        </row>
        <row r="13929">
          <cell r="W13929">
            <v>0</v>
          </cell>
          <cell r="AB13929" t="str">
            <v>line item not tagged</v>
          </cell>
        </row>
        <row r="13930">
          <cell r="W13930">
            <v>0</v>
          </cell>
          <cell r="AB13930" t="str">
            <v>line item not tagged</v>
          </cell>
        </row>
        <row r="13931">
          <cell r="W13931">
            <v>0</v>
          </cell>
          <cell r="AB13931" t="str">
            <v>line item not tagged</v>
          </cell>
        </row>
        <row r="13932">
          <cell r="W13932">
            <v>0</v>
          </cell>
          <cell r="AB13932" t="str">
            <v>line item not tagged</v>
          </cell>
        </row>
        <row r="13933">
          <cell r="W13933">
            <v>0</v>
          </cell>
          <cell r="AB13933" t="str">
            <v>line item not tagged</v>
          </cell>
        </row>
        <row r="13934">
          <cell r="W13934">
            <v>0</v>
          </cell>
          <cell r="AB13934" t="str">
            <v>line item not tagged</v>
          </cell>
        </row>
        <row r="13935">
          <cell r="W13935">
            <v>0</v>
          </cell>
          <cell r="AB13935" t="str">
            <v>line item not tagged</v>
          </cell>
        </row>
        <row r="13936">
          <cell r="W13936">
            <v>0</v>
          </cell>
          <cell r="AB13936" t="str">
            <v>line item not tagged</v>
          </cell>
        </row>
        <row r="13937">
          <cell r="W13937">
            <v>0</v>
          </cell>
          <cell r="AB13937" t="str">
            <v>line item not tagged</v>
          </cell>
        </row>
        <row r="13938">
          <cell r="W13938">
            <v>0</v>
          </cell>
          <cell r="AB13938" t="str">
            <v>line item not tagged</v>
          </cell>
        </row>
        <row r="13939">
          <cell r="W13939">
            <v>0</v>
          </cell>
          <cell r="AB13939" t="str">
            <v>line item not tagged</v>
          </cell>
        </row>
        <row r="13940">
          <cell r="W13940">
            <v>0</v>
          </cell>
          <cell r="AB13940" t="str">
            <v>line item not tagged</v>
          </cell>
        </row>
        <row r="13941">
          <cell r="W13941">
            <v>0</v>
          </cell>
          <cell r="AB13941" t="str">
            <v>line item not tagged</v>
          </cell>
        </row>
        <row r="13942">
          <cell r="W13942">
            <v>0</v>
          </cell>
          <cell r="AB13942" t="str">
            <v>line item not tagged</v>
          </cell>
        </row>
        <row r="13943">
          <cell r="W13943">
            <v>0</v>
          </cell>
          <cell r="AB13943" t="str">
            <v>line item not tagged</v>
          </cell>
        </row>
        <row r="13944">
          <cell r="W13944">
            <v>0</v>
          </cell>
          <cell r="AB13944" t="str">
            <v>line item not tagged</v>
          </cell>
        </row>
        <row r="13945">
          <cell r="W13945">
            <v>0</v>
          </cell>
          <cell r="AB13945" t="str">
            <v>line item not tagged</v>
          </cell>
        </row>
        <row r="13946">
          <cell r="W13946">
            <v>0</v>
          </cell>
          <cell r="AB13946" t="str">
            <v>line item not tagged</v>
          </cell>
        </row>
        <row r="13947">
          <cell r="W13947">
            <v>0</v>
          </cell>
          <cell r="AB13947" t="str">
            <v>line item not tagged</v>
          </cell>
        </row>
        <row r="13948">
          <cell r="W13948">
            <v>0</v>
          </cell>
          <cell r="AB13948" t="str">
            <v>line item not tagged</v>
          </cell>
        </row>
        <row r="13949">
          <cell r="W13949">
            <v>0</v>
          </cell>
          <cell r="AB13949" t="str">
            <v>line item not tagged</v>
          </cell>
        </row>
        <row r="13950">
          <cell r="W13950">
            <v>0</v>
          </cell>
          <cell r="AB13950" t="str">
            <v>line item not tagged</v>
          </cell>
        </row>
        <row r="13951">
          <cell r="W13951">
            <v>0</v>
          </cell>
          <cell r="AB13951" t="str">
            <v>line item not tagged</v>
          </cell>
        </row>
        <row r="13952">
          <cell r="W13952">
            <v>0</v>
          </cell>
          <cell r="AB13952" t="str">
            <v>line item not tagged</v>
          </cell>
        </row>
        <row r="13953">
          <cell r="W13953">
            <v>0</v>
          </cell>
          <cell r="AB13953" t="str">
            <v>line item not tagged</v>
          </cell>
        </row>
        <row r="13954">
          <cell r="W13954">
            <v>0</v>
          </cell>
          <cell r="AB13954" t="str">
            <v>line item not tagged</v>
          </cell>
        </row>
        <row r="13955">
          <cell r="W13955">
            <v>0</v>
          </cell>
          <cell r="AB13955" t="str">
            <v>line item not tagged</v>
          </cell>
        </row>
        <row r="13956">
          <cell r="W13956">
            <v>0</v>
          </cell>
          <cell r="AB13956" t="str">
            <v>line item not tagged</v>
          </cell>
        </row>
        <row r="13957">
          <cell r="W13957">
            <v>0</v>
          </cell>
          <cell r="AB13957" t="str">
            <v>line item not tagged</v>
          </cell>
        </row>
        <row r="13958">
          <cell r="W13958">
            <v>0</v>
          </cell>
          <cell r="AB13958" t="str">
            <v>line item not tagged</v>
          </cell>
        </row>
        <row r="13959">
          <cell r="W13959">
            <v>0</v>
          </cell>
          <cell r="AB13959" t="str">
            <v>line item not tagged</v>
          </cell>
        </row>
        <row r="13960">
          <cell r="W13960">
            <v>0</v>
          </cell>
          <cell r="AB13960" t="str">
            <v>line item not tagged</v>
          </cell>
        </row>
        <row r="13961">
          <cell r="W13961">
            <v>0</v>
          </cell>
          <cell r="AB13961" t="str">
            <v>line item not tagged</v>
          </cell>
        </row>
        <row r="13962">
          <cell r="W13962">
            <v>0</v>
          </cell>
          <cell r="AB13962" t="str">
            <v>line item not tagged</v>
          </cell>
        </row>
        <row r="13963">
          <cell r="W13963">
            <v>0</v>
          </cell>
          <cell r="AB13963" t="str">
            <v>line item not tagged</v>
          </cell>
        </row>
        <row r="13964">
          <cell r="W13964">
            <v>0</v>
          </cell>
          <cell r="AB13964" t="str">
            <v>line item not tagged</v>
          </cell>
        </row>
        <row r="13965">
          <cell r="W13965">
            <v>0</v>
          </cell>
          <cell r="AB13965" t="str">
            <v>line item not tagged</v>
          </cell>
        </row>
        <row r="13966">
          <cell r="W13966">
            <v>0</v>
          </cell>
          <cell r="AB13966" t="str">
            <v>line item not tagged</v>
          </cell>
        </row>
        <row r="13967">
          <cell r="W13967">
            <v>0</v>
          </cell>
          <cell r="AB13967" t="str">
            <v>line item not tagged</v>
          </cell>
        </row>
        <row r="13968">
          <cell r="W13968">
            <v>0</v>
          </cell>
          <cell r="AB13968" t="str">
            <v>line item not tagged</v>
          </cell>
        </row>
        <row r="13969">
          <cell r="W13969">
            <v>0</v>
          </cell>
          <cell r="AB13969" t="str">
            <v>line item not tagged</v>
          </cell>
        </row>
        <row r="13970">
          <cell r="W13970">
            <v>0</v>
          </cell>
          <cell r="AB13970" t="str">
            <v>line item not tagged</v>
          </cell>
        </row>
        <row r="13971">
          <cell r="W13971">
            <v>0</v>
          </cell>
          <cell r="AB13971" t="str">
            <v>line item not tagged</v>
          </cell>
        </row>
        <row r="13972">
          <cell r="W13972">
            <v>0</v>
          </cell>
          <cell r="AB13972" t="str">
            <v>line item not tagged</v>
          </cell>
        </row>
        <row r="13973">
          <cell r="W13973">
            <v>0</v>
          </cell>
          <cell r="AB13973" t="str">
            <v>line item not tagged</v>
          </cell>
        </row>
        <row r="13974">
          <cell r="W13974">
            <v>0</v>
          </cell>
          <cell r="AB13974" t="str">
            <v>line item not tagged</v>
          </cell>
        </row>
        <row r="13975">
          <cell r="W13975">
            <v>0</v>
          </cell>
          <cell r="AB13975" t="str">
            <v>line item not tagged</v>
          </cell>
        </row>
        <row r="13976">
          <cell r="W13976">
            <v>0</v>
          </cell>
          <cell r="AB13976" t="str">
            <v>line item not tagged</v>
          </cell>
        </row>
        <row r="13977">
          <cell r="W13977">
            <v>0</v>
          </cell>
          <cell r="AB13977" t="str">
            <v>line item not tagged</v>
          </cell>
        </row>
        <row r="13978">
          <cell r="W13978">
            <v>0</v>
          </cell>
          <cell r="AB13978" t="str">
            <v>line item not tagged</v>
          </cell>
        </row>
        <row r="13979">
          <cell r="W13979">
            <v>0</v>
          </cell>
          <cell r="AB13979" t="str">
            <v>line item not tagged</v>
          </cell>
        </row>
        <row r="13980">
          <cell r="W13980">
            <v>0</v>
          </cell>
          <cell r="AB13980" t="str">
            <v>line item not tagged</v>
          </cell>
        </row>
        <row r="13981">
          <cell r="W13981">
            <v>0</v>
          </cell>
          <cell r="AB13981" t="str">
            <v>line item not tagged</v>
          </cell>
        </row>
        <row r="13982">
          <cell r="W13982">
            <v>0</v>
          </cell>
          <cell r="AB13982" t="str">
            <v>line item not tagged</v>
          </cell>
        </row>
        <row r="13983">
          <cell r="W13983">
            <v>0</v>
          </cell>
          <cell r="AB13983" t="str">
            <v>line item not tagged</v>
          </cell>
        </row>
        <row r="13984">
          <cell r="W13984">
            <v>0</v>
          </cell>
          <cell r="AB13984" t="str">
            <v>line item not tagged</v>
          </cell>
        </row>
        <row r="13985">
          <cell r="W13985">
            <v>0</v>
          </cell>
          <cell r="AB13985" t="str">
            <v>line item not tagged</v>
          </cell>
        </row>
        <row r="13986">
          <cell r="W13986">
            <v>0</v>
          </cell>
          <cell r="AB13986" t="str">
            <v>line item not tagged</v>
          </cell>
        </row>
        <row r="13987">
          <cell r="W13987">
            <v>0</v>
          </cell>
          <cell r="AB13987" t="str">
            <v>line item not tagged</v>
          </cell>
        </row>
        <row r="13988">
          <cell r="W13988">
            <v>0</v>
          </cell>
          <cell r="AB13988" t="str">
            <v>line item not tagged</v>
          </cell>
        </row>
        <row r="13989">
          <cell r="W13989">
            <v>0</v>
          </cell>
          <cell r="AB13989" t="str">
            <v>line item not tagged</v>
          </cell>
        </row>
        <row r="13990">
          <cell r="W13990">
            <v>0</v>
          </cell>
          <cell r="AB13990" t="str">
            <v>line item not tagged</v>
          </cell>
        </row>
        <row r="13991">
          <cell r="W13991">
            <v>0</v>
          </cell>
          <cell r="AB13991" t="str">
            <v>line item not tagged</v>
          </cell>
        </row>
        <row r="13992">
          <cell r="W13992">
            <v>0</v>
          </cell>
          <cell r="AB13992" t="str">
            <v>line item not tagged</v>
          </cell>
        </row>
        <row r="13993">
          <cell r="W13993">
            <v>0</v>
          </cell>
          <cell r="AB13993" t="str">
            <v>line item not tagged</v>
          </cell>
        </row>
        <row r="13994">
          <cell r="W13994">
            <v>0</v>
          </cell>
          <cell r="AB13994" t="str">
            <v>line item not tagged</v>
          </cell>
        </row>
        <row r="13995">
          <cell r="W13995">
            <v>0</v>
          </cell>
          <cell r="AB13995" t="str">
            <v>line item not tagged</v>
          </cell>
        </row>
        <row r="13996">
          <cell r="W13996">
            <v>0</v>
          </cell>
          <cell r="AB13996" t="str">
            <v>line item not tagged</v>
          </cell>
        </row>
        <row r="13997">
          <cell r="W13997">
            <v>0</v>
          </cell>
          <cell r="AB13997" t="str">
            <v>line item not tagged</v>
          </cell>
        </row>
        <row r="13998">
          <cell r="W13998">
            <v>0</v>
          </cell>
          <cell r="AB13998" t="str">
            <v>line item not tagged</v>
          </cell>
        </row>
        <row r="13999">
          <cell r="W13999">
            <v>0</v>
          </cell>
          <cell r="AB13999" t="str">
            <v>line item not tagged</v>
          </cell>
        </row>
        <row r="14000">
          <cell r="W14000">
            <v>0</v>
          </cell>
          <cell r="AB14000" t="str">
            <v>line item not tagged</v>
          </cell>
        </row>
        <row r="14001">
          <cell r="W14001">
            <v>0</v>
          </cell>
          <cell r="AB14001" t="str">
            <v>line item not tagged</v>
          </cell>
        </row>
        <row r="14002">
          <cell r="W14002">
            <v>0</v>
          </cell>
          <cell r="AB14002" t="str">
            <v>line item not tagged</v>
          </cell>
        </row>
        <row r="14003">
          <cell r="W14003">
            <v>0</v>
          </cell>
          <cell r="AB14003" t="str">
            <v>line item not tagged</v>
          </cell>
        </row>
        <row r="14004">
          <cell r="W14004">
            <v>0</v>
          </cell>
          <cell r="AB14004" t="str">
            <v>line item not tagged</v>
          </cell>
        </row>
        <row r="14005">
          <cell r="W14005">
            <v>0</v>
          </cell>
          <cell r="AB14005" t="str">
            <v>line item not tagged</v>
          </cell>
        </row>
        <row r="14006">
          <cell r="W14006">
            <v>0</v>
          </cell>
          <cell r="AB14006" t="str">
            <v>line item not tagged</v>
          </cell>
        </row>
        <row r="14007">
          <cell r="W14007">
            <v>0</v>
          </cell>
          <cell r="AB14007" t="str">
            <v>line item not tagged</v>
          </cell>
        </row>
        <row r="14008">
          <cell r="W14008">
            <v>0</v>
          </cell>
          <cell r="AB14008" t="str">
            <v>line item not tagged</v>
          </cell>
        </row>
        <row r="14009">
          <cell r="W14009">
            <v>0</v>
          </cell>
          <cell r="AB14009" t="str">
            <v>line item not tagged</v>
          </cell>
        </row>
        <row r="14010">
          <cell r="W14010">
            <v>0</v>
          </cell>
          <cell r="AB14010" t="str">
            <v>line item not tagged</v>
          </cell>
        </row>
        <row r="14011">
          <cell r="W14011">
            <v>0</v>
          </cell>
          <cell r="AB14011" t="str">
            <v>line item not tagged</v>
          </cell>
        </row>
        <row r="14012">
          <cell r="W14012">
            <v>0</v>
          </cell>
          <cell r="AB14012" t="str">
            <v>line item not tagged</v>
          </cell>
        </row>
        <row r="14013">
          <cell r="W14013">
            <v>0</v>
          </cell>
          <cell r="AB14013" t="str">
            <v>line item not tagged</v>
          </cell>
        </row>
        <row r="14014">
          <cell r="W14014">
            <v>0</v>
          </cell>
          <cell r="AB14014" t="str">
            <v>line item not tagged</v>
          </cell>
        </row>
        <row r="14015">
          <cell r="W14015">
            <v>0</v>
          </cell>
          <cell r="AB14015" t="str">
            <v>line item not tagged</v>
          </cell>
        </row>
        <row r="14016">
          <cell r="W14016">
            <v>0</v>
          </cell>
          <cell r="AB14016" t="str">
            <v>line item not tagged</v>
          </cell>
        </row>
        <row r="14017">
          <cell r="W14017">
            <v>0</v>
          </cell>
          <cell r="AB14017" t="str">
            <v>line item not tagged</v>
          </cell>
        </row>
        <row r="14018">
          <cell r="W14018">
            <v>0</v>
          </cell>
          <cell r="AB14018" t="str">
            <v>line item not tagged</v>
          </cell>
        </row>
        <row r="14019">
          <cell r="W14019">
            <v>0</v>
          </cell>
          <cell r="AB14019" t="str">
            <v>line item not tagged</v>
          </cell>
        </row>
        <row r="14020">
          <cell r="W14020">
            <v>0</v>
          </cell>
          <cell r="AB14020" t="str">
            <v>line item not tagged</v>
          </cell>
        </row>
        <row r="14021">
          <cell r="W14021">
            <v>0</v>
          </cell>
          <cell r="AB14021" t="str">
            <v>line item not tagged</v>
          </cell>
        </row>
        <row r="14022">
          <cell r="W14022">
            <v>0</v>
          </cell>
          <cell r="AB14022" t="str">
            <v>line item not tagged</v>
          </cell>
        </row>
        <row r="14023">
          <cell r="W14023">
            <v>0</v>
          </cell>
          <cell r="AB14023" t="str">
            <v>line item not tagged</v>
          </cell>
        </row>
        <row r="14024">
          <cell r="W14024">
            <v>0</v>
          </cell>
          <cell r="AB14024" t="str">
            <v>line item not tagged</v>
          </cell>
        </row>
        <row r="14025">
          <cell r="W14025">
            <v>0</v>
          </cell>
          <cell r="AB14025" t="str">
            <v>line item not tagged</v>
          </cell>
        </row>
        <row r="14026">
          <cell r="W14026">
            <v>0</v>
          </cell>
          <cell r="AB14026" t="str">
            <v>line item not tagged</v>
          </cell>
        </row>
        <row r="14027">
          <cell r="W14027">
            <v>0</v>
          </cell>
          <cell r="AB14027" t="str">
            <v>line item not tagged</v>
          </cell>
        </row>
        <row r="14028">
          <cell r="W14028">
            <v>0</v>
          </cell>
          <cell r="AB14028" t="str">
            <v>line item not tagged</v>
          </cell>
        </row>
        <row r="14029">
          <cell r="W14029">
            <v>0</v>
          </cell>
          <cell r="AB14029" t="str">
            <v>line item not tagged</v>
          </cell>
        </row>
        <row r="14030">
          <cell r="W14030">
            <v>0</v>
          </cell>
          <cell r="AB14030" t="str">
            <v>line item not tagged</v>
          </cell>
        </row>
        <row r="14031">
          <cell r="W14031">
            <v>0</v>
          </cell>
          <cell r="AB14031" t="str">
            <v>line item not tagged</v>
          </cell>
        </row>
        <row r="14032">
          <cell r="W14032">
            <v>0</v>
          </cell>
          <cell r="AB14032" t="str">
            <v>line item not tagged</v>
          </cell>
        </row>
        <row r="14033">
          <cell r="W14033">
            <v>0</v>
          </cell>
          <cell r="AB14033" t="str">
            <v>line item not tagged</v>
          </cell>
        </row>
        <row r="14034">
          <cell r="W14034">
            <v>0</v>
          </cell>
          <cell r="AB14034" t="str">
            <v>line item not tagged</v>
          </cell>
        </row>
        <row r="14035">
          <cell r="W14035">
            <v>0</v>
          </cell>
          <cell r="AB14035" t="str">
            <v>line item not tagged</v>
          </cell>
        </row>
        <row r="14036">
          <cell r="W14036">
            <v>0</v>
          </cell>
          <cell r="AB14036" t="str">
            <v>line item not tagged</v>
          </cell>
        </row>
        <row r="14037">
          <cell r="W14037">
            <v>0</v>
          </cell>
          <cell r="AB14037" t="str">
            <v>line item not tagged</v>
          </cell>
        </row>
        <row r="14038">
          <cell r="W14038">
            <v>0</v>
          </cell>
          <cell r="AB14038" t="str">
            <v>line item not tagged</v>
          </cell>
        </row>
        <row r="14039">
          <cell r="W14039">
            <v>0</v>
          </cell>
          <cell r="AB14039" t="str">
            <v>line item not tagged</v>
          </cell>
        </row>
        <row r="14040">
          <cell r="W14040">
            <v>0</v>
          </cell>
          <cell r="AB14040" t="str">
            <v>line item not tagged</v>
          </cell>
        </row>
        <row r="14041">
          <cell r="W14041">
            <v>0</v>
          </cell>
          <cell r="AB14041" t="str">
            <v>line item not tagged</v>
          </cell>
        </row>
        <row r="14042">
          <cell r="W14042">
            <v>0</v>
          </cell>
          <cell r="AB14042" t="str">
            <v>line item not tagged</v>
          </cell>
        </row>
        <row r="14043">
          <cell r="W14043">
            <v>0</v>
          </cell>
          <cell r="AB14043" t="str">
            <v>line item not tagged</v>
          </cell>
        </row>
        <row r="14044">
          <cell r="W14044">
            <v>0</v>
          </cell>
          <cell r="AB14044" t="str">
            <v>line item not tagged</v>
          </cell>
        </row>
        <row r="14045">
          <cell r="W14045">
            <v>0</v>
          </cell>
          <cell r="AB14045" t="str">
            <v>line item not tagged</v>
          </cell>
        </row>
        <row r="14046">
          <cell r="W14046">
            <v>0</v>
          </cell>
          <cell r="AB14046" t="str">
            <v>line item not tagged</v>
          </cell>
        </row>
        <row r="14047">
          <cell r="W14047">
            <v>0</v>
          </cell>
          <cell r="AB14047" t="str">
            <v>line item not tagged</v>
          </cell>
        </row>
        <row r="14048">
          <cell r="W14048">
            <v>0</v>
          </cell>
          <cell r="AB14048" t="str">
            <v>line item not tagged</v>
          </cell>
        </row>
        <row r="14049">
          <cell r="W14049">
            <v>0</v>
          </cell>
          <cell r="AB14049" t="str">
            <v>line item not tagged</v>
          </cell>
        </row>
        <row r="14050">
          <cell r="W14050">
            <v>0</v>
          </cell>
          <cell r="AB14050" t="str">
            <v>line item not tagged</v>
          </cell>
        </row>
        <row r="14051">
          <cell r="W14051">
            <v>0</v>
          </cell>
          <cell r="AB14051" t="str">
            <v>line item not tagged</v>
          </cell>
        </row>
        <row r="14052">
          <cell r="W14052">
            <v>0</v>
          </cell>
          <cell r="AB14052" t="str">
            <v>line item not tagged</v>
          </cell>
        </row>
        <row r="14053">
          <cell r="W14053">
            <v>0</v>
          </cell>
          <cell r="AB14053" t="str">
            <v>line item not tagged</v>
          </cell>
        </row>
        <row r="14054">
          <cell r="W14054">
            <v>0</v>
          </cell>
          <cell r="AB14054" t="str">
            <v>line item not tagged</v>
          </cell>
        </row>
        <row r="14055">
          <cell r="W14055">
            <v>0</v>
          </cell>
          <cell r="AB14055" t="str">
            <v>line item not tagged</v>
          </cell>
        </row>
        <row r="14056">
          <cell r="W14056">
            <v>0</v>
          </cell>
          <cell r="AB14056" t="str">
            <v>line item not tagged</v>
          </cell>
        </row>
        <row r="14057">
          <cell r="W14057">
            <v>0</v>
          </cell>
          <cell r="AB14057" t="str">
            <v>line item not tagged</v>
          </cell>
        </row>
        <row r="14058">
          <cell r="W14058">
            <v>0</v>
          </cell>
          <cell r="AB14058" t="str">
            <v>line item not tagged</v>
          </cell>
        </row>
        <row r="14059">
          <cell r="W14059">
            <v>0</v>
          </cell>
          <cell r="AB14059" t="str">
            <v>line item not tagged</v>
          </cell>
        </row>
        <row r="14060">
          <cell r="W14060">
            <v>0</v>
          </cell>
          <cell r="AB14060" t="str">
            <v>line item not tagged</v>
          </cell>
        </row>
        <row r="14061">
          <cell r="W14061">
            <v>0</v>
          </cell>
          <cell r="AB14061" t="str">
            <v>line item not tagged</v>
          </cell>
        </row>
        <row r="14062">
          <cell r="W14062">
            <v>0</v>
          </cell>
          <cell r="AB14062" t="str">
            <v>line item not tagged</v>
          </cell>
        </row>
        <row r="14063">
          <cell r="W14063">
            <v>0</v>
          </cell>
          <cell r="AB14063" t="str">
            <v>line item not tagged</v>
          </cell>
        </row>
        <row r="14064">
          <cell r="W14064">
            <v>0</v>
          </cell>
          <cell r="AB14064" t="str">
            <v>line item not tagged</v>
          </cell>
        </row>
        <row r="14065">
          <cell r="W14065">
            <v>0</v>
          </cell>
          <cell r="AB14065" t="str">
            <v>line item not tagged</v>
          </cell>
        </row>
        <row r="14066">
          <cell r="W14066">
            <v>0</v>
          </cell>
          <cell r="AB14066" t="str">
            <v>line item not tagged</v>
          </cell>
        </row>
        <row r="14067">
          <cell r="W14067">
            <v>0</v>
          </cell>
          <cell r="AB14067" t="str">
            <v>line item not tagged</v>
          </cell>
        </row>
        <row r="14068">
          <cell r="W14068">
            <v>0</v>
          </cell>
          <cell r="AB14068" t="str">
            <v>line item not tagged</v>
          </cell>
        </row>
        <row r="14069">
          <cell r="W14069">
            <v>0</v>
          </cell>
          <cell r="AB14069" t="str">
            <v>line item not tagged</v>
          </cell>
        </row>
        <row r="14070">
          <cell r="W14070">
            <v>0</v>
          </cell>
          <cell r="AB14070" t="str">
            <v>line item not tagged</v>
          </cell>
        </row>
        <row r="14071">
          <cell r="W14071">
            <v>0</v>
          </cell>
          <cell r="AB14071" t="str">
            <v>line item not tagged</v>
          </cell>
        </row>
        <row r="14072">
          <cell r="W14072">
            <v>0</v>
          </cell>
          <cell r="AB14072" t="str">
            <v>line item not tagged</v>
          </cell>
        </row>
        <row r="14073">
          <cell r="W14073">
            <v>0</v>
          </cell>
          <cell r="AB14073" t="str">
            <v>line item not tagged</v>
          </cell>
        </row>
        <row r="14074">
          <cell r="W14074">
            <v>0</v>
          </cell>
          <cell r="AB14074" t="str">
            <v>line item not tagged</v>
          </cell>
        </row>
        <row r="14075">
          <cell r="W14075">
            <v>0</v>
          </cell>
          <cell r="AB14075" t="str">
            <v>line item not tagged</v>
          </cell>
        </row>
        <row r="14076">
          <cell r="W14076">
            <v>0</v>
          </cell>
          <cell r="AB14076" t="str">
            <v>line item not tagged</v>
          </cell>
        </row>
        <row r="14077">
          <cell r="W14077">
            <v>0</v>
          </cell>
          <cell r="AB14077" t="str">
            <v>line item not tagged</v>
          </cell>
        </row>
        <row r="14078">
          <cell r="W14078">
            <v>0</v>
          </cell>
          <cell r="AB14078" t="str">
            <v>line item not tagged</v>
          </cell>
        </row>
        <row r="14079">
          <cell r="W14079">
            <v>0</v>
          </cell>
          <cell r="AB14079" t="str">
            <v>line item not tagged</v>
          </cell>
        </row>
        <row r="14080">
          <cell r="W14080">
            <v>0</v>
          </cell>
          <cell r="AB14080" t="str">
            <v>line item not tagged</v>
          </cell>
        </row>
        <row r="14081">
          <cell r="W14081">
            <v>0</v>
          </cell>
          <cell r="AB14081" t="str">
            <v>line item not tagged</v>
          </cell>
        </row>
        <row r="14082">
          <cell r="W14082">
            <v>0</v>
          </cell>
          <cell r="AB14082" t="str">
            <v>line item not tagged</v>
          </cell>
        </row>
        <row r="14083">
          <cell r="W14083">
            <v>0</v>
          </cell>
          <cell r="AB14083" t="str">
            <v>line item not tagged</v>
          </cell>
        </row>
        <row r="14084">
          <cell r="W14084">
            <v>0</v>
          </cell>
          <cell r="AB14084" t="str">
            <v>line item not tagged</v>
          </cell>
        </row>
        <row r="14085">
          <cell r="W14085">
            <v>0</v>
          </cell>
          <cell r="AB14085" t="str">
            <v>line item not tagged</v>
          </cell>
        </row>
        <row r="14086">
          <cell r="W14086">
            <v>0</v>
          </cell>
          <cell r="AB14086" t="str">
            <v>line item not tagged</v>
          </cell>
        </row>
        <row r="14087">
          <cell r="W14087">
            <v>0</v>
          </cell>
          <cell r="AB14087" t="str">
            <v>line item not tagged</v>
          </cell>
        </row>
        <row r="14088">
          <cell r="W14088">
            <v>0</v>
          </cell>
          <cell r="AB14088" t="str">
            <v>line item not tagged</v>
          </cell>
        </row>
        <row r="14089">
          <cell r="W14089">
            <v>0</v>
          </cell>
          <cell r="AB14089" t="str">
            <v>line item not tagged</v>
          </cell>
        </row>
        <row r="14090">
          <cell r="W14090">
            <v>0</v>
          </cell>
          <cell r="AB14090" t="str">
            <v>line item not tagged</v>
          </cell>
        </row>
        <row r="14091">
          <cell r="W14091">
            <v>0</v>
          </cell>
          <cell r="AB14091" t="str">
            <v>line item not tagged</v>
          </cell>
        </row>
        <row r="14092">
          <cell r="W14092">
            <v>0</v>
          </cell>
          <cell r="AB14092" t="str">
            <v>line item not tagged</v>
          </cell>
        </row>
        <row r="14093">
          <cell r="W14093">
            <v>0</v>
          </cell>
          <cell r="AB14093" t="str">
            <v>line item not tagged</v>
          </cell>
        </row>
        <row r="14094">
          <cell r="W14094">
            <v>0</v>
          </cell>
          <cell r="AB14094" t="str">
            <v>line item not tagged</v>
          </cell>
        </row>
        <row r="14095">
          <cell r="W14095">
            <v>0</v>
          </cell>
          <cell r="AB14095" t="str">
            <v>line item not tagged</v>
          </cell>
        </row>
        <row r="14096">
          <cell r="W14096">
            <v>0</v>
          </cell>
          <cell r="AB14096" t="str">
            <v>line item not tagged</v>
          </cell>
        </row>
        <row r="14097">
          <cell r="W14097">
            <v>0</v>
          </cell>
          <cell r="AB14097" t="str">
            <v>line item not tagged</v>
          </cell>
        </row>
        <row r="14098">
          <cell r="W14098">
            <v>0</v>
          </cell>
          <cell r="AB14098" t="str">
            <v>line item not tagged</v>
          </cell>
        </row>
        <row r="14099">
          <cell r="W14099">
            <v>0</v>
          </cell>
          <cell r="AB14099" t="str">
            <v>line item not tagged</v>
          </cell>
        </row>
        <row r="14100">
          <cell r="W14100">
            <v>0</v>
          </cell>
          <cell r="AB14100" t="str">
            <v>line item not tagged</v>
          </cell>
        </row>
        <row r="14101">
          <cell r="W14101">
            <v>0</v>
          </cell>
          <cell r="AB14101" t="str">
            <v>line item not tagged</v>
          </cell>
        </row>
        <row r="14102">
          <cell r="W14102">
            <v>0</v>
          </cell>
          <cell r="AB14102" t="str">
            <v>line item not tagged</v>
          </cell>
        </row>
        <row r="14103">
          <cell r="W14103">
            <v>0</v>
          </cell>
          <cell r="AB14103" t="str">
            <v>line item not tagged</v>
          </cell>
        </row>
        <row r="14104">
          <cell r="W14104">
            <v>0</v>
          </cell>
          <cell r="AB14104" t="str">
            <v>line item not tagged</v>
          </cell>
        </row>
        <row r="14105">
          <cell r="W14105">
            <v>0</v>
          </cell>
          <cell r="AB14105" t="str">
            <v>line item not tagged</v>
          </cell>
        </row>
        <row r="14106">
          <cell r="W14106">
            <v>0</v>
          </cell>
          <cell r="AB14106" t="str">
            <v>line item not tagged</v>
          </cell>
        </row>
        <row r="14107">
          <cell r="W14107">
            <v>0</v>
          </cell>
          <cell r="AB14107" t="str">
            <v>line item not tagged</v>
          </cell>
        </row>
        <row r="14108">
          <cell r="W14108">
            <v>0</v>
          </cell>
          <cell r="AB14108" t="str">
            <v>line item not tagged</v>
          </cell>
        </row>
        <row r="14109">
          <cell r="W14109">
            <v>0</v>
          </cell>
          <cell r="AB14109" t="str">
            <v>line item not tagged</v>
          </cell>
        </row>
        <row r="14110">
          <cell r="W14110">
            <v>0</v>
          </cell>
          <cell r="AB14110" t="str">
            <v>line item not tagged</v>
          </cell>
        </row>
        <row r="14111">
          <cell r="W14111">
            <v>0</v>
          </cell>
          <cell r="AB14111" t="str">
            <v>line item not tagged</v>
          </cell>
        </row>
        <row r="14112">
          <cell r="W14112">
            <v>0</v>
          </cell>
          <cell r="AB14112" t="str">
            <v>line item not tagged</v>
          </cell>
        </row>
        <row r="14113">
          <cell r="W14113">
            <v>0</v>
          </cell>
          <cell r="AB14113" t="str">
            <v>line item not tagged</v>
          </cell>
        </row>
        <row r="14114">
          <cell r="W14114">
            <v>0</v>
          </cell>
          <cell r="AB14114" t="str">
            <v>line item not tagged</v>
          </cell>
        </row>
        <row r="14115">
          <cell r="W14115">
            <v>0</v>
          </cell>
          <cell r="AB14115" t="str">
            <v>line item not tagged</v>
          </cell>
        </row>
        <row r="14116">
          <cell r="W14116">
            <v>0</v>
          </cell>
          <cell r="AB14116" t="str">
            <v>line item not tagged</v>
          </cell>
        </row>
        <row r="14117">
          <cell r="W14117">
            <v>0</v>
          </cell>
          <cell r="AB14117" t="str">
            <v>line item not tagged</v>
          </cell>
        </row>
        <row r="14118">
          <cell r="W14118">
            <v>0</v>
          </cell>
          <cell r="AB14118" t="str">
            <v>line item not tagged</v>
          </cell>
        </row>
        <row r="14119">
          <cell r="W14119">
            <v>0</v>
          </cell>
          <cell r="AB14119" t="str">
            <v>line item not tagged</v>
          </cell>
        </row>
        <row r="14120">
          <cell r="W14120">
            <v>0</v>
          </cell>
          <cell r="AB14120" t="str">
            <v>line item not tagged</v>
          </cell>
        </row>
        <row r="14121">
          <cell r="W14121">
            <v>0</v>
          </cell>
          <cell r="AB14121" t="str">
            <v>line item not tagged</v>
          </cell>
        </row>
        <row r="14122">
          <cell r="W14122">
            <v>0</v>
          </cell>
          <cell r="AB14122" t="str">
            <v>line item not tagged</v>
          </cell>
        </row>
        <row r="14123">
          <cell r="W14123">
            <v>0</v>
          </cell>
          <cell r="AB14123" t="str">
            <v>line item not tagged</v>
          </cell>
        </row>
        <row r="14124">
          <cell r="W14124">
            <v>0</v>
          </cell>
          <cell r="AB14124" t="str">
            <v>line item not tagged</v>
          </cell>
        </row>
        <row r="14125">
          <cell r="W14125">
            <v>0</v>
          </cell>
          <cell r="AB14125" t="str">
            <v>line item not tagged</v>
          </cell>
        </row>
        <row r="14126">
          <cell r="W14126">
            <v>0</v>
          </cell>
          <cell r="AB14126" t="str">
            <v>line item not tagged</v>
          </cell>
        </row>
        <row r="14127">
          <cell r="W14127">
            <v>0</v>
          </cell>
          <cell r="AB14127" t="str">
            <v>line item not tagged</v>
          </cell>
        </row>
        <row r="14128">
          <cell r="W14128">
            <v>0</v>
          </cell>
          <cell r="AB14128" t="str">
            <v>line item not tagged</v>
          </cell>
        </row>
        <row r="14129">
          <cell r="W14129">
            <v>0</v>
          </cell>
          <cell r="AB14129" t="str">
            <v>line item not tagged</v>
          </cell>
        </row>
        <row r="14130">
          <cell r="W14130">
            <v>0</v>
          </cell>
          <cell r="AB14130" t="str">
            <v>line item not tagged</v>
          </cell>
        </row>
        <row r="14131">
          <cell r="W14131">
            <v>0</v>
          </cell>
          <cell r="AB14131" t="str">
            <v>line item not tagged</v>
          </cell>
        </row>
        <row r="14132">
          <cell r="W14132">
            <v>0</v>
          </cell>
          <cell r="AB14132" t="str">
            <v>line item not tagged</v>
          </cell>
        </row>
        <row r="14133">
          <cell r="W14133">
            <v>0</v>
          </cell>
          <cell r="AB14133" t="str">
            <v>line item not tagged</v>
          </cell>
        </row>
        <row r="14134">
          <cell r="W14134">
            <v>0</v>
          </cell>
          <cell r="AB14134" t="str">
            <v>line item not tagged</v>
          </cell>
        </row>
        <row r="14135">
          <cell r="W14135">
            <v>0</v>
          </cell>
          <cell r="AB14135" t="str">
            <v>line item not tagged</v>
          </cell>
        </row>
        <row r="14136">
          <cell r="W14136">
            <v>0</v>
          </cell>
          <cell r="AB14136" t="str">
            <v>line item not tagged</v>
          </cell>
        </row>
        <row r="14137">
          <cell r="W14137">
            <v>0</v>
          </cell>
          <cell r="AB14137" t="str">
            <v>line item not tagged</v>
          </cell>
        </row>
        <row r="14138">
          <cell r="W14138">
            <v>0</v>
          </cell>
          <cell r="AB14138" t="str">
            <v>line item not tagged</v>
          </cell>
        </row>
        <row r="14139">
          <cell r="W14139">
            <v>0</v>
          </cell>
          <cell r="AB14139" t="str">
            <v>line item not tagged</v>
          </cell>
        </row>
        <row r="14140">
          <cell r="W14140">
            <v>0</v>
          </cell>
          <cell r="AB14140" t="str">
            <v>line item not tagged</v>
          </cell>
        </row>
        <row r="14141">
          <cell r="W14141">
            <v>0</v>
          </cell>
          <cell r="AB14141" t="str">
            <v>line item not tagged</v>
          </cell>
        </row>
        <row r="14142">
          <cell r="W14142">
            <v>0</v>
          </cell>
          <cell r="AB14142" t="str">
            <v>line item not tagged</v>
          </cell>
        </row>
        <row r="14143">
          <cell r="W14143">
            <v>0</v>
          </cell>
          <cell r="AB14143" t="str">
            <v>line item not tagged</v>
          </cell>
        </row>
        <row r="14144">
          <cell r="W14144">
            <v>0</v>
          </cell>
          <cell r="AB14144" t="str">
            <v>line item not tagged</v>
          </cell>
        </row>
        <row r="14145">
          <cell r="W14145">
            <v>0</v>
          </cell>
          <cell r="AB14145" t="str">
            <v>line item not tagged</v>
          </cell>
        </row>
        <row r="14146">
          <cell r="W14146">
            <v>0</v>
          </cell>
          <cell r="AB14146" t="str">
            <v>line item not tagged</v>
          </cell>
        </row>
        <row r="14147">
          <cell r="W14147">
            <v>0</v>
          </cell>
          <cell r="AB14147" t="str">
            <v>line item not tagged</v>
          </cell>
        </row>
        <row r="14148">
          <cell r="W14148">
            <v>0</v>
          </cell>
          <cell r="AB14148" t="str">
            <v>line item not tagged</v>
          </cell>
        </row>
        <row r="14149">
          <cell r="W14149">
            <v>0</v>
          </cell>
          <cell r="AB14149" t="str">
            <v>line item not tagged</v>
          </cell>
        </row>
        <row r="14150">
          <cell r="W14150">
            <v>0</v>
          </cell>
          <cell r="AB14150" t="str">
            <v>line item not tagged</v>
          </cell>
        </row>
        <row r="14151">
          <cell r="W14151">
            <v>0</v>
          </cell>
          <cell r="AB14151" t="str">
            <v>line item not tagged</v>
          </cell>
        </row>
        <row r="14152">
          <cell r="W14152">
            <v>0</v>
          </cell>
          <cell r="AB14152" t="str">
            <v>line item not tagged</v>
          </cell>
        </row>
        <row r="14153">
          <cell r="W14153">
            <v>0</v>
          </cell>
          <cell r="AB14153" t="str">
            <v>line item not tagged</v>
          </cell>
        </row>
        <row r="14154">
          <cell r="W14154">
            <v>0</v>
          </cell>
          <cell r="AB14154" t="str">
            <v>line item not tagged</v>
          </cell>
        </row>
        <row r="14155">
          <cell r="W14155">
            <v>0</v>
          </cell>
          <cell r="AB14155" t="str">
            <v>line item not tagged</v>
          </cell>
        </row>
        <row r="14156">
          <cell r="W14156">
            <v>0</v>
          </cell>
          <cell r="AB14156" t="str">
            <v>line item not tagged</v>
          </cell>
        </row>
        <row r="14157">
          <cell r="W14157">
            <v>0</v>
          </cell>
          <cell r="AB14157" t="str">
            <v>line item not tagged</v>
          </cell>
        </row>
        <row r="14158">
          <cell r="W14158">
            <v>0</v>
          </cell>
          <cell r="AB14158" t="str">
            <v>line item not tagged</v>
          </cell>
        </row>
        <row r="14159">
          <cell r="W14159">
            <v>0</v>
          </cell>
          <cell r="AB14159" t="str">
            <v>line item not tagged</v>
          </cell>
        </row>
        <row r="14160">
          <cell r="W14160">
            <v>0</v>
          </cell>
          <cell r="AB14160" t="str">
            <v>line item not tagged</v>
          </cell>
        </row>
        <row r="14161">
          <cell r="W14161">
            <v>0</v>
          </cell>
          <cell r="AB14161" t="str">
            <v>line item not tagged</v>
          </cell>
        </row>
        <row r="14162">
          <cell r="W14162">
            <v>0</v>
          </cell>
          <cell r="AB14162" t="str">
            <v>line item not tagged</v>
          </cell>
        </row>
        <row r="14163">
          <cell r="W14163">
            <v>0</v>
          </cell>
          <cell r="AB14163" t="str">
            <v>line item not tagged</v>
          </cell>
        </row>
        <row r="14164">
          <cell r="W14164">
            <v>0</v>
          </cell>
          <cell r="AB14164" t="str">
            <v>line item not tagged</v>
          </cell>
        </row>
        <row r="14165">
          <cell r="W14165">
            <v>0</v>
          </cell>
          <cell r="AB14165" t="str">
            <v>line item not tagged</v>
          </cell>
        </row>
        <row r="14166">
          <cell r="W14166">
            <v>0</v>
          </cell>
          <cell r="AB14166" t="str">
            <v>line item not tagged</v>
          </cell>
        </row>
        <row r="14167">
          <cell r="W14167">
            <v>0</v>
          </cell>
          <cell r="AB14167" t="str">
            <v>line item not tagged</v>
          </cell>
        </row>
        <row r="14168">
          <cell r="W14168">
            <v>0</v>
          </cell>
          <cell r="AB14168" t="str">
            <v>line item not tagged</v>
          </cell>
        </row>
        <row r="14169">
          <cell r="W14169">
            <v>0</v>
          </cell>
          <cell r="AB14169" t="str">
            <v>line item not tagged</v>
          </cell>
        </row>
        <row r="14170">
          <cell r="W14170">
            <v>0</v>
          </cell>
          <cell r="AB14170" t="str">
            <v>line item not tagged</v>
          </cell>
        </row>
        <row r="14171">
          <cell r="W14171">
            <v>0</v>
          </cell>
          <cell r="AB14171" t="str">
            <v>line item not tagged</v>
          </cell>
        </row>
        <row r="14172">
          <cell r="W14172">
            <v>0</v>
          </cell>
          <cell r="AB14172" t="str">
            <v>line item not tagged</v>
          </cell>
        </row>
        <row r="14173">
          <cell r="W14173">
            <v>0</v>
          </cell>
          <cell r="AB14173" t="str">
            <v>line item not tagged</v>
          </cell>
        </row>
        <row r="14174">
          <cell r="W14174">
            <v>0</v>
          </cell>
          <cell r="AB14174" t="str">
            <v>line item not tagged</v>
          </cell>
        </row>
        <row r="14175">
          <cell r="W14175">
            <v>0</v>
          </cell>
          <cell r="AB14175" t="str">
            <v>line item not tagged</v>
          </cell>
        </row>
        <row r="14176">
          <cell r="W14176">
            <v>0</v>
          </cell>
          <cell r="AB14176" t="str">
            <v>line item not tagged</v>
          </cell>
        </row>
        <row r="14177">
          <cell r="W14177">
            <v>0</v>
          </cell>
          <cell r="AB14177" t="str">
            <v>line item not tagged</v>
          </cell>
        </row>
        <row r="14178">
          <cell r="W14178">
            <v>0</v>
          </cell>
          <cell r="AB14178" t="str">
            <v>line item not tagged</v>
          </cell>
        </row>
        <row r="14179">
          <cell r="W14179">
            <v>0</v>
          </cell>
          <cell r="AB14179" t="str">
            <v>line item not tagged</v>
          </cell>
        </row>
        <row r="14180">
          <cell r="W14180">
            <v>0</v>
          </cell>
          <cell r="AB14180" t="str">
            <v>line item not tagged</v>
          </cell>
        </row>
        <row r="14181">
          <cell r="W14181">
            <v>0</v>
          </cell>
          <cell r="AB14181" t="str">
            <v>line item not tagged</v>
          </cell>
        </row>
        <row r="14182">
          <cell r="W14182">
            <v>0</v>
          </cell>
          <cell r="AB14182" t="str">
            <v>line item not tagged</v>
          </cell>
        </row>
        <row r="14183">
          <cell r="W14183">
            <v>0</v>
          </cell>
          <cell r="AB14183" t="str">
            <v>line item not tagged</v>
          </cell>
        </row>
        <row r="14184">
          <cell r="W14184">
            <v>0</v>
          </cell>
          <cell r="AB14184" t="str">
            <v>line item not tagged</v>
          </cell>
        </row>
        <row r="14185">
          <cell r="W14185">
            <v>0</v>
          </cell>
          <cell r="AB14185" t="str">
            <v>line item not tagged</v>
          </cell>
        </row>
        <row r="14186">
          <cell r="W14186">
            <v>0</v>
          </cell>
          <cell r="AB14186" t="str">
            <v>line item not tagged</v>
          </cell>
        </row>
        <row r="14187">
          <cell r="W14187">
            <v>0</v>
          </cell>
          <cell r="AB14187" t="str">
            <v>line item not tagged</v>
          </cell>
        </row>
        <row r="14188">
          <cell r="W14188">
            <v>0</v>
          </cell>
          <cell r="AB14188" t="str">
            <v>line item not tagged</v>
          </cell>
        </row>
        <row r="14189">
          <cell r="W14189">
            <v>0</v>
          </cell>
          <cell r="AB14189" t="str">
            <v>line item not tagged</v>
          </cell>
        </row>
        <row r="14190">
          <cell r="W14190">
            <v>0</v>
          </cell>
          <cell r="AB14190" t="str">
            <v>line item not tagged</v>
          </cell>
        </row>
        <row r="14191">
          <cell r="W14191">
            <v>0</v>
          </cell>
          <cell r="AB14191" t="str">
            <v>line item not tagged</v>
          </cell>
        </row>
        <row r="14192">
          <cell r="W14192">
            <v>0</v>
          </cell>
          <cell r="AB14192" t="str">
            <v>line item not tagged</v>
          </cell>
        </row>
        <row r="14193">
          <cell r="W14193">
            <v>0</v>
          </cell>
          <cell r="AB14193" t="str">
            <v>line item not tagged</v>
          </cell>
        </row>
        <row r="14194">
          <cell r="W14194">
            <v>0</v>
          </cell>
          <cell r="AB14194" t="str">
            <v>line item not tagged</v>
          </cell>
        </row>
        <row r="14195">
          <cell r="W14195">
            <v>0</v>
          </cell>
          <cell r="AB14195" t="str">
            <v>line item not tagged</v>
          </cell>
        </row>
        <row r="14196">
          <cell r="W14196">
            <v>0</v>
          </cell>
          <cell r="AB14196" t="str">
            <v>line item not tagged</v>
          </cell>
        </row>
        <row r="14197">
          <cell r="W14197">
            <v>0</v>
          </cell>
          <cell r="AB14197" t="str">
            <v>line item not tagged</v>
          </cell>
        </row>
        <row r="14198">
          <cell r="W14198">
            <v>0</v>
          </cell>
          <cell r="AB14198" t="str">
            <v>line item not tagged</v>
          </cell>
        </row>
        <row r="14199">
          <cell r="W14199">
            <v>0</v>
          </cell>
          <cell r="AB14199" t="str">
            <v>line item not tagged</v>
          </cell>
        </row>
        <row r="14200">
          <cell r="W14200">
            <v>0</v>
          </cell>
          <cell r="AB14200" t="str">
            <v>line item not tagged</v>
          </cell>
        </row>
        <row r="14201">
          <cell r="W14201">
            <v>0</v>
          </cell>
          <cell r="AB14201" t="str">
            <v>line item not tagged</v>
          </cell>
        </row>
        <row r="14202">
          <cell r="W14202">
            <v>0</v>
          </cell>
          <cell r="AB14202" t="str">
            <v>line item not tagged</v>
          </cell>
        </row>
        <row r="14203">
          <cell r="W14203">
            <v>0</v>
          </cell>
          <cell r="AB14203" t="str">
            <v>line item not tagged</v>
          </cell>
        </row>
        <row r="14204">
          <cell r="W14204">
            <v>0</v>
          </cell>
          <cell r="AB14204" t="str">
            <v>line item not tagged</v>
          </cell>
        </row>
        <row r="14205">
          <cell r="W14205">
            <v>0</v>
          </cell>
          <cell r="AB14205" t="str">
            <v>line item not tagged</v>
          </cell>
        </row>
        <row r="14206">
          <cell r="W14206">
            <v>0</v>
          </cell>
          <cell r="AB14206" t="str">
            <v>line item not tagged</v>
          </cell>
        </row>
        <row r="14207">
          <cell r="W14207">
            <v>0</v>
          </cell>
          <cell r="AB14207" t="str">
            <v>line item not tagged</v>
          </cell>
        </row>
        <row r="14208">
          <cell r="W14208">
            <v>0</v>
          </cell>
          <cell r="AB14208" t="str">
            <v>line item not tagged</v>
          </cell>
        </row>
        <row r="14209">
          <cell r="W14209">
            <v>0</v>
          </cell>
          <cell r="AB14209" t="str">
            <v>line item not tagged</v>
          </cell>
        </row>
        <row r="14210">
          <cell r="W14210">
            <v>0</v>
          </cell>
          <cell r="AB14210" t="str">
            <v>line item not tagged</v>
          </cell>
        </row>
        <row r="14211">
          <cell r="W14211">
            <v>0</v>
          </cell>
          <cell r="AB14211" t="str">
            <v>line item not tagged</v>
          </cell>
        </row>
        <row r="14212">
          <cell r="W14212">
            <v>0</v>
          </cell>
          <cell r="AB14212" t="str">
            <v>line item not tagged</v>
          </cell>
        </row>
        <row r="14213">
          <cell r="W14213">
            <v>0</v>
          </cell>
          <cell r="AB14213" t="str">
            <v>line item not tagged</v>
          </cell>
        </row>
        <row r="14214">
          <cell r="W14214">
            <v>0</v>
          </cell>
          <cell r="AB14214" t="str">
            <v>line item not tagged</v>
          </cell>
        </row>
        <row r="14215">
          <cell r="W14215">
            <v>0</v>
          </cell>
          <cell r="AB14215" t="str">
            <v>line item not tagged</v>
          </cell>
        </row>
        <row r="14216">
          <cell r="W14216">
            <v>0</v>
          </cell>
          <cell r="AB14216" t="str">
            <v>line item not tagged</v>
          </cell>
        </row>
        <row r="14217">
          <cell r="W14217">
            <v>0</v>
          </cell>
          <cell r="AB14217" t="str">
            <v>line item not tagged</v>
          </cell>
        </row>
        <row r="14218">
          <cell r="W14218">
            <v>0</v>
          </cell>
          <cell r="AB14218" t="str">
            <v>line item not tagged</v>
          </cell>
        </row>
        <row r="14219">
          <cell r="W14219">
            <v>0</v>
          </cell>
          <cell r="AB14219" t="str">
            <v>line item not tagged</v>
          </cell>
        </row>
        <row r="14220">
          <cell r="W14220">
            <v>0</v>
          </cell>
          <cell r="AB14220" t="str">
            <v>line item not tagged</v>
          </cell>
        </row>
        <row r="14221">
          <cell r="W14221">
            <v>0</v>
          </cell>
          <cell r="AB14221" t="str">
            <v>line item not tagged</v>
          </cell>
        </row>
        <row r="14222">
          <cell r="W14222">
            <v>0</v>
          </cell>
          <cell r="AB14222" t="str">
            <v>line item not tagged</v>
          </cell>
        </row>
        <row r="14223">
          <cell r="W14223">
            <v>0</v>
          </cell>
          <cell r="AB14223" t="str">
            <v>line item not tagged</v>
          </cell>
        </row>
        <row r="14224">
          <cell r="W14224">
            <v>0</v>
          </cell>
          <cell r="AB14224" t="str">
            <v>line item not tagged</v>
          </cell>
        </row>
        <row r="14225">
          <cell r="W14225">
            <v>0</v>
          </cell>
          <cell r="AB14225" t="str">
            <v>line item not tagged</v>
          </cell>
        </row>
        <row r="14226">
          <cell r="W14226">
            <v>0</v>
          </cell>
          <cell r="AB14226" t="str">
            <v>line item not tagged</v>
          </cell>
        </row>
        <row r="14227">
          <cell r="W14227">
            <v>0</v>
          </cell>
          <cell r="AB14227" t="str">
            <v>line item not tagged</v>
          </cell>
        </row>
        <row r="14228">
          <cell r="W14228">
            <v>0</v>
          </cell>
          <cell r="AB14228" t="str">
            <v>line item not tagged</v>
          </cell>
        </row>
        <row r="14229">
          <cell r="W14229">
            <v>0</v>
          </cell>
          <cell r="AB14229" t="str">
            <v>line item not tagged</v>
          </cell>
        </row>
        <row r="14230">
          <cell r="W14230">
            <v>0</v>
          </cell>
          <cell r="AB14230" t="str">
            <v>line item not tagged</v>
          </cell>
        </row>
        <row r="14231">
          <cell r="W14231">
            <v>0</v>
          </cell>
          <cell r="AB14231" t="str">
            <v>line item not tagged</v>
          </cell>
        </row>
        <row r="14232">
          <cell r="W14232">
            <v>0</v>
          </cell>
          <cell r="AB14232" t="str">
            <v>line item not tagged</v>
          </cell>
        </row>
        <row r="14233">
          <cell r="W14233">
            <v>0</v>
          </cell>
          <cell r="AB14233" t="str">
            <v>line item not tagged</v>
          </cell>
        </row>
        <row r="14234">
          <cell r="W14234">
            <v>0</v>
          </cell>
          <cell r="AB14234" t="str">
            <v>line item not tagged</v>
          </cell>
        </row>
        <row r="14235">
          <cell r="W14235">
            <v>0</v>
          </cell>
          <cell r="AB14235" t="str">
            <v>line item not tagged</v>
          </cell>
        </row>
        <row r="14236">
          <cell r="W14236">
            <v>0</v>
          </cell>
          <cell r="AB14236" t="str">
            <v>line item not tagged</v>
          </cell>
        </row>
        <row r="14237">
          <cell r="W14237">
            <v>0</v>
          </cell>
          <cell r="AB14237" t="str">
            <v>line item not tagged</v>
          </cell>
        </row>
        <row r="14238">
          <cell r="W14238">
            <v>0</v>
          </cell>
          <cell r="AB14238" t="str">
            <v>line item not tagged</v>
          </cell>
        </row>
        <row r="14239">
          <cell r="W14239">
            <v>0</v>
          </cell>
          <cell r="AB14239" t="str">
            <v>line item not tagged</v>
          </cell>
        </row>
        <row r="14240">
          <cell r="W14240">
            <v>0</v>
          </cell>
          <cell r="AB14240" t="str">
            <v>line item not tagged</v>
          </cell>
        </row>
        <row r="14241">
          <cell r="W14241">
            <v>0</v>
          </cell>
          <cell r="AB14241" t="str">
            <v>line item not tagged</v>
          </cell>
        </row>
        <row r="14242">
          <cell r="W14242">
            <v>0</v>
          </cell>
          <cell r="AB14242" t="str">
            <v>line item not tagged</v>
          </cell>
        </row>
        <row r="14243">
          <cell r="W14243">
            <v>0</v>
          </cell>
          <cell r="AB14243" t="str">
            <v>line item not tagged</v>
          </cell>
        </row>
        <row r="14244">
          <cell r="W14244">
            <v>0</v>
          </cell>
          <cell r="AB14244" t="str">
            <v>line item not tagged</v>
          </cell>
        </row>
        <row r="14245">
          <cell r="W14245">
            <v>0</v>
          </cell>
          <cell r="AB14245" t="str">
            <v>line item not tagged</v>
          </cell>
        </row>
        <row r="14246">
          <cell r="W14246">
            <v>0</v>
          </cell>
          <cell r="AB14246" t="str">
            <v>line item not tagged</v>
          </cell>
        </row>
        <row r="14247">
          <cell r="W14247">
            <v>0</v>
          </cell>
          <cell r="AB14247" t="str">
            <v>line item not tagged</v>
          </cell>
        </row>
        <row r="14248">
          <cell r="W14248">
            <v>0</v>
          </cell>
          <cell r="AB14248" t="str">
            <v>line item not tagged</v>
          </cell>
        </row>
        <row r="14249">
          <cell r="W14249">
            <v>0</v>
          </cell>
          <cell r="AB14249" t="str">
            <v>line item not tagged</v>
          </cell>
        </row>
        <row r="14250">
          <cell r="W14250">
            <v>0</v>
          </cell>
          <cell r="AB14250" t="str">
            <v>line item not tagged</v>
          </cell>
        </row>
        <row r="14251">
          <cell r="W14251">
            <v>0</v>
          </cell>
          <cell r="AB14251" t="str">
            <v>line item not tagged</v>
          </cell>
        </row>
        <row r="14252">
          <cell r="W14252">
            <v>0</v>
          </cell>
          <cell r="AB14252" t="str">
            <v>line item not tagged</v>
          </cell>
        </row>
        <row r="14253">
          <cell r="W14253">
            <v>0</v>
          </cell>
          <cell r="AB14253" t="str">
            <v>line item not tagged</v>
          </cell>
        </row>
        <row r="14254">
          <cell r="W14254">
            <v>0</v>
          </cell>
          <cell r="AB14254" t="str">
            <v>line item not tagged</v>
          </cell>
        </row>
        <row r="14255">
          <cell r="W14255">
            <v>0</v>
          </cell>
          <cell r="AB14255" t="str">
            <v>line item not tagged</v>
          </cell>
        </row>
        <row r="14256">
          <cell r="W14256">
            <v>0</v>
          </cell>
          <cell r="AB14256" t="str">
            <v>line item not tagged</v>
          </cell>
        </row>
        <row r="14257">
          <cell r="W14257">
            <v>0</v>
          </cell>
          <cell r="AB14257" t="str">
            <v>line item not tagged</v>
          </cell>
        </row>
        <row r="14258">
          <cell r="W14258">
            <v>0</v>
          </cell>
          <cell r="AB14258" t="str">
            <v>line item not tagged</v>
          </cell>
        </row>
        <row r="14259">
          <cell r="W14259">
            <v>0</v>
          </cell>
          <cell r="AB14259" t="str">
            <v>line item not tagged</v>
          </cell>
        </row>
        <row r="14260">
          <cell r="W14260">
            <v>0</v>
          </cell>
          <cell r="AB14260" t="str">
            <v>line item not tagged</v>
          </cell>
        </row>
        <row r="14261">
          <cell r="W14261">
            <v>0</v>
          </cell>
          <cell r="AB14261" t="str">
            <v>line item not tagged</v>
          </cell>
        </row>
        <row r="14262">
          <cell r="W14262">
            <v>0</v>
          </cell>
          <cell r="AB14262" t="str">
            <v>line item not tagged</v>
          </cell>
        </row>
        <row r="14263">
          <cell r="W14263">
            <v>0</v>
          </cell>
          <cell r="AB14263" t="str">
            <v>line item not tagged</v>
          </cell>
        </row>
        <row r="14264">
          <cell r="W14264">
            <v>0</v>
          </cell>
          <cell r="AB14264" t="str">
            <v>line item not tagged</v>
          </cell>
        </row>
        <row r="14265">
          <cell r="W14265">
            <v>0</v>
          </cell>
          <cell r="AB14265" t="str">
            <v>line item not tagged</v>
          </cell>
        </row>
        <row r="14266">
          <cell r="W14266">
            <v>0</v>
          </cell>
          <cell r="AB14266" t="str">
            <v>line item not tagged</v>
          </cell>
        </row>
        <row r="14267">
          <cell r="W14267">
            <v>0</v>
          </cell>
          <cell r="AB14267" t="str">
            <v>line item not tagged</v>
          </cell>
        </row>
        <row r="14268">
          <cell r="W14268">
            <v>0</v>
          </cell>
          <cell r="AB14268" t="str">
            <v>line item not tagged</v>
          </cell>
        </row>
        <row r="14269">
          <cell r="W14269">
            <v>0</v>
          </cell>
          <cell r="AB14269" t="str">
            <v>line item not tagged</v>
          </cell>
        </row>
        <row r="14270">
          <cell r="W14270">
            <v>0</v>
          </cell>
          <cell r="AB14270" t="str">
            <v>line item not tagged</v>
          </cell>
        </row>
        <row r="14271">
          <cell r="W14271">
            <v>0</v>
          </cell>
          <cell r="AB14271" t="str">
            <v>line item not tagged</v>
          </cell>
        </row>
        <row r="14272">
          <cell r="W14272">
            <v>0</v>
          </cell>
          <cell r="AB14272" t="str">
            <v>line item not tagged</v>
          </cell>
        </row>
        <row r="14273">
          <cell r="W14273">
            <v>0</v>
          </cell>
          <cell r="AB14273" t="str">
            <v>line item not tagged</v>
          </cell>
        </row>
        <row r="14274">
          <cell r="W14274">
            <v>0</v>
          </cell>
          <cell r="AB14274" t="str">
            <v>line item not tagged</v>
          </cell>
        </row>
        <row r="14275">
          <cell r="W14275">
            <v>0</v>
          </cell>
          <cell r="AB14275" t="str">
            <v>line item not tagged</v>
          </cell>
        </row>
        <row r="14276">
          <cell r="W14276">
            <v>0</v>
          </cell>
          <cell r="AB14276" t="str">
            <v>line item not tagged</v>
          </cell>
        </row>
        <row r="14277">
          <cell r="W14277">
            <v>0</v>
          </cell>
          <cell r="AB14277" t="str">
            <v>line item not tagged</v>
          </cell>
        </row>
        <row r="14278">
          <cell r="W14278">
            <v>0</v>
          </cell>
          <cell r="AB14278" t="str">
            <v>line item not tagged</v>
          </cell>
        </row>
        <row r="14279">
          <cell r="W14279">
            <v>0</v>
          </cell>
          <cell r="AB14279" t="str">
            <v>line item not tagged</v>
          </cell>
        </row>
        <row r="14280">
          <cell r="W14280">
            <v>0</v>
          </cell>
          <cell r="AB14280" t="str">
            <v>line item not tagged</v>
          </cell>
        </row>
        <row r="14281">
          <cell r="W14281">
            <v>0</v>
          </cell>
          <cell r="AB14281" t="str">
            <v>line item not tagged</v>
          </cell>
        </row>
        <row r="14282">
          <cell r="W14282">
            <v>0</v>
          </cell>
          <cell r="AB14282" t="str">
            <v>line item not tagged</v>
          </cell>
        </row>
        <row r="14283">
          <cell r="W14283">
            <v>0</v>
          </cell>
          <cell r="AB14283" t="str">
            <v>line item not tagged</v>
          </cell>
        </row>
        <row r="14284">
          <cell r="W14284">
            <v>0</v>
          </cell>
          <cell r="AB14284" t="str">
            <v>line item not tagged</v>
          </cell>
        </row>
        <row r="14285">
          <cell r="W14285">
            <v>0</v>
          </cell>
          <cell r="AB14285" t="str">
            <v>line item not tagged</v>
          </cell>
        </row>
        <row r="14286">
          <cell r="W14286">
            <v>0</v>
          </cell>
          <cell r="AB14286" t="str">
            <v>line item not tagged</v>
          </cell>
        </row>
        <row r="14287">
          <cell r="W14287">
            <v>0</v>
          </cell>
          <cell r="AB14287" t="str">
            <v>line item not tagged</v>
          </cell>
        </row>
        <row r="14288">
          <cell r="W14288">
            <v>0</v>
          </cell>
          <cell r="AB14288" t="str">
            <v>line item not tagged</v>
          </cell>
        </row>
        <row r="14289">
          <cell r="W14289">
            <v>0</v>
          </cell>
          <cell r="AB14289" t="str">
            <v>line item not tagged</v>
          </cell>
        </row>
        <row r="14290">
          <cell r="W14290">
            <v>0</v>
          </cell>
          <cell r="AB14290" t="str">
            <v>line item not tagged</v>
          </cell>
        </row>
        <row r="14291">
          <cell r="W14291">
            <v>0</v>
          </cell>
          <cell r="AB14291" t="str">
            <v>line item not tagged</v>
          </cell>
        </row>
        <row r="14292">
          <cell r="W14292">
            <v>0</v>
          </cell>
          <cell r="AB14292" t="str">
            <v>line item not tagged</v>
          </cell>
        </row>
        <row r="14293">
          <cell r="W14293">
            <v>0</v>
          </cell>
          <cell r="AB14293" t="str">
            <v>line item not tagged</v>
          </cell>
        </row>
        <row r="14294">
          <cell r="W14294">
            <v>0</v>
          </cell>
          <cell r="AB14294" t="str">
            <v>line item not tagged</v>
          </cell>
        </row>
        <row r="14295">
          <cell r="W14295">
            <v>0</v>
          </cell>
          <cell r="AB14295" t="str">
            <v>line item not tagged</v>
          </cell>
        </row>
        <row r="14296">
          <cell r="W14296">
            <v>0</v>
          </cell>
          <cell r="AB14296" t="str">
            <v>line item not tagged</v>
          </cell>
        </row>
        <row r="14297">
          <cell r="W14297">
            <v>0</v>
          </cell>
          <cell r="AB14297" t="str">
            <v>line item not tagged</v>
          </cell>
        </row>
        <row r="14298">
          <cell r="W14298">
            <v>0</v>
          </cell>
          <cell r="AB14298" t="str">
            <v>line item not tagged</v>
          </cell>
        </row>
        <row r="14299">
          <cell r="W14299">
            <v>0</v>
          </cell>
          <cell r="AB14299" t="str">
            <v>line item not tagged</v>
          </cell>
        </row>
        <row r="14300">
          <cell r="W14300">
            <v>0</v>
          </cell>
          <cell r="AB14300" t="str">
            <v>line item not tagged</v>
          </cell>
        </row>
        <row r="14301">
          <cell r="W14301">
            <v>0</v>
          </cell>
          <cell r="AB14301" t="str">
            <v>line item not tagged</v>
          </cell>
        </row>
        <row r="14302">
          <cell r="W14302">
            <v>0</v>
          </cell>
          <cell r="AB14302" t="str">
            <v>line item not tagged</v>
          </cell>
        </row>
        <row r="14303">
          <cell r="W14303">
            <v>0</v>
          </cell>
          <cell r="AB14303" t="str">
            <v>line item not tagged</v>
          </cell>
        </row>
        <row r="14304">
          <cell r="W14304">
            <v>0</v>
          </cell>
          <cell r="AB14304" t="str">
            <v>line item not tagged</v>
          </cell>
        </row>
        <row r="14305">
          <cell r="W14305">
            <v>0</v>
          </cell>
          <cell r="AB14305" t="str">
            <v>line item not tagged</v>
          </cell>
        </row>
        <row r="14306">
          <cell r="W14306">
            <v>0</v>
          </cell>
          <cell r="AB14306" t="str">
            <v>line item not tagged</v>
          </cell>
        </row>
        <row r="14307">
          <cell r="W14307">
            <v>0</v>
          </cell>
          <cell r="AB14307" t="str">
            <v>line item not tagged</v>
          </cell>
        </row>
        <row r="14308">
          <cell r="W14308">
            <v>0</v>
          </cell>
          <cell r="AB14308" t="str">
            <v>line item not tagged</v>
          </cell>
        </row>
        <row r="14309">
          <cell r="W14309">
            <v>0</v>
          </cell>
          <cell r="AB14309" t="str">
            <v>line item not tagged</v>
          </cell>
        </row>
        <row r="14310">
          <cell r="W14310">
            <v>0</v>
          </cell>
          <cell r="AB14310" t="str">
            <v>line item not tagged</v>
          </cell>
        </row>
        <row r="14311">
          <cell r="W14311">
            <v>0</v>
          </cell>
          <cell r="AB14311" t="str">
            <v>line item not tagged</v>
          </cell>
        </row>
        <row r="14312">
          <cell r="W14312">
            <v>0</v>
          </cell>
          <cell r="AB14312" t="str">
            <v>line item not tagged</v>
          </cell>
        </row>
        <row r="14313">
          <cell r="W14313">
            <v>0</v>
          </cell>
          <cell r="AB14313" t="str">
            <v>line item not tagged</v>
          </cell>
        </row>
        <row r="14314">
          <cell r="W14314">
            <v>0</v>
          </cell>
          <cell r="AB14314" t="str">
            <v>line item not tagged</v>
          </cell>
        </row>
        <row r="14315">
          <cell r="W14315">
            <v>0</v>
          </cell>
          <cell r="AB14315" t="str">
            <v>line item not tagged</v>
          </cell>
        </row>
        <row r="14316">
          <cell r="W14316">
            <v>0</v>
          </cell>
          <cell r="AB14316" t="str">
            <v>line item not tagged</v>
          </cell>
        </row>
        <row r="14317">
          <cell r="W14317">
            <v>0</v>
          </cell>
          <cell r="AB14317" t="str">
            <v>line item not tagged</v>
          </cell>
        </row>
        <row r="14318">
          <cell r="W14318">
            <v>0</v>
          </cell>
          <cell r="AB14318" t="str">
            <v>line item not tagged</v>
          </cell>
        </row>
        <row r="14319">
          <cell r="W14319">
            <v>0</v>
          </cell>
          <cell r="AB14319" t="str">
            <v>line item not tagged</v>
          </cell>
        </row>
        <row r="14320">
          <cell r="W14320">
            <v>0</v>
          </cell>
          <cell r="AB14320" t="str">
            <v>line item not tagged</v>
          </cell>
        </row>
        <row r="14321">
          <cell r="W14321">
            <v>0</v>
          </cell>
          <cell r="AB14321" t="str">
            <v>line item not tagged</v>
          </cell>
        </row>
        <row r="14322">
          <cell r="W14322">
            <v>0</v>
          </cell>
          <cell r="AB14322" t="str">
            <v>line item not tagged</v>
          </cell>
        </row>
        <row r="14323">
          <cell r="W14323">
            <v>0</v>
          </cell>
          <cell r="AB14323" t="str">
            <v>line item not tagged</v>
          </cell>
        </row>
        <row r="14324">
          <cell r="W14324">
            <v>0</v>
          </cell>
          <cell r="AB14324" t="str">
            <v>line item not tagged</v>
          </cell>
        </row>
        <row r="14325">
          <cell r="W14325">
            <v>0</v>
          </cell>
          <cell r="AB14325" t="str">
            <v>line item not tagged</v>
          </cell>
        </row>
        <row r="14326">
          <cell r="W14326">
            <v>0</v>
          </cell>
          <cell r="AB14326" t="str">
            <v>line item not tagged</v>
          </cell>
        </row>
        <row r="14327">
          <cell r="W14327">
            <v>0</v>
          </cell>
          <cell r="AB14327" t="str">
            <v>line item not tagged</v>
          </cell>
        </row>
        <row r="14328">
          <cell r="W14328">
            <v>0</v>
          </cell>
          <cell r="AB14328" t="str">
            <v>line item not tagged</v>
          </cell>
        </row>
        <row r="14329">
          <cell r="W14329">
            <v>0</v>
          </cell>
          <cell r="AB14329" t="str">
            <v>line item not tagged</v>
          </cell>
        </row>
        <row r="14330">
          <cell r="W14330">
            <v>0</v>
          </cell>
          <cell r="AB14330" t="str">
            <v>line item not tagged</v>
          </cell>
        </row>
        <row r="14331">
          <cell r="W14331">
            <v>0</v>
          </cell>
          <cell r="AB14331" t="str">
            <v>line item not tagged</v>
          </cell>
        </row>
        <row r="14332">
          <cell r="W14332">
            <v>0</v>
          </cell>
          <cell r="AB14332" t="str">
            <v>line item not tagged</v>
          </cell>
        </row>
        <row r="14333">
          <cell r="W14333">
            <v>0</v>
          </cell>
          <cell r="AB14333" t="str">
            <v>line item not tagged</v>
          </cell>
        </row>
        <row r="14334">
          <cell r="W14334">
            <v>0</v>
          </cell>
          <cell r="AB14334" t="str">
            <v>line item not tagged</v>
          </cell>
        </row>
        <row r="14335">
          <cell r="W14335">
            <v>0</v>
          </cell>
          <cell r="AB14335" t="str">
            <v>line item not tagged</v>
          </cell>
        </row>
        <row r="14336">
          <cell r="W14336">
            <v>0</v>
          </cell>
          <cell r="AB14336" t="str">
            <v>line item not tagged</v>
          </cell>
        </row>
        <row r="14337">
          <cell r="W14337">
            <v>0</v>
          </cell>
          <cell r="AB14337" t="str">
            <v>line item not tagged</v>
          </cell>
        </row>
        <row r="14338">
          <cell r="W14338">
            <v>0</v>
          </cell>
          <cell r="AB14338" t="str">
            <v>line item not tagged</v>
          </cell>
        </row>
        <row r="14339">
          <cell r="W14339">
            <v>0</v>
          </cell>
          <cell r="AB14339" t="str">
            <v>line item not tagged</v>
          </cell>
        </row>
        <row r="14340">
          <cell r="W14340">
            <v>0</v>
          </cell>
          <cell r="AB14340" t="str">
            <v>line item not tagged</v>
          </cell>
        </row>
        <row r="14341">
          <cell r="W14341">
            <v>0</v>
          </cell>
          <cell r="AB14341" t="str">
            <v>line item not tagged</v>
          </cell>
        </row>
        <row r="14342">
          <cell r="W14342">
            <v>0</v>
          </cell>
          <cell r="AB14342" t="str">
            <v>line item not tagged</v>
          </cell>
        </row>
        <row r="14343">
          <cell r="W14343">
            <v>0</v>
          </cell>
          <cell r="AB14343" t="str">
            <v>line item not tagged</v>
          </cell>
        </row>
        <row r="14344">
          <cell r="W14344">
            <v>0</v>
          </cell>
          <cell r="AB14344" t="str">
            <v>line item not tagged</v>
          </cell>
        </row>
        <row r="14345">
          <cell r="W14345">
            <v>0</v>
          </cell>
          <cell r="AB14345" t="str">
            <v>line item not tagged</v>
          </cell>
        </row>
        <row r="14346">
          <cell r="W14346">
            <v>0</v>
          </cell>
          <cell r="AB14346" t="str">
            <v>line item not tagged</v>
          </cell>
        </row>
        <row r="14347">
          <cell r="W14347">
            <v>0</v>
          </cell>
          <cell r="AB14347" t="str">
            <v>line item not tagged</v>
          </cell>
        </row>
        <row r="14348">
          <cell r="W14348">
            <v>0</v>
          </cell>
          <cell r="AB14348" t="str">
            <v>line item not tagged</v>
          </cell>
        </row>
        <row r="14349">
          <cell r="W14349">
            <v>0</v>
          </cell>
          <cell r="AB14349" t="str">
            <v>line item not tagged</v>
          </cell>
        </row>
        <row r="14350">
          <cell r="W14350">
            <v>0</v>
          </cell>
          <cell r="AB14350" t="str">
            <v>line item not tagged</v>
          </cell>
        </row>
        <row r="14351">
          <cell r="W14351">
            <v>0</v>
          </cell>
          <cell r="AB14351" t="str">
            <v>line item not tagged</v>
          </cell>
        </row>
        <row r="14352">
          <cell r="W14352">
            <v>0</v>
          </cell>
          <cell r="AB14352" t="str">
            <v>line item not tagged</v>
          </cell>
        </row>
        <row r="14353">
          <cell r="W14353">
            <v>0</v>
          </cell>
          <cell r="AB14353" t="str">
            <v>line item not tagged</v>
          </cell>
        </row>
        <row r="14354">
          <cell r="W14354">
            <v>0</v>
          </cell>
          <cell r="AB14354" t="str">
            <v>line item not tagged</v>
          </cell>
        </row>
        <row r="14355">
          <cell r="W14355">
            <v>0</v>
          </cell>
          <cell r="AB14355" t="str">
            <v>line item not tagged</v>
          </cell>
        </row>
        <row r="14356">
          <cell r="W14356">
            <v>0</v>
          </cell>
          <cell r="AB14356" t="str">
            <v>line item not tagged</v>
          </cell>
        </row>
        <row r="14357">
          <cell r="W14357">
            <v>0</v>
          </cell>
          <cell r="AB14357" t="str">
            <v>line item not tagged</v>
          </cell>
        </row>
        <row r="14358">
          <cell r="W14358">
            <v>0</v>
          </cell>
          <cell r="AB14358" t="str">
            <v>line item not tagged</v>
          </cell>
        </row>
        <row r="14359">
          <cell r="W14359">
            <v>0</v>
          </cell>
          <cell r="AB14359" t="str">
            <v>line item not tagged</v>
          </cell>
        </row>
        <row r="14360">
          <cell r="W14360">
            <v>0</v>
          </cell>
          <cell r="AB14360" t="str">
            <v>line item not tagged</v>
          </cell>
        </row>
        <row r="14361">
          <cell r="W14361">
            <v>0</v>
          </cell>
          <cell r="AB14361" t="str">
            <v>line item not tagged</v>
          </cell>
        </row>
        <row r="14362">
          <cell r="W14362">
            <v>0</v>
          </cell>
          <cell r="AB14362" t="str">
            <v>line item not tagged</v>
          </cell>
        </row>
        <row r="14363">
          <cell r="W14363">
            <v>0</v>
          </cell>
          <cell r="AB14363" t="str">
            <v>line item not tagged</v>
          </cell>
        </row>
        <row r="14364">
          <cell r="W14364">
            <v>0</v>
          </cell>
          <cell r="AB14364" t="str">
            <v>line item not tagged</v>
          </cell>
        </row>
        <row r="14365">
          <cell r="W14365">
            <v>0</v>
          </cell>
          <cell r="AB14365" t="str">
            <v>line item not tagged</v>
          </cell>
        </row>
        <row r="14366">
          <cell r="W14366">
            <v>0</v>
          </cell>
          <cell r="AB14366" t="str">
            <v>line item not tagged</v>
          </cell>
        </row>
        <row r="14367">
          <cell r="W14367">
            <v>0</v>
          </cell>
          <cell r="AB14367" t="str">
            <v>line item not tagged</v>
          </cell>
        </row>
        <row r="14368">
          <cell r="W14368">
            <v>0</v>
          </cell>
          <cell r="AB14368" t="str">
            <v>line item not tagged</v>
          </cell>
        </row>
        <row r="14369">
          <cell r="W14369">
            <v>0</v>
          </cell>
          <cell r="AB14369" t="str">
            <v>line item not tagged</v>
          </cell>
        </row>
        <row r="14370">
          <cell r="W14370">
            <v>0</v>
          </cell>
          <cell r="AB14370" t="str">
            <v>line item not tagged</v>
          </cell>
        </row>
        <row r="14371">
          <cell r="W14371">
            <v>0</v>
          </cell>
          <cell r="AB14371" t="str">
            <v>line item not tagged</v>
          </cell>
        </row>
        <row r="14372">
          <cell r="W14372">
            <v>0</v>
          </cell>
          <cell r="AB14372" t="str">
            <v>line item not tagged</v>
          </cell>
        </row>
        <row r="14373">
          <cell r="W14373">
            <v>0</v>
          </cell>
          <cell r="AB14373" t="str">
            <v>line item not tagged</v>
          </cell>
        </row>
        <row r="14374">
          <cell r="W14374">
            <v>0</v>
          </cell>
          <cell r="AB14374" t="str">
            <v>line item not tagged</v>
          </cell>
        </row>
        <row r="14375">
          <cell r="W14375">
            <v>0</v>
          </cell>
          <cell r="AB14375" t="str">
            <v>line item not tagged</v>
          </cell>
        </row>
        <row r="14376">
          <cell r="W14376">
            <v>0</v>
          </cell>
          <cell r="AB14376" t="str">
            <v>line item not tagged</v>
          </cell>
        </row>
        <row r="14377">
          <cell r="W14377">
            <v>0</v>
          </cell>
          <cell r="AB14377" t="str">
            <v>line item not tagged</v>
          </cell>
        </row>
        <row r="14378">
          <cell r="W14378">
            <v>0</v>
          </cell>
          <cell r="AB14378" t="str">
            <v>line item not tagged</v>
          </cell>
        </row>
        <row r="14379">
          <cell r="W14379">
            <v>0</v>
          </cell>
          <cell r="AB14379" t="str">
            <v>line item not tagged</v>
          </cell>
        </row>
        <row r="14380">
          <cell r="W14380">
            <v>0</v>
          </cell>
          <cell r="AB14380" t="str">
            <v>line item not tagged</v>
          </cell>
        </row>
        <row r="14381">
          <cell r="W14381">
            <v>0</v>
          </cell>
          <cell r="AB14381" t="str">
            <v>line item not tagged</v>
          </cell>
        </row>
        <row r="14382">
          <cell r="W14382">
            <v>0</v>
          </cell>
          <cell r="AB14382" t="str">
            <v>line item not tagged</v>
          </cell>
        </row>
        <row r="14383">
          <cell r="W14383">
            <v>0</v>
          </cell>
          <cell r="AB14383" t="str">
            <v>line item not tagged</v>
          </cell>
        </row>
        <row r="14384">
          <cell r="W14384">
            <v>0</v>
          </cell>
          <cell r="AB14384" t="str">
            <v>line item not tagged</v>
          </cell>
        </row>
        <row r="14385">
          <cell r="W14385">
            <v>0</v>
          </cell>
          <cell r="AB14385" t="str">
            <v>line item not tagged</v>
          </cell>
        </row>
        <row r="14386">
          <cell r="W14386">
            <v>0</v>
          </cell>
          <cell r="AB14386" t="str">
            <v>line item not tagged</v>
          </cell>
        </row>
        <row r="14387">
          <cell r="W14387">
            <v>0</v>
          </cell>
          <cell r="AB14387" t="str">
            <v>line item not tagged</v>
          </cell>
        </row>
        <row r="14388">
          <cell r="W14388">
            <v>0</v>
          </cell>
          <cell r="AB14388" t="str">
            <v>line item not tagged</v>
          </cell>
        </row>
        <row r="14389">
          <cell r="W14389">
            <v>0</v>
          </cell>
          <cell r="AB14389" t="str">
            <v>line item not tagged</v>
          </cell>
        </row>
        <row r="14390">
          <cell r="W14390">
            <v>0</v>
          </cell>
          <cell r="AB14390" t="str">
            <v>line item not tagged</v>
          </cell>
        </row>
        <row r="14391">
          <cell r="W14391">
            <v>0</v>
          </cell>
          <cell r="AB14391" t="str">
            <v>line item not tagged</v>
          </cell>
        </row>
        <row r="14392">
          <cell r="W14392">
            <v>0</v>
          </cell>
          <cell r="AB14392" t="str">
            <v>line item not tagged</v>
          </cell>
        </row>
        <row r="14393">
          <cell r="W14393">
            <v>0</v>
          </cell>
          <cell r="AB14393" t="str">
            <v>line item not tagged</v>
          </cell>
        </row>
        <row r="14394">
          <cell r="W14394">
            <v>0</v>
          </cell>
          <cell r="AB14394" t="str">
            <v>line item not tagged</v>
          </cell>
        </row>
        <row r="14395">
          <cell r="W14395">
            <v>0</v>
          </cell>
          <cell r="AB14395" t="str">
            <v>line item not tagged</v>
          </cell>
        </row>
        <row r="14396">
          <cell r="W14396">
            <v>0</v>
          </cell>
          <cell r="AB14396" t="str">
            <v>line item not tagged</v>
          </cell>
        </row>
        <row r="14397">
          <cell r="W14397">
            <v>0</v>
          </cell>
          <cell r="AB14397" t="str">
            <v>line item not tagged</v>
          </cell>
        </row>
        <row r="14398">
          <cell r="W14398">
            <v>0</v>
          </cell>
          <cell r="AB14398" t="str">
            <v>line item not tagged</v>
          </cell>
        </row>
        <row r="14399">
          <cell r="W14399">
            <v>0</v>
          </cell>
          <cell r="AB14399" t="str">
            <v>line item not tagged</v>
          </cell>
        </row>
        <row r="14400">
          <cell r="W14400">
            <v>0</v>
          </cell>
          <cell r="AB14400" t="str">
            <v>line item not tagged</v>
          </cell>
        </row>
        <row r="14401">
          <cell r="W14401">
            <v>0</v>
          </cell>
          <cell r="AB14401" t="str">
            <v>line item not tagged</v>
          </cell>
        </row>
        <row r="14402">
          <cell r="W14402">
            <v>0</v>
          </cell>
          <cell r="AB14402" t="str">
            <v>line item not tagged</v>
          </cell>
        </row>
        <row r="14403">
          <cell r="W14403">
            <v>0</v>
          </cell>
          <cell r="AB14403" t="str">
            <v>line item not tagged</v>
          </cell>
        </row>
        <row r="14404">
          <cell r="W14404">
            <v>0</v>
          </cell>
          <cell r="AB14404" t="str">
            <v>line item not tagged</v>
          </cell>
        </row>
        <row r="14405">
          <cell r="W14405">
            <v>0</v>
          </cell>
          <cell r="AB14405" t="str">
            <v>line item not tagged</v>
          </cell>
        </row>
        <row r="14406">
          <cell r="W14406">
            <v>0</v>
          </cell>
          <cell r="AB14406" t="str">
            <v>line item not tagged</v>
          </cell>
        </row>
        <row r="14407">
          <cell r="W14407">
            <v>0</v>
          </cell>
          <cell r="AB14407" t="str">
            <v>line item not tagged</v>
          </cell>
        </row>
        <row r="14408">
          <cell r="W14408">
            <v>0</v>
          </cell>
          <cell r="AB14408" t="str">
            <v>line item not tagged</v>
          </cell>
        </row>
        <row r="14409">
          <cell r="W14409">
            <v>0</v>
          </cell>
          <cell r="AB14409" t="str">
            <v>line item not tagged</v>
          </cell>
        </row>
        <row r="14410">
          <cell r="W14410">
            <v>0</v>
          </cell>
          <cell r="AB14410" t="str">
            <v>line item not tagged</v>
          </cell>
        </row>
        <row r="14411">
          <cell r="W14411">
            <v>0</v>
          </cell>
          <cell r="AB14411" t="str">
            <v>line item not tagged</v>
          </cell>
        </row>
        <row r="14412">
          <cell r="W14412">
            <v>0</v>
          </cell>
          <cell r="AB14412" t="str">
            <v>line item not tagged</v>
          </cell>
        </row>
        <row r="14413">
          <cell r="W14413">
            <v>0</v>
          </cell>
          <cell r="AB14413" t="str">
            <v>line item not tagged</v>
          </cell>
        </row>
        <row r="14414">
          <cell r="W14414">
            <v>0</v>
          </cell>
          <cell r="AB14414" t="str">
            <v>line item not tagged</v>
          </cell>
        </row>
        <row r="14415">
          <cell r="W14415">
            <v>0</v>
          </cell>
          <cell r="AB14415" t="str">
            <v>line item not tagged</v>
          </cell>
        </row>
        <row r="14416">
          <cell r="W14416">
            <v>0</v>
          </cell>
          <cell r="AB14416" t="str">
            <v>line item not tagged</v>
          </cell>
        </row>
        <row r="14417">
          <cell r="W14417">
            <v>0</v>
          </cell>
          <cell r="AB14417" t="str">
            <v>line item not tagged</v>
          </cell>
        </row>
        <row r="14418">
          <cell r="W14418">
            <v>0</v>
          </cell>
          <cell r="AB14418" t="str">
            <v>line item not tagged</v>
          </cell>
        </row>
        <row r="14419">
          <cell r="W14419">
            <v>0</v>
          </cell>
          <cell r="AB14419" t="str">
            <v>line item not tagged</v>
          </cell>
        </row>
        <row r="14420">
          <cell r="W14420">
            <v>0</v>
          </cell>
          <cell r="AB14420" t="str">
            <v>line item not tagged</v>
          </cell>
        </row>
        <row r="14421">
          <cell r="W14421">
            <v>0</v>
          </cell>
          <cell r="AB14421" t="str">
            <v>line item not tagged</v>
          </cell>
        </row>
        <row r="14422">
          <cell r="W14422">
            <v>0</v>
          </cell>
          <cell r="AB14422" t="str">
            <v>line item not tagged</v>
          </cell>
        </row>
        <row r="14423">
          <cell r="W14423">
            <v>0</v>
          </cell>
          <cell r="AB14423" t="str">
            <v>line item not tagged</v>
          </cell>
        </row>
        <row r="14424">
          <cell r="W14424">
            <v>0</v>
          </cell>
          <cell r="AB14424" t="str">
            <v>line item not tagged</v>
          </cell>
        </row>
        <row r="14425">
          <cell r="W14425">
            <v>0</v>
          </cell>
          <cell r="AB14425" t="str">
            <v>line item not tagged</v>
          </cell>
        </row>
        <row r="14426">
          <cell r="W14426">
            <v>0</v>
          </cell>
          <cell r="AB14426" t="str">
            <v>line item not tagged</v>
          </cell>
        </row>
        <row r="14427">
          <cell r="W14427">
            <v>0</v>
          </cell>
          <cell r="AB14427" t="str">
            <v>line item not tagged</v>
          </cell>
        </row>
        <row r="14428">
          <cell r="W14428">
            <v>0</v>
          </cell>
          <cell r="AB14428" t="str">
            <v>line item not tagged</v>
          </cell>
        </row>
        <row r="14429">
          <cell r="W14429">
            <v>0</v>
          </cell>
          <cell r="AB14429" t="str">
            <v>line item not tagged</v>
          </cell>
        </row>
        <row r="14430">
          <cell r="W14430">
            <v>0</v>
          </cell>
          <cell r="AB14430" t="str">
            <v>line item not tagged</v>
          </cell>
        </row>
        <row r="14431">
          <cell r="W14431">
            <v>0</v>
          </cell>
          <cell r="AB14431" t="str">
            <v>line item not tagged</v>
          </cell>
        </row>
        <row r="14432">
          <cell r="W14432">
            <v>0</v>
          </cell>
          <cell r="AB14432" t="str">
            <v>line item not tagged</v>
          </cell>
        </row>
        <row r="14433">
          <cell r="W14433">
            <v>0</v>
          </cell>
          <cell r="AB14433" t="str">
            <v>line item not tagged</v>
          </cell>
        </row>
        <row r="14434">
          <cell r="W14434">
            <v>0</v>
          </cell>
          <cell r="AB14434" t="str">
            <v>line item not tagged</v>
          </cell>
        </row>
        <row r="14435">
          <cell r="W14435">
            <v>0</v>
          </cell>
          <cell r="AB14435" t="str">
            <v>line item not tagged</v>
          </cell>
        </row>
        <row r="14436">
          <cell r="W14436">
            <v>0</v>
          </cell>
          <cell r="AB14436" t="str">
            <v>line item not tagged</v>
          </cell>
        </row>
        <row r="14437">
          <cell r="W14437">
            <v>0</v>
          </cell>
          <cell r="AB14437" t="str">
            <v>line item not tagged</v>
          </cell>
        </row>
        <row r="14438">
          <cell r="W14438">
            <v>0</v>
          </cell>
          <cell r="AB14438" t="str">
            <v>line item not tagged</v>
          </cell>
        </row>
        <row r="14439">
          <cell r="W14439">
            <v>0</v>
          </cell>
          <cell r="AB14439" t="str">
            <v>line item not tagged</v>
          </cell>
        </row>
        <row r="14440">
          <cell r="W14440">
            <v>0</v>
          </cell>
          <cell r="AB14440" t="str">
            <v>line item not tagged</v>
          </cell>
        </row>
        <row r="14441">
          <cell r="W14441">
            <v>0</v>
          </cell>
          <cell r="AB14441" t="str">
            <v>line item not tagged</v>
          </cell>
        </row>
        <row r="14442">
          <cell r="W14442">
            <v>0</v>
          </cell>
          <cell r="AB14442" t="str">
            <v>line item not tagged</v>
          </cell>
        </row>
        <row r="14443">
          <cell r="W14443">
            <v>0</v>
          </cell>
          <cell r="AB14443" t="str">
            <v>line item not tagged</v>
          </cell>
        </row>
        <row r="14444">
          <cell r="W14444">
            <v>0</v>
          </cell>
          <cell r="AB14444" t="str">
            <v>line item not tagged</v>
          </cell>
        </row>
        <row r="14445">
          <cell r="W14445">
            <v>0</v>
          </cell>
          <cell r="AB14445" t="str">
            <v>line item not tagged</v>
          </cell>
        </row>
        <row r="14446">
          <cell r="W14446">
            <v>0</v>
          </cell>
          <cell r="AB14446" t="str">
            <v>line item not tagged</v>
          </cell>
        </row>
        <row r="14447">
          <cell r="W14447">
            <v>0</v>
          </cell>
          <cell r="AB14447" t="str">
            <v>line item not tagged</v>
          </cell>
        </row>
        <row r="14448">
          <cell r="W14448">
            <v>0</v>
          </cell>
          <cell r="AB14448" t="str">
            <v>line item not tagged</v>
          </cell>
        </row>
        <row r="14449">
          <cell r="W14449">
            <v>0</v>
          </cell>
          <cell r="AB14449" t="str">
            <v>line item not tagged</v>
          </cell>
        </row>
        <row r="14450">
          <cell r="W14450">
            <v>0</v>
          </cell>
          <cell r="AB14450" t="str">
            <v>line item not tagged</v>
          </cell>
        </row>
        <row r="14451">
          <cell r="W14451">
            <v>0</v>
          </cell>
          <cell r="AB14451" t="str">
            <v>line item not tagged</v>
          </cell>
        </row>
        <row r="14452">
          <cell r="W14452">
            <v>0</v>
          </cell>
          <cell r="AB14452" t="str">
            <v>line item not tagged</v>
          </cell>
        </row>
        <row r="14453">
          <cell r="W14453">
            <v>0</v>
          </cell>
          <cell r="AB14453" t="str">
            <v>line item not tagged</v>
          </cell>
        </row>
        <row r="14454">
          <cell r="W14454">
            <v>0</v>
          </cell>
          <cell r="AB14454" t="str">
            <v>line item not tagged</v>
          </cell>
        </row>
        <row r="14455">
          <cell r="W14455">
            <v>0</v>
          </cell>
          <cell r="AB14455" t="str">
            <v>line item not tagged</v>
          </cell>
        </row>
        <row r="14456">
          <cell r="W14456">
            <v>0</v>
          </cell>
          <cell r="AB14456" t="str">
            <v>line item not tagged</v>
          </cell>
        </row>
        <row r="14457">
          <cell r="W14457">
            <v>0</v>
          </cell>
          <cell r="AB14457" t="str">
            <v>line item not tagged</v>
          </cell>
        </row>
        <row r="14458">
          <cell r="W14458">
            <v>0</v>
          </cell>
          <cell r="AB14458" t="str">
            <v>line item not tagged</v>
          </cell>
        </row>
        <row r="14459">
          <cell r="W14459">
            <v>0</v>
          </cell>
          <cell r="AB14459" t="str">
            <v>line item not tagged</v>
          </cell>
        </row>
        <row r="14460">
          <cell r="W14460">
            <v>0</v>
          </cell>
          <cell r="AB14460" t="str">
            <v>line item not tagged</v>
          </cell>
        </row>
        <row r="14461">
          <cell r="W14461">
            <v>0</v>
          </cell>
          <cell r="AB14461" t="str">
            <v>line item not tagged</v>
          </cell>
        </row>
        <row r="14462">
          <cell r="W14462">
            <v>0</v>
          </cell>
          <cell r="AB14462" t="str">
            <v>line item not tagged</v>
          </cell>
        </row>
        <row r="14463">
          <cell r="W14463">
            <v>0</v>
          </cell>
          <cell r="AB14463" t="str">
            <v>line item not tagged</v>
          </cell>
        </row>
        <row r="14464">
          <cell r="W14464">
            <v>0</v>
          </cell>
          <cell r="AB14464" t="str">
            <v>line item not tagged</v>
          </cell>
        </row>
        <row r="14465">
          <cell r="W14465">
            <v>0</v>
          </cell>
          <cell r="AB14465" t="str">
            <v>line item not tagged</v>
          </cell>
        </row>
        <row r="14466">
          <cell r="W14466">
            <v>0</v>
          </cell>
          <cell r="AB14466" t="str">
            <v>line item not tagged</v>
          </cell>
        </row>
        <row r="14467">
          <cell r="W14467">
            <v>0</v>
          </cell>
          <cell r="AB14467" t="str">
            <v>line item not tagged</v>
          </cell>
        </row>
        <row r="14468">
          <cell r="W14468">
            <v>0</v>
          </cell>
          <cell r="AB14468" t="str">
            <v>line item not tagged</v>
          </cell>
        </row>
        <row r="14469">
          <cell r="W14469">
            <v>0</v>
          </cell>
          <cell r="AB14469" t="str">
            <v>line item not tagged</v>
          </cell>
        </row>
        <row r="14470">
          <cell r="W14470">
            <v>0</v>
          </cell>
          <cell r="AB14470" t="str">
            <v>line item not tagged</v>
          </cell>
        </row>
        <row r="14471">
          <cell r="W14471">
            <v>0</v>
          </cell>
          <cell r="AB14471" t="str">
            <v>line item not tagged</v>
          </cell>
        </row>
        <row r="14472">
          <cell r="W14472">
            <v>0</v>
          </cell>
          <cell r="AB14472" t="str">
            <v>line item not tagged</v>
          </cell>
        </row>
        <row r="14473">
          <cell r="W14473">
            <v>0</v>
          </cell>
          <cell r="AB14473" t="str">
            <v>line item not tagged</v>
          </cell>
        </row>
        <row r="14474">
          <cell r="W14474">
            <v>0</v>
          </cell>
          <cell r="AB14474" t="str">
            <v>line item not tagged</v>
          </cell>
        </row>
        <row r="14475">
          <cell r="W14475">
            <v>0</v>
          </cell>
          <cell r="AB14475" t="str">
            <v>line item not tagged</v>
          </cell>
        </row>
        <row r="14476">
          <cell r="W14476">
            <v>0</v>
          </cell>
          <cell r="AB14476" t="str">
            <v>line item not tagged</v>
          </cell>
        </row>
        <row r="14477">
          <cell r="W14477">
            <v>0</v>
          </cell>
          <cell r="AB14477" t="str">
            <v>line item not tagged</v>
          </cell>
        </row>
        <row r="14478">
          <cell r="W14478">
            <v>0</v>
          </cell>
          <cell r="AB14478" t="str">
            <v>line item not tagged</v>
          </cell>
        </row>
        <row r="14479">
          <cell r="W14479">
            <v>0</v>
          </cell>
          <cell r="AB14479" t="str">
            <v>line item not tagged</v>
          </cell>
        </row>
        <row r="14480">
          <cell r="W14480">
            <v>0</v>
          </cell>
          <cell r="AB14480" t="str">
            <v>line item not tagged</v>
          </cell>
        </row>
        <row r="14481">
          <cell r="W14481">
            <v>0</v>
          </cell>
          <cell r="AB14481" t="str">
            <v>line item not tagged</v>
          </cell>
        </row>
        <row r="14482">
          <cell r="W14482">
            <v>0</v>
          </cell>
          <cell r="AB14482" t="str">
            <v>line item not tagged</v>
          </cell>
        </row>
        <row r="14483">
          <cell r="W14483">
            <v>0</v>
          </cell>
          <cell r="AB14483" t="str">
            <v>line item not tagged</v>
          </cell>
        </row>
        <row r="14484">
          <cell r="W14484">
            <v>0</v>
          </cell>
          <cell r="AB14484" t="str">
            <v>line item not tagged</v>
          </cell>
        </row>
        <row r="14485">
          <cell r="W14485">
            <v>0</v>
          </cell>
          <cell r="AB14485" t="str">
            <v>line item not tagged</v>
          </cell>
        </row>
        <row r="14486">
          <cell r="W14486">
            <v>0</v>
          </cell>
          <cell r="AB14486" t="str">
            <v>line item not tagged</v>
          </cell>
        </row>
        <row r="14487">
          <cell r="W14487">
            <v>0</v>
          </cell>
          <cell r="AB14487" t="str">
            <v>line item not tagged</v>
          </cell>
        </row>
        <row r="14488">
          <cell r="W14488">
            <v>0</v>
          </cell>
          <cell r="AB14488" t="str">
            <v>line item not tagged</v>
          </cell>
        </row>
        <row r="14489">
          <cell r="W14489">
            <v>0</v>
          </cell>
          <cell r="AB14489" t="str">
            <v>line item not tagged</v>
          </cell>
        </row>
        <row r="14490">
          <cell r="W14490">
            <v>0</v>
          </cell>
          <cell r="AB14490" t="str">
            <v>line item not tagged</v>
          </cell>
        </row>
        <row r="14491">
          <cell r="W14491">
            <v>0</v>
          </cell>
          <cell r="AB14491" t="str">
            <v>line item not tagged</v>
          </cell>
        </row>
        <row r="14492">
          <cell r="W14492">
            <v>0</v>
          </cell>
          <cell r="AB14492" t="str">
            <v>line item not tagged</v>
          </cell>
        </row>
        <row r="14493">
          <cell r="W14493">
            <v>0</v>
          </cell>
          <cell r="AB14493" t="str">
            <v>line item not tagged</v>
          </cell>
        </row>
        <row r="14494">
          <cell r="W14494">
            <v>0</v>
          </cell>
          <cell r="AB14494" t="str">
            <v>line item not tagged</v>
          </cell>
        </row>
        <row r="14495">
          <cell r="W14495">
            <v>0</v>
          </cell>
          <cell r="AB14495" t="str">
            <v>line item not tagged</v>
          </cell>
        </row>
        <row r="14496">
          <cell r="W14496">
            <v>0</v>
          </cell>
          <cell r="AB14496" t="str">
            <v>line item not tagged</v>
          </cell>
        </row>
        <row r="14497">
          <cell r="W14497">
            <v>0</v>
          </cell>
          <cell r="AB14497" t="str">
            <v>line item not tagged</v>
          </cell>
        </row>
        <row r="14498">
          <cell r="W14498">
            <v>0</v>
          </cell>
          <cell r="AB14498" t="str">
            <v>line item not tagged</v>
          </cell>
        </row>
        <row r="14499">
          <cell r="W14499">
            <v>0</v>
          </cell>
          <cell r="AB14499" t="str">
            <v>line item not tagged</v>
          </cell>
        </row>
        <row r="14500">
          <cell r="W14500">
            <v>0</v>
          </cell>
          <cell r="AB14500" t="str">
            <v>line item not tagged</v>
          </cell>
        </row>
        <row r="14501">
          <cell r="W14501">
            <v>0</v>
          </cell>
          <cell r="AB14501" t="str">
            <v>line item not tagged</v>
          </cell>
        </row>
        <row r="14502">
          <cell r="W14502">
            <v>0</v>
          </cell>
          <cell r="AB14502" t="str">
            <v>line item not tagged</v>
          </cell>
        </row>
        <row r="14503">
          <cell r="W14503">
            <v>0</v>
          </cell>
          <cell r="AB14503" t="str">
            <v>line item not tagged</v>
          </cell>
        </row>
        <row r="14504">
          <cell r="W14504">
            <v>0</v>
          </cell>
          <cell r="AB14504" t="str">
            <v>line item not tagged</v>
          </cell>
        </row>
        <row r="14505">
          <cell r="W14505">
            <v>0</v>
          </cell>
          <cell r="AB14505" t="str">
            <v>line item not tagged</v>
          </cell>
        </row>
        <row r="14506">
          <cell r="W14506">
            <v>0</v>
          </cell>
          <cell r="AB14506" t="str">
            <v>line item not tagged</v>
          </cell>
        </row>
        <row r="14507">
          <cell r="W14507">
            <v>0</v>
          </cell>
          <cell r="AB14507" t="str">
            <v>line item not tagged</v>
          </cell>
        </row>
        <row r="14508">
          <cell r="W14508">
            <v>0</v>
          </cell>
          <cell r="AB14508" t="str">
            <v>line item not tagged</v>
          </cell>
        </row>
        <row r="14509">
          <cell r="W14509">
            <v>0</v>
          </cell>
          <cell r="AB14509" t="str">
            <v>line item not tagged</v>
          </cell>
        </row>
        <row r="14510">
          <cell r="W14510">
            <v>0</v>
          </cell>
          <cell r="AB14510" t="str">
            <v>line item not tagged</v>
          </cell>
        </row>
        <row r="14511">
          <cell r="W14511">
            <v>0</v>
          </cell>
          <cell r="AB14511" t="str">
            <v>line item not tagged</v>
          </cell>
        </row>
        <row r="14512">
          <cell r="W14512">
            <v>0</v>
          </cell>
          <cell r="AB14512" t="str">
            <v>line item not tagged</v>
          </cell>
        </row>
        <row r="14513">
          <cell r="W14513">
            <v>0</v>
          </cell>
          <cell r="AB14513" t="str">
            <v>line item not tagged</v>
          </cell>
        </row>
        <row r="14514">
          <cell r="W14514">
            <v>0</v>
          </cell>
          <cell r="AB14514" t="str">
            <v>line item not tagged</v>
          </cell>
        </row>
        <row r="14515">
          <cell r="W14515">
            <v>0</v>
          </cell>
          <cell r="AB14515" t="str">
            <v>line item not tagged</v>
          </cell>
        </row>
        <row r="14516">
          <cell r="W14516">
            <v>0</v>
          </cell>
          <cell r="AB14516" t="str">
            <v>line item not tagged</v>
          </cell>
        </row>
        <row r="14517">
          <cell r="W14517">
            <v>0</v>
          </cell>
          <cell r="AB14517" t="str">
            <v>line item not tagged</v>
          </cell>
        </row>
        <row r="14518">
          <cell r="W14518">
            <v>0</v>
          </cell>
          <cell r="AB14518" t="str">
            <v>line item not tagged</v>
          </cell>
        </row>
        <row r="14519">
          <cell r="W14519">
            <v>0</v>
          </cell>
          <cell r="AB14519" t="str">
            <v>line item not tagged</v>
          </cell>
        </row>
        <row r="14520">
          <cell r="W14520">
            <v>0</v>
          </cell>
          <cell r="AB14520" t="str">
            <v>line item not tagged</v>
          </cell>
        </row>
        <row r="14521">
          <cell r="W14521">
            <v>0</v>
          </cell>
          <cell r="AB14521" t="str">
            <v>line item not tagged</v>
          </cell>
        </row>
        <row r="14522">
          <cell r="W14522">
            <v>0</v>
          </cell>
          <cell r="AB14522" t="str">
            <v>line item not tagged</v>
          </cell>
        </row>
        <row r="14523">
          <cell r="W14523">
            <v>0</v>
          </cell>
          <cell r="AB14523" t="str">
            <v>line item not tagged</v>
          </cell>
        </row>
        <row r="14524">
          <cell r="W14524">
            <v>0</v>
          </cell>
          <cell r="AB14524" t="str">
            <v>line item not tagged</v>
          </cell>
        </row>
        <row r="14525">
          <cell r="W14525">
            <v>0</v>
          </cell>
          <cell r="AB14525" t="str">
            <v>line item not tagged</v>
          </cell>
        </row>
        <row r="14526">
          <cell r="W14526">
            <v>0</v>
          </cell>
          <cell r="AB14526" t="str">
            <v>line item not tagged</v>
          </cell>
        </row>
        <row r="14527">
          <cell r="W14527">
            <v>0</v>
          </cell>
          <cell r="AB14527" t="str">
            <v>line item not tagged</v>
          </cell>
        </row>
        <row r="14528">
          <cell r="W14528">
            <v>0</v>
          </cell>
          <cell r="AB14528" t="str">
            <v>line item not tagged</v>
          </cell>
        </row>
        <row r="14529">
          <cell r="W14529">
            <v>0</v>
          </cell>
          <cell r="AB14529" t="str">
            <v>line item not tagged</v>
          </cell>
        </row>
        <row r="14530">
          <cell r="W14530">
            <v>0</v>
          </cell>
          <cell r="AB14530" t="str">
            <v>line item not tagged</v>
          </cell>
        </row>
        <row r="14531">
          <cell r="W14531">
            <v>0</v>
          </cell>
          <cell r="AB14531" t="str">
            <v>line item not tagged</v>
          </cell>
        </row>
        <row r="14532">
          <cell r="W14532">
            <v>0</v>
          </cell>
          <cell r="AB14532" t="str">
            <v>line item not tagged</v>
          </cell>
        </row>
        <row r="14533">
          <cell r="W14533">
            <v>0</v>
          </cell>
          <cell r="AB14533" t="str">
            <v>line item not tagged</v>
          </cell>
        </row>
        <row r="14534">
          <cell r="W14534">
            <v>0</v>
          </cell>
          <cell r="AB14534" t="str">
            <v>line item not tagged</v>
          </cell>
        </row>
        <row r="14535">
          <cell r="W14535">
            <v>0</v>
          </cell>
          <cell r="AB14535" t="str">
            <v>line item not tagged</v>
          </cell>
        </row>
        <row r="14536">
          <cell r="W14536">
            <v>0</v>
          </cell>
          <cell r="AB14536" t="str">
            <v>line item not tagged</v>
          </cell>
        </row>
        <row r="14537">
          <cell r="W14537">
            <v>0</v>
          </cell>
          <cell r="AB14537" t="str">
            <v>line item not tagged</v>
          </cell>
        </row>
        <row r="14538">
          <cell r="W14538">
            <v>0</v>
          </cell>
          <cell r="AB14538" t="str">
            <v>line item not tagged</v>
          </cell>
        </row>
        <row r="14539">
          <cell r="W14539">
            <v>0</v>
          </cell>
          <cell r="AB14539" t="str">
            <v>line item not tagged</v>
          </cell>
        </row>
        <row r="14540">
          <cell r="W14540">
            <v>0</v>
          </cell>
          <cell r="AB14540" t="str">
            <v>line item not tagged</v>
          </cell>
        </row>
        <row r="14541">
          <cell r="W14541">
            <v>0</v>
          </cell>
          <cell r="AB14541" t="str">
            <v>line item not tagged</v>
          </cell>
        </row>
        <row r="14542">
          <cell r="W14542">
            <v>0</v>
          </cell>
          <cell r="AB14542" t="str">
            <v>line item not tagged</v>
          </cell>
        </row>
        <row r="14543">
          <cell r="W14543">
            <v>0</v>
          </cell>
          <cell r="AB14543" t="str">
            <v>line item not tagged</v>
          </cell>
        </row>
        <row r="14544">
          <cell r="W14544">
            <v>0</v>
          </cell>
          <cell r="AB14544" t="str">
            <v>line item not tagged</v>
          </cell>
        </row>
        <row r="14545">
          <cell r="W14545">
            <v>0</v>
          </cell>
          <cell r="AB14545" t="str">
            <v>line item not tagged</v>
          </cell>
        </row>
        <row r="14546">
          <cell r="W14546">
            <v>0</v>
          </cell>
          <cell r="AB14546" t="str">
            <v>line item not tagged</v>
          </cell>
        </row>
        <row r="14547">
          <cell r="W14547">
            <v>0</v>
          </cell>
          <cell r="AB14547" t="str">
            <v>line item not tagged</v>
          </cell>
        </row>
        <row r="14548">
          <cell r="W14548">
            <v>0</v>
          </cell>
          <cell r="AB14548" t="str">
            <v>line item not tagged</v>
          </cell>
        </row>
        <row r="14549">
          <cell r="W14549">
            <v>0</v>
          </cell>
          <cell r="AB14549" t="str">
            <v>line item not tagged</v>
          </cell>
        </row>
        <row r="14550">
          <cell r="W14550">
            <v>0</v>
          </cell>
          <cell r="AB14550" t="str">
            <v>line item not tagged</v>
          </cell>
        </row>
        <row r="14551">
          <cell r="W14551">
            <v>0</v>
          </cell>
          <cell r="AB14551" t="str">
            <v>line item not tagged</v>
          </cell>
        </row>
        <row r="14552">
          <cell r="W14552">
            <v>0</v>
          </cell>
          <cell r="AB14552" t="str">
            <v>line item not tagged</v>
          </cell>
        </row>
        <row r="14553">
          <cell r="W14553">
            <v>0</v>
          </cell>
          <cell r="AB14553" t="str">
            <v>line item not tagged</v>
          </cell>
        </row>
        <row r="14554">
          <cell r="W14554">
            <v>0</v>
          </cell>
          <cell r="AB14554" t="str">
            <v>line item not tagged</v>
          </cell>
        </row>
        <row r="14555">
          <cell r="W14555">
            <v>0</v>
          </cell>
          <cell r="AB14555" t="str">
            <v>line item not tagged</v>
          </cell>
        </row>
        <row r="14556">
          <cell r="W14556">
            <v>0</v>
          </cell>
          <cell r="AB14556" t="str">
            <v>line item not tagged</v>
          </cell>
        </row>
        <row r="14557">
          <cell r="W14557">
            <v>0</v>
          </cell>
          <cell r="AB14557" t="str">
            <v>line item not tagged</v>
          </cell>
        </row>
        <row r="14558">
          <cell r="W14558">
            <v>0</v>
          </cell>
          <cell r="AB14558" t="str">
            <v>line item not tagged</v>
          </cell>
        </row>
        <row r="14559">
          <cell r="W14559">
            <v>0</v>
          </cell>
          <cell r="AB14559" t="str">
            <v>line item not tagged</v>
          </cell>
        </row>
        <row r="14560">
          <cell r="W14560">
            <v>0</v>
          </cell>
          <cell r="AB14560" t="str">
            <v>line item not tagged</v>
          </cell>
        </row>
        <row r="14561">
          <cell r="W14561">
            <v>0</v>
          </cell>
          <cell r="AB14561" t="str">
            <v>line item not tagged</v>
          </cell>
        </row>
        <row r="14562">
          <cell r="W14562">
            <v>0</v>
          </cell>
          <cell r="AB14562" t="str">
            <v>line item not tagged</v>
          </cell>
        </row>
        <row r="14563">
          <cell r="W14563">
            <v>0</v>
          </cell>
          <cell r="AB14563" t="str">
            <v>line item not tagged</v>
          </cell>
        </row>
        <row r="14564">
          <cell r="W14564">
            <v>0</v>
          </cell>
          <cell r="AB14564" t="str">
            <v>line item not tagged</v>
          </cell>
        </row>
        <row r="14565">
          <cell r="W14565">
            <v>0</v>
          </cell>
          <cell r="AB14565" t="str">
            <v>line item not tagged</v>
          </cell>
        </row>
        <row r="14566">
          <cell r="W14566">
            <v>0</v>
          </cell>
          <cell r="AB14566" t="str">
            <v>line item not tagged</v>
          </cell>
        </row>
        <row r="14567">
          <cell r="W14567">
            <v>0</v>
          </cell>
          <cell r="AB14567" t="str">
            <v>line item not tagged</v>
          </cell>
        </row>
        <row r="14568">
          <cell r="W14568">
            <v>0</v>
          </cell>
          <cell r="AB14568" t="str">
            <v>line item not tagged</v>
          </cell>
        </row>
        <row r="14569">
          <cell r="W14569">
            <v>0</v>
          </cell>
          <cell r="AB14569" t="str">
            <v>line item not tagged</v>
          </cell>
        </row>
        <row r="14570">
          <cell r="W14570">
            <v>0</v>
          </cell>
          <cell r="AB14570" t="str">
            <v>line item not tagged</v>
          </cell>
        </row>
        <row r="14571">
          <cell r="W14571">
            <v>0</v>
          </cell>
          <cell r="AB14571" t="str">
            <v>line item not tagged</v>
          </cell>
        </row>
        <row r="14572">
          <cell r="W14572">
            <v>0</v>
          </cell>
          <cell r="AB14572" t="str">
            <v>line item not tagged</v>
          </cell>
        </row>
        <row r="14573">
          <cell r="W14573">
            <v>0</v>
          </cell>
          <cell r="AB14573" t="str">
            <v>line item not tagged</v>
          </cell>
        </row>
        <row r="14574">
          <cell r="W14574">
            <v>0</v>
          </cell>
          <cell r="AB14574" t="str">
            <v>line item not tagged</v>
          </cell>
        </row>
        <row r="14575">
          <cell r="W14575">
            <v>0</v>
          </cell>
          <cell r="AB14575" t="str">
            <v>line item not tagged</v>
          </cell>
        </row>
        <row r="14576">
          <cell r="W14576">
            <v>0</v>
          </cell>
          <cell r="AB14576" t="str">
            <v>line item not tagged</v>
          </cell>
        </row>
        <row r="14577">
          <cell r="W14577">
            <v>0</v>
          </cell>
          <cell r="AB14577" t="str">
            <v>line item not tagged</v>
          </cell>
        </row>
        <row r="14578">
          <cell r="W14578">
            <v>0</v>
          </cell>
          <cell r="AB14578" t="str">
            <v>line item not tagged</v>
          </cell>
        </row>
        <row r="14579">
          <cell r="W14579">
            <v>0</v>
          </cell>
          <cell r="AB14579" t="str">
            <v>line item not tagged</v>
          </cell>
        </row>
        <row r="14580">
          <cell r="W14580">
            <v>0</v>
          </cell>
          <cell r="AB14580" t="str">
            <v>line item not tagged</v>
          </cell>
        </row>
        <row r="14581">
          <cell r="W14581">
            <v>0</v>
          </cell>
          <cell r="AB14581" t="str">
            <v>line item not tagged</v>
          </cell>
        </row>
        <row r="14582">
          <cell r="W14582">
            <v>0</v>
          </cell>
          <cell r="AB14582" t="str">
            <v>line item not tagged</v>
          </cell>
        </row>
        <row r="14583">
          <cell r="W14583">
            <v>0</v>
          </cell>
          <cell r="AB14583" t="str">
            <v>line item not tagged</v>
          </cell>
        </row>
        <row r="14584">
          <cell r="W14584">
            <v>0</v>
          </cell>
          <cell r="AB14584" t="str">
            <v>line item not tagged</v>
          </cell>
        </row>
        <row r="14585">
          <cell r="W14585">
            <v>0</v>
          </cell>
          <cell r="AB14585" t="str">
            <v>line item not tagged</v>
          </cell>
        </row>
        <row r="14586">
          <cell r="W14586">
            <v>0</v>
          </cell>
          <cell r="AB14586" t="str">
            <v>line item not tagged</v>
          </cell>
        </row>
        <row r="14587">
          <cell r="W14587">
            <v>0</v>
          </cell>
          <cell r="AB14587" t="str">
            <v>line item not tagged</v>
          </cell>
        </row>
        <row r="14588">
          <cell r="W14588">
            <v>0</v>
          </cell>
          <cell r="AB14588" t="str">
            <v>line item not tagged</v>
          </cell>
        </row>
        <row r="14589">
          <cell r="W14589">
            <v>0</v>
          </cell>
          <cell r="AB14589" t="str">
            <v>line item not tagged</v>
          </cell>
        </row>
        <row r="14590">
          <cell r="W14590">
            <v>0</v>
          </cell>
          <cell r="AB14590" t="str">
            <v>line item not tagged</v>
          </cell>
        </row>
        <row r="14591">
          <cell r="W14591">
            <v>0</v>
          </cell>
          <cell r="AB14591" t="str">
            <v>line item not tagged</v>
          </cell>
        </row>
        <row r="14592">
          <cell r="W14592">
            <v>0</v>
          </cell>
          <cell r="AB14592" t="str">
            <v>line item not tagged</v>
          </cell>
        </row>
        <row r="14593">
          <cell r="W14593">
            <v>0</v>
          </cell>
          <cell r="AB14593" t="str">
            <v>line item not tagged</v>
          </cell>
        </row>
        <row r="14594">
          <cell r="W14594">
            <v>0</v>
          </cell>
          <cell r="AB14594" t="str">
            <v>line item not tagged</v>
          </cell>
        </row>
        <row r="14595">
          <cell r="W14595">
            <v>0</v>
          </cell>
          <cell r="AB14595" t="str">
            <v>line item not tagged</v>
          </cell>
        </row>
        <row r="14596">
          <cell r="W14596">
            <v>0</v>
          </cell>
          <cell r="AB14596" t="str">
            <v>line item not tagged</v>
          </cell>
        </row>
        <row r="14597">
          <cell r="W14597">
            <v>0</v>
          </cell>
          <cell r="AB14597" t="str">
            <v>line item not tagged</v>
          </cell>
        </row>
        <row r="14598">
          <cell r="W14598">
            <v>0</v>
          </cell>
          <cell r="AB14598" t="str">
            <v>line item not tagged</v>
          </cell>
        </row>
        <row r="14599">
          <cell r="W14599">
            <v>0</v>
          </cell>
          <cell r="AB14599" t="str">
            <v>line item not tagged</v>
          </cell>
        </row>
        <row r="14600">
          <cell r="W14600">
            <v>0</v>
          </cell>
          <cell r="AB14600" t="str">
            <v>line item not tagged</v>
          </cell>
        </row>
        <row r="14601">
          <cell r="W14601">
            <v>0</v>
          </cell>
          <cell r="AB14601" t="str">
            <v>line item not tagged</v>
          </cell>
        </row>
        <row r="14602">
          <cell r="W14602">
            <v>0</v>
          </cell>
          <cell r="AB14602" t="str">
            <v>line item not tagged</v>
          </cell>
        </row>
        <row r="14603">
          <cell r="W14603">
            <v>0</v>
          </cell>
          <cell r="AB14603" t="str">
            <v>line item not tagged</v>
          </cell>
        </row>
        <row r="14604">
          <cell r="W14604">
            <v>0</v>
          </cell>
          <cell r="AB14604" t="str">
            <v>line item not tagged</v>
          </cell>
        </row>
        <row r="14605">
          <cell r="W14605">
            <v>0</v>
          </cell>
          <cell r="AB14605" t="str">
            <v>line item not tagged</v>
          </cell>
        </row>
        <row r="14606">
          <cell r="W14606">
            <v>0</v>
          </cell>
          <cell r="AB14606" t="str">
            <v>line item not tagged</v>
          </cell>
        </row>
        <row r="14607">
          <cell r="W14607">
            <v>0</v>
          </cell>
          <cell r="AB14607" t="str">
            <v>line item not tagged</v>
          </cell>
        </row>
        <row r="14608">
          <cell r="W14608">
            <v>0</v>
          </cell>
          <cell r="AB14608" t="str">
            <v>line item not tagged</v>
          </cell>
        </row>
        <row r="14609">
          <cell r="W14609">
            <v>0</v>
          </cell>
          <cell r="AB14609" t="str">
            <v>line item not tagged</v>
          </cell>
        </row>
        <row r="14610">
          <cell r="W14610">
            <v>0</v>
          </cell>
          <cell r="AB14610" t="str">
            <v>line item not tagged</v>
          </cell>
        </row>
        <row r="14611">
          <cell r="W14611">
            <v>0</v>
          </cell>
          <cell r="AB14611" t="str">
            <v>line item not tagged</v>
          </cell>
        </row>
        <row r="14612">
          <cell r="W14612">
            <v>0</v>
          </cell>
          <cell r="AB14612" t="str">
            <v>line item not tagged</v>
          </cell>
        </row>
        <row r="14613">
          <cell r="W14613">
            <v>0</v>
          </cell>
          <cell r="AB14613" t="str">
            <v>line item not tagged</v>
          </cell>
        </row>
        <row r="14614">
          <cell r="W14614">
            <v>0</v>
          </cell>
          <cell r="AB14614" t="str">
            <v>line item not tagged</v>
          </cell>
        </row>
        <row r="14615">
          <cell r="W14615">
            <v>0</v>
          </cell>
          <cell r="AB14615" t="str">
            <v>line item not tagged</v>
          </cell>
        </row>
        <row r="14616">
          <cell r="W14616">
            <v>0</v>
          </cell>
          <cell r="AB14616" t="str">
            <v>line item not tagged</v>
          </cell>
        </row>
        <row r="14617">
          <cell r="W14617">
            <v>0</v>
          </cell>
          <cell r="AB14617" t="str">
            <v>line item not tagged</v>
          </cell>
        </row>
        <row r="14618">
          <cell r="W14618">
            <v>0</v>
          </cell>
          <cell r="AB14618" t="str">
            <v>line item not tagged</v>
          </cell>
        </row>
        <row r="14619">
          <cell r="W14619">
            <v>0</v>
          </cell>
          <cell r="AB14619" t="str">
            <v>line item not tagged</v>
          </cell>
        </row>
        <row r="14620">
          <cell r="W14620">
            <v>0</v>
          </cell>
          <cell r="AB14620" t="str">
            <v>line item not tagged</v>
          </cell>
        </row>
        <row r="14621">
          <cell r="W14621">
            <v>0</v>
          </cell>
          <cell r="AB14621" t="str">
            <v>line item not tagged</v>
          </cell>
        </row>
        <row r="14622">
          <cell r="W14622">
            <v>0</v>
          </cell>
          <cell r="AB14622" t="str">
            <v>line item not tagged</v>
          </cell>
        </row>
        <row r="14623">
          <cell r="W14623">
            <v>0</v>
          </cell>
          <cell r="AB14623" t="str">
            <v>line item not tagged</v>
          </cell>
        </row>
        <row r="14624">
          <cell r="W14624">
            <v>0</v>
          </cell>
          <cell r="AB14624" t="str">
            <v>line item not tagged</v>
          </cell>
        </row>
        <row r="14625">
          <cell r="W14625">
            <v>0</v>
          </cell>
          <cell r="AB14625" t="str">
            <v>line item not tagged</v>
          </cell>
        </row>
        <row r="14626">
          <cell r="W14626">
            <v>0</v>
          </cell>
          <cell r="AB14626" t="str">
            <v>line item not tagged</v>
          </cell>
        </row>
        <row r="14627">
          <cell r="W14627">
            <v>0</v>
          </cell>
          <cell r="AB14627" t="str">
            <v>line item not tagged</v>
          </cell>
        </row>
        <row r="14628">
          <cell r="W14628">
            <v>0</v>
          </cell>
          <cell r="AB14628" t="str">
            <v>line item not tagged</v>
          </cell>
        </row>
        <row r="14629">
          <cell r="W14629">
            <v>0</v>
          </cell>
          <cell r="AB14629" t="str">
            <v>line item not tagged</v>
          </cell>
        </row>
        <row r="14630">
          <cell r="W14630">
            <v>0</v>
          </cell>
          <cell r="AB14630" t="str">
            <v>line item not tagged</v>
          </cell>
        </row>
        <row r="14631">
          <cell r="W14631">
            <v>0</v>
          </cell>
          <cell r="AB14631" t="str">
            <v>line item not tagged</v>
          </cell>
        </row>
        <row r="14632">
          <cell r="W14632">
            <v>0</v>
          </cell>
          <cell r="AB14632" t="str">
            <v>line item not tagged</v>
          </cell>
        </row>
        <row r="14633">
          <cell r="W14633">
            <v>0</v>
          </cell>
          <cell r="AB14633" t="str">
            <v>line item not tagged</v>
          </cell>
        </row>
        <row r="14634">
          <cell r="W14634">
            <v>0</v>
          </cell>
          <cell r="AB14634" t="str">
            <v>line item not tagged</v>
          </cell>
        </row>
        <row r="14635">
          <cell r="W14635">
            <v>0</v>
          </cell>
          <cell r="AB14635" t="str">
            <v>line item not tagged</v>
          </cell>
        </row>
        <row r="14636">
          <cell r="W14636">
            <v>0</v>
          </cell>
          <cell r="AB14636" t="str">
            <v>line item not tagged</v>
          </cell>
        </row>
        <row r="14637">
          <cell r="W14637">
            <v>0</v>
          </cell>
          <cell r="AB14637" t="str">
            <v>line item not tagged</v>
          </cell>
        </row>
        <row r="14638">
          <cell r="W14638">
            <v>0</v>
          </cell>
          <cell r="AB14638" t="str">
            <v>line item not tagged</v>
          </cell>
        </row>
        <row r="14639">
          <cell r="W14639">
            <v>0</v>
          </cell>
          <cell r="AB14639" t="str">
            <v>line item not tagged</v>
          </cell>
        </row>
        <row r="14640">
          <cell r="W14640">
            <v>0</v>
          </cell>
          <cell r="AB14640" t="str">
            <v>line item not tagged</v>
          </cell>
        </row>
        <row r="14641">
          <cell r="W14641">
            <v>0</v>
          </cell>
          <cell r="AB14641" t="str">
            <v>line item not tagged</v>
          </cell>
        </row>
        <row r="14642">
          <cell r="W14642">
            <v>0</v>
          </cell>
          <cell r="AB14642" t="str">
            <v>line item not tagged</v>
          </cell>
        </row>
        <row r="14643">
          <cell r="W14643">
            <v>0</v>
          </cell>
          <cell r="AB14643" t="str">
            <v>line item not tagged</v>
          </cell>
        </row>
        <row r="14644">
          <cell r="W14644">
            <v>0</v>
          </cell>
          <cell r="AB14644" t="str">
            <v>line item not tagged</v>
          </cell>
        </row>
        <row r="14645">
          <cell r="W14645">
            <v>0</v>
          </cell>
          <cell r="AB14645" t="str">
            <v>line item not tagged</v>
          </cell>
        </row>
        <row r="14646">
          <cell r="W14646">
            <v>0</v>
          </cell>
          <cell r="AB14646" t="str">
            <v>line item not tagged</v>
          </cell>
        </row>
        <row r="14647">
          <cell r="W14647">
            <v>0</v>
          </cell>
          <cell r="AB14647" t="str">
            <v>line item not tagged</v>
          </cell>
        </row>
        <row r="14648">
          <cell r="W14648">
            <v>0</v>
          </cell>
          <cell r="AB14648" t="str">
            <v>line item not tagged</v>
          </cell>
        </row>
        <row r="14649">
          <cell r="W14649">
            <v>0</v>
          </cell>
          <cell r="AB14649" t="str">
            <v>line item not tagged</v>
          </cell>
        </row>
        <row r="14650">
          <cell r="W14650">
            <v>0</v>
          </cell>
          <cell r="AB14650" t="str">
            <v>line item not tagged</v>
          </cell>
        </row>
        <row r="14651">
          <cell r="W14651">
            <v>0</v>
          </cell>
          <cell r="AB14651" t="str">
            <v>line item not tagged</v>
          </cell>
        </row>
        <row r="14652">
          <cell r="W14652">
            <v>0</v>
          </cell>
          <cell r="AB14652" t="str">
            <v>line item not tagged</v>
          </cell>
        </row>
        <row r="14653">
          <cell r="W14653">
            <v>0</v>
          </cell>
          <cell r="AB14653" t="str">
            <v>line item not tagged</v>
          </cell>
        </row>
        <row r="14654">
          <cell r="W14654">
            <v>0</v>
          </cell>
          <cell r="AB14654" t="str">
            <v>line item not tagged</v>
          </cell>
        </row>
        <row r="14655">
          <cell r="W14655">
            <v>0</v>
          </cell>
          <cell r="AB14655" t="str">
            <v>line item not tagged</v>
          </cell>
        </row>
        <row r="14656">
          <cell r="W14656">
            <v>0</v>
          </cell>
          <cell r="AB14656" t="str">
            <v>line item not tagged</v>
          </cell>
        </row>
        <row r="14657">
          <cell r="W14657">
            <v>0</v>
          </cell>
          <cell r="AB14657" t="str">
            <v>line item not tagged</v>
          </cell>
        </row>
        <row r="14658">
          <cell r="W14658">
            <v>0</v>
          </cell>
          <cell r="AB14658" t="str">
            <v>line item not tagged</v>
          </cell>
        </row>
        <row r="14659">
          <cell r="W14659">
            <v>0</v>
          </cell>
          <cell r="AB14659" t="str">
            <v>line item not tagged</v>
          </cell>
        </row>
        <row r="14660">
          <cell r="W14660">
            <v>0</v>
          </cell>
          <cell r="AB14660" t="str">
            <v>line item not tagged</v>
          </cell>
        </row>
        <row r="14661">
          <cell r="W14661">
            <v>0</v>
          </cell>
          <cell r="AB14661" t="str">
            <v>line item not tagged</v>
          </cell>
        </row>
        <row r="14662">
          <cell r="W14662">
            <v>0</v>
          </cell>
          <cell r="AB14662" t="str">
            <v>line item not tagged</v>
          </cell>
        </row>
        <row r="14663">
          <cell r="W14663">
            <v>0</v>
          </cell>
          <cell r="AB14663" t="str">
            <v>line item not tagged</v>
          </cell>
        </row>
        <row r="14664">
          <cell r="W14664">
            <v>0</v>
          </cell>
          <cell r="AB14664" t="str">
            <v>line item not tagged</v>
          </cell>
        </row>
        <row r="14665">
          <cell r="W14665">
            <v>0</v>
          </cell>
          <cell r="AB14665" t="str">
            <v>line item not tagged</v>
          </cell>
        </row>
        <row r="14666">
          <cell r="W14666">
            <v>0</v>
          </cell>
          <cell r="AB14666" t="str">
            <v>line item not tagged</v>
          </cell>
        </row>
        <row r="14667">
          <cell r="W14667">
            <v>0</v>
          </cell>
          <cell r="AB14667" t="str">
            <v>line item not tagged</v>
          </cell>
        </row>
        <row r="14668">
          <cell r="W14668">
            <v>0</v>
          </cell>
          <cell r="AB14668" t="str">
            <v>line item not tagged</v>
          </cell>
        </row>
        <row r="14669">
          <cell r="W14669">
            <v>0</v>
          </cell>
          <cell r="AB14669" t="str">
            <v>line item not tagged</v>
          </cell>
        </row>
        <row r="14670">
          <cell r="W14670">
            <v>0</v>
          </cell>
          <cell r="AB14670" t="str">
            <v>line item not tagged</v>
          </cell>
        </row>
        <row r="14671">
          <cell r="W14671">
            <v>0</v>
          </cell>
          <cell r="AB14671" t="str">
            <v>line item not tagged</v>
          </cell>
        </row>
        <row r="14672">
          <cell r="W14672">
            <v>0</v>
          </cell>
          <cell r="AB14672" t="str">
            <v>line item not tagged</v>
          </cell>
        </row>
        <row r="14673">
          <cell r="W14673">
            <v>0</v>
          </cell>
          <cell r="AB14673" t="str">
            <v>line item not tagged</v>
          </cell>
        </row>
        <row r="14674">
          <cell r="W14674">
            <v>0</v>
          </cell>
          <cell r="AB14674" t="str">
            <v>line item not tagged</v>
          </cell>
        </row>
        <row r="14675">
          <cell r="W14675">
            <v>0</v>
          </cell>
          <cell r="AB14675" t="str">
            <v>line item not tagged</v>
          </cell>
        </row>
        <row r="14676">
          <cell r="W14676">
            <v>0</v>
          </cell>
          <cell r="AB14676" t="str">
            <v>line item not tagged</v>
          </cell>
        </row>
        <row r="14677">
          <cell r="W14677">
            <v>0</v>
          </cell>
          <cell r="AB14677" t="str">
            <v>line item not tagged</v>
          </cell>
        </row>
        <row r="14678">
          <cell r="W14678">
            <v>0</v>
          </cell>
          <cell r="AB14678" t="str">
            <v>line item not tagged</v>
          </cell>
        </row>
        <row r="14679">
          <cell r="W14679">
            <v>0</v>
          </cell>
          <cell r="AB14679" t="str">
            <v>line item not tagged</v>
          </cell>
        </row>
        <row r="14680">
          <cell r="W14680">
            <v>0</v>
          </cell>
          <cell r="AB14680" t="str">
            <v>line item not tagged</v>
          </cell>
        </row>
        <row r="14681">
          <cell r="W14681">
            <v>0</v>
          </cell>
          <cell r="AB14681" t="str">
            <v>line item not tagged</v>
          </cell>
        </row>
        <row r="14682">
          <cell r="W14682">
            <v>0</v>
          </cell>
          <cell r="AB14682" t="str">
            <v>line item not tagged</v>
          </cell>
        </row>
        <row r="14683">
          <cell r="W14683">
            <v>0</v>
          </cell>
          <cell r="AB14683" t="str">
            <v>line item not tagged</v>
          </cell>
        </row>
        <row r="14684">
          <cell r="W14684">
            <v>0</v>
          </cell>
          <cell r="AB14684" t="str">
            <v>line item not tagged</v>
          </cell>
        </row>
        <row r="14685">
          <cell r="W14685">
            <v>0</v>
          </cell>
          <cell r="AB14685" t="str">
            <v>line item not tagged</v>
          </cell>
        </row>
        <row r="14686">
          <cell r="W14686">
            <v>0</v>
          </cell>
          <cell r="AB14686" t="str">
            <v>line item not tagged</v>
          </cell>
        </row>
        <row r="14687">
          <cell r="W14687">
            <v>0</v>
          </cell>
          <cell r="AB14687" t="str">
            <v>line item not tagged</v>
          </cell>
        </row>
        <row r="14688">
          <cell r="W14688">
            <v>0</v>
          </cell>
          <cell r="AB14688" t="str">
            <v>line item not tagged</v>
          </cell>
        </row>
        <row r="14689">
          <cell r="W14689">
            <v>0</v>
          </cell>
          <cell r="AB14689" t="str">
            <v>line item not tagged</v>
          </cell>
        </row>
        <row r="14690">
          <cell r="W14690">
            <v>0</v>
          </cell>
          <cell r="AB14690" t="str">
            <v>line item not tagged</v>
          </cell>
        </row>
        <row r="14691">
          <cell r="W14691">
            <v>0</v>
          </cell>
          <cell r="AB14691" t="str">
            <v>line item not tagged</v>
          </cell>
        </row>
        <row r="14692">
          <cell r="W14692">
            <v>0</v>
          </cell>
          <cell r="AB14692" t="str">
            <v>line item not tagged</v>
          </cell>
        </row>
        <row r="14693">
          <cell r="W14693">
            <v>0</v>
          </cell>
          <cell r="AB14693" t="str">
            <v>line item not tagged</v>
          </cell>
        </row>
        <row r="14694">
          <cell r="W14694">
            <v>0</v>
          </cell>
          <cell r="AB14694" t="str">
            <v>line item not tagged</v>
          </cell>
        </row>
        <row r="14695">
          <cell r="W14695">
            <v>0</v>
          </cell>
          <cell r="AB14695" t="str">
            <v>line item not tagged</v>
          </cell>
        </row>
        <row r="14696">
          <cell r="W14696">
            <v>0</v>
          </cell>
          <cell r="AB14696" t="str">
            <v>line item not tagged</v>
          </cell>
        </row>
        <row r="14697">
          <cell r="W14697">
            <v>0</v>
          </cell>
          <cell r="AB14697" t="str">
            <v>line item not tagged</v>
          </cell>
        </row>
        <row r="14698">
          <cell r="W14698">
            <v>0</v>
          </cell>
          <cell r="AB14698" t="str">
            <v>line item not tagged</v>
          </cell>
        </row>
        <row r="14699">
          <cell r="W14699">
            <v>0</v>
          </cell>
          <cell r="AB14699" t="str">
            <v>line item not tagged</v>
          </cell>
        </row>
        <row r="14700">
          <cell r="W14700">
            <v>0</v>
          </cell>
          <cell r="AB14700" t="str">
            <v>line item not tagged</v>
          </cell>
        </row>
        <row r="14701">
          <cell r="W14701">
            <v>0</v>
          </cell>
          <cell r="AB14701" t="str">
            <v>line item not tagged</v>
          </cell>
        </row>
        <row r="14702">
          <cell r="W14702">
            <v>0</v>
          </cell>
          <cell r="AB14702" t="str">
            <v>line item not tagged</v>
          </cell>
        </row>
        <row r="14703">
          <cell r="W14703">
            <v>0</v>
          </cell>
          <cell r="AB14703" t="str">
            <v>line item not tagged</v>
          </cell>
        </row>
        <row r="14704">
          <cell r="W14704">
            <v>0</v>
          </cell>
          <cell r="AB14704" t="str">
            <v>line item not tagged</v>
          </cell>
        </row>
        <row r="14705">
          <cell r="W14705">
            <v>0</v>
          </cell>
          <cell r="AB14705" t="str">
            <v>line item not tagged</v>
          </cell>
        </row>
        <row r="14706">
          <cell r="W14706">
            <v>0</v>
          </cell>
          <cell r="AB14706" t="str">
            <v>line item not tagged</v>
          </cell>
        </row>
        <row r="14707">
          <cell r="W14707">
            <v>0</v>
          </cell>
          <cell r="AB14707" t="str">
            <v>line item not tagged</v>
          </cell>
        </row>
        <row r="14708">
          <cell r="W14708">
            <v>0</v>
          </cell>
          <cell r="AB14708" t="str">
            <v>line item not tagged</v>
          </cell>
        </row>
        <row r="14709">
          <cell r="W14709">
            <v>0</v>
          </cell>
          <cell r="AB14709" t="str">
            <v>line item not tagged</v>
          </cell>
        </row>
        <row r="14710">
          <cell r="W14710">
            <v>0</v>
          </cell>
          <cell r="AB14710" t="str">
            <v>line item not tagged</v>
          </cell>
        </row>
        <row r="14711">
          <cell r="W14711">
            <v>0</v>
          </cell>
          <cell r="AB14711" t="str">
            <v>line item not tagged</v>
          </cell>
        </row>
        <row r="14712">
          <cell r="W14712">
            <v>0</v>
          </cell>
          <cell r="AB14712" t="str">
            <v>line item not tagged</v>
          </cell>
        </row>
        <row r="14713">
          <cell r="W14713">
            <v>0</v>
          </cell>
          <cell r="AB14713" t="str">
            <v>line item not tagged</v>
          </cell>
        </row>
        <row r="14714">
          <cell r="W14714">
            <v>0</v>
          </cell>
          <cell r="AB14714" t="str">
            <v>line item not tagged</v>
          </cell>
        </row>
        <row r="14715">
          <cell r="W14715">
            <v>0</v>
          </cell>
          <cell r="AB14715" t="str">
            <v>line item not tagged</v>
          </cell>
        </row>
        <row r="14716">
          <cell r="W14716">
            <v>0</v>
          </cell>
          <cell r="AB14716" t="str">
            <v>line item not tagged</v>
          </cell>
        </row>
        <row r="14717">
          <cell r="W14717">
            <v>0</v>
          </cell>
          <cell r="AB14717" t="str">
            <v>line item not tagged</v>
          </cell>
        </row>
        <row r="14718">
          <cell r="W14718">
            <v>0</v>
          </cell>
          <cell r="AB14718" t="str">
            <v>line item not tagged</v>
          </cell>
        </row>
        <row r="14719">
          <cell r="W14719">
            <v>0</v>
          </cell>
          <cell r="AB14719" t="str">
            <v>line item not tagged</v>
          </cell>
        </row>
        <row r="14720">
          <cell r="W14720">
            <v>0</v>
          </cell>
          <cell r="AB14720" t="str">
            <v>line item not tagged</v>
          </cell>
        </row>
        <row r="14721">
          <cell r="W14721">
            <v>0</v>
          </cell>
          <cell r="AB14721" t="str">
            <v>line item not tagged</v>
          </cell>
        </row>
        <row r="14722">
          <cell r="W14722">
            <v>0</v>
          </cell>
          <cell r="AB14722" t="str">
            <v>line item not tagged</v>
          </cell>
        </row>
        <row r="14723">
          <cell r="W14723">
            <v>0</v>
          </cell>
          <cell r="AB14723" t="str">
            <v>line item not tagged</v>
          </cell>
        </row>
        <row r="14724">
          <cell r="W14724">
            <v>0</v>
          </cell>
          <cell r="AB14724" t="str">
            <v>line item not tagged</v>
          </cell>
        </row>
        <row r="14725">
          <cell r="W14725">
            <v>0</v>
          </cell>
          <cell r="AB14725" t="str">
            <v>line item not tagged</v>
          </cell>
        </row>
        <row r="14726">
          <cell r="W14726">
            <v>0</v>
          </cell>
          <cell r="AB14726" t="str">
            <v>line item not tagged</v>
          </cell>
        </row>
        <row r="14727">
          <cell r="W14727">
            <v>0</v>
          </cell>
          <cell r="AB14727" t="str">
            <v>line item not tagged</v>
          </cell>
        </row>
        <row r="14728">
          <cell r="W14728">
            <v>0</v>
          </cell>
          <cell r="AB14728" t="str">
            <v>line item not tagged</v>
          </cell>
        </row>
        <row r="14729">
          <cell r="W14729">
            <v>0</v>
          </cell>
          <cell r="AB14729" t="str">
            <v>line item not tagged</v>
          </cell>
        </row>
        <row r="14730">
          <cell r="W14730">
            <v>0</v>
          </cell>
          <cell r="AB14730" t="str">
            <v>line item not tagged</v>
          </cell>
        </row>
        <row r="14731">
          <cell r="W14731">
            <v>0</v>
          </cell>
          <cell r="AB14731" t="str">
            <v>line item not tagged</v>
          </cell>
        </row>
        <row r="14732">
          <cell r="W14732">
            <v>0</v>
          </cell>
          <cell r="AB14732" t="str">
            <v>line item not tagged</v>
          </cell>
        </row>
        <row r="14733">
          <cell r="W14733">
            <v>0</v>
          </cell>
          <cell r="AB14733" t="str">
            <v>line item not tagged</v>
          </cell>
        </row>
        <row r="14734">
          <cell r="W14734">
            <v>0</v>
          </cell>
          <cell r="AB14734" t="str">
            <v>line item not tagged</v>
          </cell>
        </row>
        <row r="14735">
          <cell r="W14735">
            <v>0</v>
          </cell>
          <cell r="AB14735" t="str">
            <v>line item not tagged</v>
          </cell>
        </row>
        <row r="14736">
          <cell r="W14736">
            <v>0</v>
          </cell>
          <cell r="AB14736" t="str">
            <v>line item not tagged</v>
          </cell>
        </row>
        <row r="14737">
          <cell r="W14737">
            <v>0</v>
          </cell>
          <cell r="AB14737" t="str">
            <v>line item not tagged</v>
          </cell>
        </row>
        <row r="14738">
          <cell r="W14738">
            <v>0</v>
          </cell>
          <cell r="AB14738" t="str">
            <v>line item not tagged</v>
          </cell>
        </row>
        <row r="14739">
          <cell r="W14739">
            <v>0</v>
          </cell>
          <cell r="AB14739" t="str">
            <v>line item not tagged</v>
          </cell>
        </row>
        <row r="14740">
          <cell r="W14740">
            <v>0</v>
          </cell>
          <cell r="AB14740" t="str">
            <v>line item not tagged</v>
          </cell>
        </row>
        <row r="14741">
          <cell r="W14741">
            <v>0</v>
          </cell>
          <cell r="AB14741" t="str">
            <v>line item not tagged</v>
          </cell>
        </row>
        <row r="14742">
          <cell r="W14742">
            <v>0</v>
          </cell>
          <cell r="AB14742" t="str">
            <v>line item not tagged</v>
          </cell>
        </row>
        <row r="14743">
          <cell r="W14743">
            <v>0</v>
          </cell>
          <cell r="AB14743" t="str">
            <v>line item not tagged</v>
          </cell>
        </row>
        <row r="14744">
          <cell r="W14744">
            <v>0</v>
          </cell>
          <cell r="AB14744" t="str">
            <v>line item not tagged</v>
          </cell>
        </row>
        <row r="14745">
          <cell r="W14745">
            <v>0</v>
          </cell>
          <cell r="AB14745" t="str">
            <v>line item not tagged</v>
          </cell>
        </row>
        <row r="14746">
          <cell r="W14746">
            <v>0</v>
          </cell>
          <cell r="AB14746" t="str">
            <v>line item not tagged</v>
          </cell>
        </row>
        <row r="14747">
          <cell r="W14747">
            <v>0</v>
          </cell>
          <cell r="AB14747" t="str">
            <v>line item not tagged</v>
          </cell>
        </row>
        <row r="14748">
          <cell r="W14748">
            <v>0</v>
          </cell>
          <cell r="AB14748" t="str">
            <v>line item not tagged</v>
          </cell>
        </row>
        <row r="14749">
          <cell r="W14749">
            <v>0</v>
          </cell>
          <cell r="AB14749" t="str">
            <v>line item not tagged</v>
          </cell>
        </row>
        <row r="14750">
          <cell r="W14750">
            <v>0</v>
          </cell>
          <cell r="AB14750" t="str">
            <v>line item not tagged</v>
          </cell>
        </row>
        <row r="14751">
          <cell r="W14751">
            <v>0</v>
          </cell>
          <cell r="AB14751" t="str">
            <v>line item not tagged</v>
          </cell>
        </row>
        <row r="14752">
          <cell r="W14752">
            <v>0</v>
          </cell>
          <cell r="AB14752" t="str">
            <v>line item not tagged</v>
          </cell>
        </row>
        <row r="14753">
          <cell r="W14753">
            <v>0</v>
          </cell>
          <cell r="AB14753" t="str">
            <v>line item not tagged</v>
          </cell>
        </row>
        <row r="14754">
          <cell r="W14754">
            <v>0</v>
          </cell>
          <cell r="AB14754" t="str">
            <v>line item not tagged</v>
          </cell>
        </row>
        <row r="14755">
          <cell r="W14755">
            <v>0</v>
          </cell>
          <cell r="AB14755" t="str">
            <v>line item not tagged</v>
          </cell>
        </row>
        <row r="14756">
          <cell r="W14756">
            <v>0</v>
          </cell>
          <cell r="AB14756" t="str">
            <v>line item not tagged</v>
          </cell>
        </row>
        <row r="14757">
          <cell r="W14757">
            <v>0</v>
          </cell>
          <cell r="AB14757" t="str">
            <v>line item not tagged</v>
          </cell>
        </row>
        <row r="14758">
          <cell r="W14758">
            <v>0</v>
          </cell>
          <cell r="AB14758" t="str">
            <v>line item not tagged</v>
          </cell>
        </row>
        <row r="14759">
          <cell r="W14759">
            <v>0</v>
          </cell>
          <cell r="AB14759" t="str">
            <v>line item not tagged</v>
          </cell>
        </row>
        <row r="14760">
          <cell r="W14760">
            <v>0</v>
          </cell>
          <cell r="AB14760" t="str">
            <v>line item not tagged</v>
          </cell>
        </row>
        <row r="14761">
          <cell r="W14761">
            <v>0</v>
          </cell>
          <cell r="AB14761" t="str">
            <v>line item not tagged</v>
          </cell>
        </row>
        <row r="14762">
          <cell r="W14762">
            <v>0</v>
          </cell>
          <cell r="AB14762" t="str">
            <v>line item not tagged</v>
          </cell>
        </row>
        <row r="14763">
          <cell r="W14763">
            <v>0</v>
          </cell>
          <cell r="AB14763" t="str">
            <v>line item not tagged</v>
          </cell>
        </row>
        <row r="14764">
          <cell r="W14764">
            <v>0</v>
          </cell>
          <cell r="AB14764" t="str">
            <v>line item not tagged</v>
          </cell>
        </row>
        <row r="14765">
          <cell r="W14765">
            <v>0</v>
          </cell>
          <cell r="AB14765" t="str">
            <v>line item not tagged</v>
          </cell>
        </row>
        <row r="14766">
          <cell r="W14766">
            <v>0</v>
          </cell>
          <cell r="AB14766" t="str">
            <v>line item not tagged</v>
          </cell>
        </row>
        <row r="14767">
          <cell r="W14767">
            <v>0</v>
          </cell>
          <cell r="AB14767" t="str">
            <v>line item not tagged</v>
          </cell>
        </row>
        <row r="14768">
          <cell r="W14768">
            <v>0</v>
          </cell>
          <cell r="AB14768" t="str">
            <v>line item not tagged</v>
          </cell>
        </row>
        <row r="14769">
          <cell r="W14769">
            <v>0</v>
          </cell>
          <cell r="AB14769" t="str">
            <v>line item not tagged</v>
          </cell>
        </row>
        <row r="14770">
          <cell r="W14770">
            <v>0</v>
          </cell>
          <cell r="AB14770" t="str">
            <v>line item not tagged</v>
          </cell>
        </row>
        <row r="14771">
          <cell r="W14771">
            <v>0</v>
          </cell>
          <cell r="AB14771" t="str">
            <v>line item not tagged</v>
          </cell>
        </row>
        <row r="14772">
          <cell r="W14772">
            <v>0</v>
          </cell>
          <cell r="AB14772" t="str">
            <v>line item not tagged</v>
          </cell>
        </row>
        <row r="14773">
          <cell r="W14773">
            <v>0</v>
          </cell>
          <cell r="AB14773" t="str">
            <v>line item not tagged</v>
          </cell>
        </row>
        <row r="14774">
          <cell r="W14774">
            <v>0</v>
          </cell>
          <cell r="AB14774" t="str">
            <v>line item not tagged</v>
          </cell>
        </row>
        <row r="14775">
          <cell r="W14775">
            <v>0</v>
          </cell>
          <cell r="AB14775" t="str">
            <v>line item not tagged</v>
          </cell>
        </row>
        <row r="14776">
          <cell r="W14776">
            <v>0</v>
          </cell>
          <cell r="AB14776" t="str">
            <v>line item not tagged</v>
          </cell>
        </row>
        <row r="14777">
          <cell r="W14777">
            <v>0</v>
          </cell>
          <cell r="AB14777" t="str">
            <v>line item not tagged</v>
          </cell>
        </row>
        <row r="14778">
          <cell r="W14778">
            <v>0</v>
          </cell>
          <cell r="AB14778" t="str">
            <v>line item not tagged</v>
          </cell>
        </row>
        <row r="14779">
          <cell r="W14779">
            <v>0</v>
          </cell>
          <cell r="AB14779" t="str">
            <v>line item not tagged</v>
          </cell>
        </row>
        <row r="14780">
          <cell r="W14780">
            <v>0</v>
          </cell>
          <cell r="AB14780" t="str">
            <v>line item not tagged</v>
          </cell>
        </row>
        <row r="14781">
          <cell r="W14781">
            <v>0</v>
          </cell>
          <cell r="AB14781" t="str">
            <v>line item not tagged</v>
          </cell>
        </row>
        <row r="14782">
          <cell r="W14782">
            <v>0</v>
          </cell>
          <cell r="AB14782" t="str">
            <v>line item not tagged</v>
          </cell>
        </row>
        <row r="14783">
          <cell r="W14783">
            <v>0</v>
          </cell>
          <cell r="AB14783" t="str">
            <v>line item not tagged</v>
          </cell>
        </row>
        <row r="14784">
          <cell r="W14784">
            <v>0</v>
          </cell>
          <cell r="AB14784" t="str">
            <v>line item not tagged</v>
          </cell>
        </row>
        <row r="14785">
          <cell r="W14785">
            <v>0</v>
          </cell>
          <cell r="AB14785" t="str">
            <v>line item not tagged</v>
          </cell>
        </row>
        <row r="14786">
          <cell r="W14786">
            <v>0</v>
          </cell>
          <cell r="AB14786" t="str">
            <v>line item not tagged</v>
          </cell>
        </row>
        <row r="14787">
          <cell r="W14787">
            <v>0</v>
          </cell>
          <cell r="AB14787" t="str">
            <v>line item not tagged</v>
          </cell>
        </row>
        <row r="14788">
          <cell r="W14788">
            <v>0</v>
          </cell>
          <cell r="AB14788" t="str">
            <v>line item not tagged</v>
          </cell>
        </row>
        <row r="14789">
          <cell r="W14789">
            <v>0</v>
          </cell>
          <cell r="AB14789" t="str">
            <v>line item not tagged</v>
          </cell>
        </row>
        <row r="14790">
          <cell r="W14790">
            <v>0</v>
          </cell>
          <cell r="AB14790" t="str">
            <v>line item not tagged</v>
          </cell>
        </row>
        <row r="14791">
          <cell r="W14791">
            <v>0</v>
          </cell>
          <cell r="AB14791" t="str">
            <v>line item not tagged</v>
          </cell>
        </row>
        <row r="14792">
          <cell r="W14792">
            <v>0</v>
          </cell>
          <cell r="AB14792" t="str">
            <v>line item not tagged</v>
          </cell>
        </row>
        <row r="14793">
          <cell r="W14793">
            <v>0</v>
          </cell>
          <cell r="AB14793" t="str">
            <v>line item not tagged</v>
          </cell>
        </row>
        <row r="14794">
          <cell r="W14794">
            <v>0</v>
          </cell>
          <cell r="AB14794" t="str">
            <v>line item not tagged</v>
          </cell>
        </row>
        <row r="14795">
          <cell r="W14795">
            <v>0</v>
          </cell>
          <cell r="AB14795" t="str">
            <v>line item not tagged</v>
          </cell>
        </row>
        <row r="14796">
          <cell r="W14796">
            <v>0</v>
          </cell>
          <cell r="AB14796" t="str">
            <v>line item not tagged</v>
          </cell>
        </row>
        <row r="14797">
          <cell r="W14797">
            <v>0</v>
          </cell>
          <cell r="AB14797" t="str">
            <v>line item not tagged</v>
          </cell>
        </row>
        <row r="14798">
          <cell r="W14798">
            <v>0</v>
          </cell>
          <cell r="AB14798" t="str">
            <v>line item not tagged</v>
          </cell>
        </row>
        <row r="14799">
          <cell r="W14799">
            <v>0</v>
          </cell>
          <cell r="AB14799" t="str">
            <v>line item not tagged</v>
          </cell>
        </row>
        <row r="14800">
          <cell r="W14800">
            <v>0</v>
          </cell>
          <cell r="AB14800" t="str">
            <v>line item not tagged</v>
          </cell>
        </row>
        <row r="14801">
          <cell r="W14801">
            <v>0</v>
          </cell>
          <cell r="AB14801" t="str">
            <v>line item not tagged</v>
          </cell>
        </row>
        <row r="14802">
          <cell r="W14802">
            <v>0</v>
          </cell>
          <cell r="AB14802" t="str">
            <v>line item not tagged</v>
          </cell>
        </row>
        <row r="14803">
          <cell r="W14803">
            <v>0</v>
          </cell>
          <cell r="AB14803" t="str">
            <v>line item not tagged</v>
          </cell>
        </row>
        <row r="14804">
          <cell r="W14804">
            <v>0</v>
          </cell>
          <cell r="AB14804" t="str">
            <v>line item not tagged</v>
          </cell>
        </row>
        <row r="14805">
          <cell r="W14805">
            <v>0</v>
          </cell>
          <cell r="AB14805" t="str">
            <v>line item not tagged</v>
          </cell>
        </row>
        <row r="14806">
          <cell r="W14806">
            <v>0</v>
          </cell>
          <cell r="AB14806" t="str">
            <v>line item not tagged</v>
          </cell>
        </row>
        <row r="14807">
          <cell r="W14807">
            <v>0</v>
          </cell>
          <cell r="AB14807" t="str">
            <v>line item not tagged</v>
          </cell>
        </row>
        <row r="14808">
          <cell r="W14808">
            <v>0</v>
          </cell>
          <cell r="AB14808" t="str">
            <v>line item not tagged</v>
          </cell>
        </row>
        <row r="14809">
          <cell r="W14809">
            <v>0</v>
          </cell>
          <cell r="AB14809" t="str">
            <v>line item not tagged</v>
          </cell>
        </row>
        <row r="14810">
          <cell r="W14810">
            <v>0</v>
          </cell>
          <cell r="AB14810" t="str">
            <v>line item not tagged</v>
          </cell>
        </row>
        <row r="14811">
          <cell r="W14811">
            <v>0</v>
          </cell>
          <cell r="AB14811" t="str">
            <v>line item not tagged</v>
          </cell>
        </row>
        <row r="14812">
          <cell r="W14812">
            <v>0</v>
          </cell>
          <cell r="AB14812" t="str">
            <v>line item not tagged</v>
          </cell>
        </row>
        <row r="14813">
          <cell r="W14813">
            <v>0</v>
          </cell>
          <cell r="AB14813" t="str">
            <v>line item not tagged</v>
          </cell>
        </row>
        <row r="14814">
          <cell r="W14814">
            <v>0</v>
          </cell>
          <cell r="AB14814" t="str">
            <v>line item not tagged</v>
          </cell>
        </row>
        <row r="14815">
          <cell r="W14815">
            <v>0</v>
          </cell>
          <cell r="AB14815" t="str">
            <v>line item not tagged</v>
          </cell>
        </row>
        <row r="14816">
          <cell r="W14816">
            <v>0</v>
          </cell>
          <cell r="AB14816" t="str">
            <v>line item not tagged</v>
          </cell>
        </row>
        <row r="14817">
          <cell r="W14817">
            <v>0</v>
          </cell>
          <cell r="AB14817" t="str">
            <v>line item not tagged</v>
          </cell>
        </row>
        <row r="14818">
          <cell r="W14818">
            <v>0</v>
          </cell>
          <cell r="AB14818" t="str">
            <v>line item not tagged</v>
          </cell>
        </row>
        <row r="14819">
          <cell r="W14819">
            <v>0</v>
          </cell>
          <cell r="AB14819" t="str">
            <v>line item not tagged</v>
          </cell>
        </row>
        <row r="14820">
          <cell r="W14820">
            <v>0</v>
          </cell>
          <cell r="AB14820" t="str">
            <v>line item not tagged</v>
          </cell>
        </row>
        <row r="14821">
          <cell r="W14821">
            <v>0</v>
          </cell>
          <cell r="AB14821" t="str">
            <v>line item not tagged</v>
          </cell>
        </row>
        <row r="14822">
          <cell r="W14822">
            <v>0</v>
          </cell>
          <cell r="AB14822" t="str">
            <v>line item not tagged</v>
          </cell>
        </row>
        <row r="14823">
          <cell r="W14823">
            <v>0</v>
          </cell>
          <cell r="AB14823" t="str">
            <v>line item not tagged</v>
          </cell>
        </row>
        <row r="14824">
          <cell r="W14824">
            <v>0</v>
          </cell>
          <cell r="AB14824" t="str">
            <v>line item not tagged</v>
          </cell>
        </row>
        <row r="14825">
          <cell r="W14825">
            <v>0</v>
          </cell>
          <cell r="AB14825" t="str">
            <v>line item not tagged</v>
          </cell>
        </row>
        <row r="14826">
          <cell r="W14826">
            <v>0</v>
          </cell>
          <cell r="AB14826" t="str">
            <v>line item not tagged</v>
          </cell>
        </row>
        <row r="14827">
          <cell r="W14827">
            <v>0</v>
          </cell>
          <cell r="AB14827" t="str">
            <v>line item not tagged</v>
          </cell>
        </row>
        <row r="14828">
          <cell r="W14828">
            <v>0</v>
          </cell>
          <cell r="AB14828" t="str">
            <v>line item not tagged</v>
          </cell>
        </row>
        <row r="14829">
          <cell r="W14829">
            <v>0</v>
          </cell>
          <cell r="AB14829" t="str">
            <v>line item not tagged</v>
          </cell>
        </row>
        <row r="14830">
          <cell r="W14830">
            <v>0</v>
          </cell>
          <cell r="AB14830" t="str">
            <v>line item not tagged</v>
          </cell>
        </row>
        <row r="14831">
          <cell r="W14831">
            <v>0</v>
          </cell>
          <cell r="AB14831" t="str">
            <v>line item not tagged</v>
          </cell>
        </row>
        <row r="14832">
          <cell r="W14832">
            <v>0</v>
          </cell>
          <cell r="AB14832" t="str">
            <v>line item not tagged</v>
          </cell>
        </row>
        <row r="14833">
          <cell r="W14833">
            <v>0</v>
          </cell>
          <cell r="AB14833" t="str">
            <v>line item not tagged</v>
          </cell>
        </row>
        <row r="14834">
          <cell r="W14834">
            <v>0</v>
          </cell>
          <cell r="AB14834" t="str">
            <v>line item not tagged</v>
          </cell>
        </row>
        <row r="14835">
          <cell r="W14835">
            <v>0</v>
          </cell>
          <cell r="AB14835" t="str">
            <v>line item not tagged</v>
          </cell>
        </row>
        <row r="14836">
          <cell r="W14836">
            <v>0</v>
          </cell>
          <cell r="AB14836" t="str">
            <v>line item not tagged</v>
          </cell>
        </row>
        <row r="14837">
          <cell r="W14837">
            <v>0</v>
          </cell>
          <cell r="AB14837" t="str">
            <v>line item not tagged</v>
          </cell>
        </row>
        <row r="14838">
          <cell r="W14838">
            <v>0</v>
          </cell>
          <cell r="AB14838" t="str">
            <v>line item not tagged</v>
          </cell>
        </row>
        <row r="14839">
          <cell r="W14839">
            <v>0</v>
          </cell>
          <cell r="AB14839" t="str">
            <v>line item not tagged</v>
          </cell>
        </row>
        <row r="14840">
          <cell r="W14840">
            <v>0</v>
          </cell>
          <cell r="AB14840" t="str">
            <v>line item not tagged</v>
          </cell>
        </row>
        <row r="14841">
          <cell r="W14841">
            <v>0</v>
          </cell>
          <cell r="AB14841" t="str">
            <v>line item not tagged</v>
          </cell>
        </row>
        <row r="14842">
          <cell r="W14842">
            <v>0</v>
          </cell>
          <cell r="AB14842" t="str">
            <v>line item not tagged</v>
          </cell>
        </row>
        <row r="14843">
          <cell r="W14843">
            <v>0</v>
          </cell>
          <cell r="AB14843" t="str">
            <v>line item not tagged</v>
          </cell>
        </row>
        <row r="14844">
          <cell r="W14844">
            <v>0</v>
          </cell>
          <cell r="AB14844" t="str">
            <v>line item not tagged</v>
          </cell>
        </row>
        <row r="14845">
          <cell r="W14845">
            <v>0</v>
          </cell>
          <cell r="AB14845" t="str">
            <v>line item not tagged</v>
          </cell>
        </row>
        <row r="14846">
          <cell r="W14846">
            <v>0</v>
          </cell>
          <cell r="AB14846" t="str">
            <v>line item not tagged</v>
          </cell>
        </row>
        <row r="14847">
          <cell r="W14847">
            <v>0</v>
          </cell>
          <cell r="AB14847" t="str">
            <v>line item not tagged</v>
          </cell>
        </row>
        <row r="14848">
          <cell r="W14848">
            <v>0</v>
          </cell>
          <cell r="AB14848" t="str">
            <v>line item not tagged</v>
          </cell>
        </row>
        <row r="14849">
          <cell r="W14849">
            <v>0</v>
          </cell>
          <cell r="AB14849" t="str">
            <v>line item not tagged</v>
          </cell>
        </row>
        <row r="14850">
          <cell r="W14850">
            <v>0</v>
          </cell>
          <cell r="AB14850" t="str">
            <v>line item not tagged</v>
          </cell>
        </row>
        <row r="14851">
          <cell r="W14851">
            <v>0</v>
          </cell>
          <cell r="AB14851" t="str">
            <v>line item not tagged</v>
          </cell>
        </row>
        <row r="14852">
          <cell r="W14852">
            <v>0</v>
          </cell>
          <cell r="AB14852" t="str">
            <v>line item not tagged</v>
          </cell>
        </row>
        <row r="14853">
          <cell r="W14853">
            <v>0</v>
          </cell>
          <cell r="AB14853" t="str">
            <v>line item not tagged</v>
          </cell>
        </row>
        <row r="14854">
          <cell r="W14854">
            <v>0</v>
          </cell>
          <cell r="AB14854" t="str">
            <v>line item not tagged</v>
          </cell>
        </row>
        <row r="14855">
          <cell r="W14855">
            <v>0</v>
          </cell>
          <cell r="AB14855" t="str">
            <v>line item not tagged</v>
          </cell>
        </row>
        <row r="14856">
          <cell r="W14856">
            <v>0</v>
          </cell>
          <cell r="AB14856" t="str">
            <v>line item not tagged</v>
          </cell>
        </row>
        <row r="14857">
          <cell r="W14857">
            <v>0</v>
          </cell>
          <cell r="AB14857" t="str">
            <v>line item not tagged</v>
          </cell>
        </row>
        <row r="14858">
          <cell r="W14858">
            <v>0</v>
          </cell>
          <cell r="AB14858" t="str">
            <v>line item not tagged</v>
          </cell>
        </row>
        <row r="14859">
          <cell r="W14859">
            <v>0</v>
          </cell>
          <cell r="AB14859" t="str">
            <v>line item not tagged</v>
          </cell>
        </row>
        <row r="14860">
          <cell r="W14860">
            <v>0</v>
          </cell>
          <cell r="AB14860" t="str">
            <v>line item not tagged</v>
          </cell>
        </row>
        <row r="14861">
          <cell r="W14861">
            <v>0</v>
          </cell>
          <cell r="AB14861" t="str">
            <v>line item not tagged</v>
          </cell>
        </row>
        <row r="14862">
          <cell r="W14862">
            <v>0</v>
          </cell>
          <cell r="AB14862" t="str">
            <v>line item not tagged</v>
          </cell>
        </row>
        <row r="14863">
          <cell r="W14863">
            <v>0</v>
          </cell>
          <cell r="AB14863" t="str">
            <v>line item not tagged</v>
          </cell>
        </row>
        <row r="14864">
          <cell r="W14864">
            <v>0</v>
          </cell>
          <cell r="AB14864" t="str">
            <v>line item not tagged</v>
          </cell>
        </row>
        <row r="14865">
          <cell r="W14865">
            <v>0</v>
          </cell>
          <cell r="AB14865" t="str">
            <v>line item not tagged</v>
          </cell>
        </row>
        <row r="14866">
          <cell r="W14866">
            <v>0</v>
          </cell>
          <cell r="AB14866" t="str">
            <v>line item not tagged</v>
          </cell>
        </row>
        <row r="14867">
          <cell r="W14867">
            <v>0</v>
          </cell>
          <cell r="AB14867" t="str">
            <v>line item not tagged</v>
          </cell>
        </row>
        <row r="14868">
          <cell r="W14868">
            <v>0</v>
          </cell>
          <cell r="AB14868" t="str">
            <v>line item not tagged</v>
          </cell>
        </row>
        <row r="14869">
          <cell r="W14869">
            <v>0</v>
          </cell>
          <cell r="AB14869" t="str">
            <v>line item not tagged</v>
          </cell>
        </row>
        <row r="14870">
          <cell r="W14870">
            <v>0</v>
          </cell>
          <cell r="AB14870" t="str">
            <v>line item not tagged</v>
          </cell>
        </row>
        <row r="14871">
          <cell r="W14871">
            <v>0</v>
          </cell>
          <cell r="AB14871" t="str">
            <v>line item not tagged</v>
          </cell>
        </row>
        <row r="14872">
          <cell r="W14872">
            <v>0</v>
          </cell>
          <cell r="AB14872" t="str">
            <v>line item not tagged</v>
          </cell>
        </row>
        <row r="14873">
          <cell r="W14873">
            <v>0</v>
          </cell>
          <cell r="AB14873" t="str">
            <v>line item not tagged</v>
          </cell>
        </row>
        <row r="14874">
          <cell r="W14874">
            <v>0</v>
          </cell>
          <cell r="AB14874" t="str">
            <v>line item not tagged</v>
          </cell>
        </row>
        <row r="14875">
          <cell r="W14875">
            <v>0</v>
          </cell>
          <cell r="AB14875" t="str">
            <v>line item not tagged</v>
          </cell>
        </row>
        <row r="14876">
          <cell r="W14876">
            <v>0</v>
          </cell>
          <cell r="AB14876" t="str">
            <v>line item not tagged</v>
          </cell>
        </row>
        <row r="14877">
          <cell r="W14877">
            <v>0</v>
          </cell>
          <cell r="AB14877" t="str">
            <v>line item not tagged</v>
          </cell>
        </row>
        <row r="14878">
          <cell r="W14878">
            <v>0</v>
          </cell>
          <cell r="AB14878" t="str">
            <v>line item not tagged</v>
          </cell>
        </row>
        <row r="14879">
          <cell r="W14879">
            <v>0</v>
          </cell>
          <cell r="AB14879" t="str">
            <v>line item not tagged</v>
          </cell>
        </row>
        <row r="14880">
          <cell r="W14880">
            <v>0</v>
          </cell>
          <cell r="AB14880" t="str">
            <v>line item not tagged</v>
          </cell>
        </row>
        <row r="14881">
          <cell r="W14881">
            <v>0</v>
          </cell>
          <cell r="AB14881" t="str">
            <v>line item not tagged</v>
          </cell>
        </row>
        <row r="14882">
          <cell r="W14882">
            <v>0</v>
          </cell>
          <cell r="AB14882" t="str">
            <v>line item not tagged</v>
          </cell>
        </row>
        <row r="14883">
          <cell r="W14883">
            <v>0</v>
          </cell>
          <cell r="AB14883" t="str">
            <v>line item not tagged</v>
          </cell>
        </row>
        <row r="14884">
          <cell r="W14884">
            <v>0</v>
          </cell>
          <cell r="AB14884" t="str">
            <v>line item not tagged</v>
          </cell>
        </row>
        <row r="14885">
          <cell r="W14885">
            <v>0</v>
          </cell>
          <cell r="AB14885" t="str">
            <v>line item not tagged</v>
          </cell>
        </row>
        <row r="14886">
          <cell r="W14886">
            <v>0</v>
          </cell>
          <cell r="AB14886" t="str">
            <v>line item not tagged</v>
          </cell>
        </row>
        <row r="14887">
          <cell r="W14887">
            <v>0</v>
          </cell>
          <cell r="AB14887" t="str">
            <v>line item not tagged</v>
          </cell>
        </row>
        <row r="14888">
          <cell r="W14888">
            <v>0</v>
          </cell>
          <cell r="AB14888" t="str">
            <v>line item not tagged</v>
          </cell>
        </row>
        <row r="14889">
          <cell r="W14889">
            <v>0</v>
          </cell>
          <cell r="AB14889" t="str">
            <v>line item not tagged</v>
          </cell>
        </row>
        <row r="14890">
          <cell r="W14890">
            <v>0</v>
          </cell>
          <cell r="AB14890" t="str">
            <v>line item not tagged</v>
          </cell>
        </row>
        <row r="14891">
          <cell r="W14891">
            <v>0</v>
          </cell>
          <cell r="AB14891" t="str">
            <v>line item not tagged</v>
          </cell>
        </row>
        <row r="14892">
          <cell r="W14892">
            <v>0</v>
          </cell>
          <cell r="AB14892" t="str">
            <v>line item not tagged</v>
          </cell>
        </row>
        <row r="14893">
          <cell r="W14893">
            <v>0</v>
          </cell>
          <cell r="AB14893" t="str">
            <v>line item not tagged</v>
          </cell>
        </row>
        <row r="14894">
          <cell r="W14894">
            <v>0</v>
          </cell>
          <cell r="AB14894" t="str">
            <v>line item not tagged</v>
          </cell>
        </row>
        <row r="14895">
          <cell r="W14895">
            <v>0</v>
          </cell>
          <cell r="AB14895" t="str">
            <v>line item not tagged</v>
          </cell>
        </row>
        <row r="14896">
          <cell r="W14896">
            <v>0</v>
          </cell>
          <cell r="AB14896" t="str">
            <v>line item not tagged</v>
          </cell>
        </row>
        <row r="14897">
          <cell r="W14897">
            <v>0</v>
          </cell>
          <cell r="AB14897" t="str">
            <v>line item not tagged</v>
          </cell>
        </row>
        <row r="14898">
          <cell r="W14898">
            <v>0</v>
          </cell>
          <cell r="AB14898" t="str">
            <v>line item not tagged</v>
          </cell>
        </row>
        <row r="14899">
          <cell r="W14899">
            <v>0</v>
          </cell>
          <cell r="AB14899" t="str">
            <v>line item not tagged</v>
          </cell>
        </row>
        <row r="14900">
          <cell r="W14900">
            <v>0</v>
          </cell>
          <cell r="AB14900" t="str">
            <v>line item not tagged</v>
          </cell>
        </row>
        <row r="14901">
          <cell r="W14901">
            <v>0</v>
          </cell>
          <cell r="AB14901" t="str">
            <v>line item not tagged</v>
          </cell>
        </row>
        <row r="14902">
          <cell r="W14902">
            <v>0</v>
          </cell>
          <cell r="AB14902" t="str">
            <v>line item not tagged</v>
          </cell>
        </row>
        <row r="14903">
          <cell r="W14903">
            <v>0</v>
          </cell>
          <cell r="AB14903" t="str">
            <v>line item not tagged</v>
          </cell>
        </row>
        <row r="14904">
          <cell r="W14904">
            <v>0</v>
          </cell>
          <cell r="AB14904" t="str">
            <v>line item not tagged</v>
          </cell>
        </row>
        <row r="14905">
          <cell r="W14905">
            <v>0</v>
          </cell>
          <cell r="AB14905" t="str">
            <v>line item not tagged</v>
          </cell>
        </row>
        <row r="14906">
          <cell r="W14906">
            <v>0</v>
          </cell>
          <cell r="AB14906" t="str">
            <v>line item not tagged</v>
          </cell>
        </row>
        <row r="14907">
          <cell r="W14907">
            <v>0</v>
          </cell>
          <cell r="AB14907" t="str">
            <v>line item not tagged</v>
          </cell>
        </row>
        <row r="14908">
          <cell r="W14908">
            <v>0</v>
          </cell>
          <cell r="AB14908" t="str">
            <v>line item not tagged</v>
          </cell>
        </row>
        <row r="14909">
          <cell r="W14909">
            <v>0</v>
          </cell>
          <cell r="AB14909" t="str">
            <v>line item not tagged</v>
          </cell>
        </row>
        <row r="14910">
          <cell r="W14910">
            <v>0</v>
          </cell>
          <cell r="AB14910" t="str">
            <v>line item not tagged</v>
          </cell>
        </row>
        <row r="14911">
          <cell r="W14911">
            <v>0</v>
          </cell>
          <cell r="AB14911" t="str">
            <v>line item not tagged</v>
          </cell>
        </row>
        <row r="14912">
          <cell r="W14912">
            <v>0</v>
          </cell>
          <cell r="AB14912" t="str">
            <v>line item not tagged</v>
          </cell>
        </row>
        <row r="14913">
          <cell r="W14913">
            <v>0</v>
          </cell>
          <cell r="AB14913" t="str">
            <v>line item not tagged</v>
          </cell>
        </row>
        <row r="14914">
          <cell r="W14914">
            <v>0</v>
          </cell>
          <cell r="AB14914" t="str">
            <v>line item not tagged</v>
          </cell>
        </row>
        <row r="14915">
          <cell r="W14915">
            <v>0</v>
          </cell>
          <cell r="AB14915" t="str">
            <v>line item not tagged</v>
          </cell>
        </row>
        <row r="14916">
          <cell r="W14916">
            <v>0</v>
          </cell>
          <cell r="AB14916" t="str">
            <v>line item not tagged</v>
          </cell>
        </row>
        <row r="14917">
          <cell r="W14917">
            <v>0</v>
          </cell>
          <cell r="AB14917" t="str">
            <v>line item not tagged</v>
          </cell>
        </row>
        <row r="14918">
          <cell r="W14918">
            <v>0</v>
          </cell>
          <cell r="AB14918" t="str">
            <v>line item not tagged</v>
          </cell>
        </row>
        <row r="14919">
          <cell r="W14919">
            <v>0</v>
          </cell>
          <cell r="AB14919" t="str">
            <v>line item not tagged</v>
          </cell>
        </row>
        <row r="14920">
          <cell r="W14920">
            <v>0</v>
          </cell>
          <cell r="AB14920" t="str">
            <v>line item not tagged</v>
          </cell>
        </row>
        <row r="14921">
          <cell r="W14921">
            <v>0</v>
          </cell>
          <cell r="AB14921" t="str">
            <v>line item not tagged</v>
          </cell>
        </row>
        <row r="14922">
          <cell r="W14922">
            <v>0</v>
          </cell>
          <cell r="AB14922" t="str">
            <v>line item not tagged</v>
          </cell>
        </row>
        <row r="14923">
          <cell r="W14923">
            <v>0</v>
          </cell>
          <cell r="AB14923" t="str">
            <v>line item not tagged</v>
          </cell>
        </row>
        <row r="14924">
          <cell r="W14924">
            <v>0</v>
          </cell>
          <cell r="AB14924" t="str">
            <v>line item not tagged</v>
          </cell>
        </row>
        <row r="14925">
          <cell r="W14925">
            <v>0</v>
          </cell>
          <cell r="AB14925" t="str">
            <v>line item not tagged</v>
          </cell>
        </row>
        <row r="14926">
          <cell r="W14926">
            <v>0</v>
          </cell>
          <cell r="AB14926" t="str">
            <v>line item not tagged</v>
          </cell>
        </row>
        <row r="14927">
          <cell r="W14927">
            <v>0</v>
          </cell>
          <cell r="AB14927" t="str">
            <v>line item not tagged</v>
          </cell>
        </row>
        <row r="14928">
          <cell r="W14928">
            <v>0</v>
          </cell>
          <cell r="AB14928" t="str">
            <v>line item not tagged</v>
          </cell>
        </row>
        <row r="14929">
          <cell r="W14929">
            <v>0</v>
          </cell>
          <cell r="AB14929" t="str">
            <v>line item not tagged</v>
          </cell>
        </row>
        <row r="14930">
          <cell r="W14930">
            <v>0</v>
          </cell>
          <cell r="AB14930" t="str">
            <v>line item not tagged</v>
          </cell>
        </row>
        <row r="14931">
          <cell r="W14931">
            <v>0</v>
          </cell>
          <cell r="AB14931" t="str">
            <v>line item not tagged</v>
          </cell>
        </row>
        <row r="14932">
          <cell r="W14932">
            <v>0</v>
          </cell>
          <cell r="AB14932" t="str">
            <v>line item not tagged</v>
          </cell>
        </row>
        <row r="14933">
          <cell r="W14933">
            <v>0</v>
          </cell>
          <cell r="AB14933" t="str">
            <v>line item not tagged</v>
          </cell>
        </row>
        <row r="14934">
          <cell r="W14934">
            <v>0</v>
          </cell>
          <cell r="AB14934" t="str">
            <v>line item not tagged</v>
          </cell>
        </row>
        <row r="14935">
          <cell r="W14935">
            <v>0</v>
          </cell>
          <cell r="AB14935" t="str">
            <v>line item not tagged</v>
          </cell>
        </row>
        <row r="14936">
          <cell r="W14936">
            <v>0</v>
          </cell>
          <cell r="AB14936" t="str">
            <v>line item not tagged</v>
          </cell>
        </row>
        <row r="14937">
          <cell r="W14937">
            <v>0</v>
          </cell>
          <cell r="AB14937" t="str">
            <v>line item not tagged</v>
          </cell>
        </row>
        <row r="14938">
          <cell r="W14938">
            <v>0</v>
          </cell>
          <cell r="AB14938" t="str">
            <v>line item not tagged</v>
          </cell>
        </row>
        <row r="14939">
          <cell r="W14939">
            <v>0</v>
          </cell>
          <cell r="AB14939" t="str">
            <v>line item not tagged</v>
          </cell>
        </row>
        <row r="14940">
          <cell r="W14940">
            <v>0</v>
          </cell>
          <cell r="AB14940" t="str">
            <v>line item not tagged</v>
          </cell>
        </row>
        <row r="14941">
          <cell r="W14941">
            <v>0</v>
          </cell>
          <cell r="AB14941" t="str">
            <v>line item not tagged</v>
          </cell>
        </row>
        <row r="14942">
          <cell r="W14942">
            <v>0</v>
          </cell>
          <cell r="AB14942" t="str">
            <v>line item not tagged</v>
          </cell>
        </row>
        <row r="14943">
          <cell r="W14943">
            <v>0</v>
          </cell>
          <cell r="AB14943" t="str">
            <v>line item not tagged</v>
          </cell>
        </row>
        <row r="14944">
          <cell r="W14944">
            <v>0</v>
          </cell>
          <cell r="AB14944" t="str">
            <v>line item not tagged</v>
          </cell>
        </row>
        <row r="14945">
          <cell r="W14945">
            <v>0</v>
          </cell>
          <cell r="AB14945" t="str">
            <v>line item not tagged</v>
          </cell>
        </row>
        <row r="14946">
          <cell r="W14946">
            <v>0</v>
          </cell>
          <cell r="AB14946" t="str">
            <v>line item not tagged</v>
          </cell>
        </row>
        <row r="14947">
          <cell r="W14947">
            <v>0</v>
          </cell>
          <cell r="AB14947" t="str">
            <v>line item not tagged</v>
          </cell>
        </row>
        <row r="14948">
          <cell r="W14948">
            <v>0</v>
          </cell>
          <cell r="AB14948" t="str">
            <v>line item not tagged</v>
          </cell>
        </row>
        <row r="14949">
          <cell r="W14949">
            <v>0</v>
          </cell>
          <cell r="AB14949" t="str">
            <v>line item not tagged</v>
          </cell>
        </row>
        <row r="14950">
          <cell r="W14950">
            <v>0</v>
          </cell>
          <cell r="AB14950" t="str">
            <v>line item not tagged</v>
          </cell>
        </row>
        <row r="14951">
          <cell r="W14951">
            <v>0</v>
          </cell>
          <cell r="AB14951" t="str">
            <v>line item not tagged</v>
          </cell>
        </row>
        <row r="14952">
          <cell r="W14952">
            <v>0</v>
          </cell>
          <cell r="AB14952" t="str">
            <v>line item not tagged</v>
          </cell>
        </row>
        <row r="14953">
          <cell r="W14953">
            <v>0</v>
          </cell>
          <cell r="AB14953" t="str">
            <v>line item not tagged</v>
          </cell>
        </row>
        <row r="14954">
          <cell r="W14954">
            <v>0</v>
          </cell>
          <cell r="AB14954" t="str">
            <v>line item not tagged</v>
          </cell>
        </row>
        <row r="14955">
          <cell r="W14955">
            <v>0</v>
          </cell>
          <cell r="AB14955" t="str">
            <v>line item not tagged</v>
          </cell>
        </row>
        <row r="14956">
          <cell r="W14956">
            <v>0</v>
          </cell>
          <cell r="AB14956" t="str">
            <v>line item not tagged</v>
          </cell>
        </row>
        <row r="14957">
          <cell r="W14957">
            <v>0</v>
          </cell>
          <cell r="AB14957" t="str">
            <v>line item not tagged</v>
          </cell>
        </row>
        <row r="14958">
          <cell r="W14958">
            <v>0</v>
          </cell>
          <cell r="AB14958" t="str">
            <v>line item not tagged</v>
          </cell>
        </row>
        <row r="14959">
          <cell r="W14959">
            <v>0</v>
          </cell>
          <cell r="AB14959" t="str">
            <v>line item not tagged</v>
          </cell>
        </row>
        <row r="14960">
          <cell r="W14960">
            <v>0</v>
          </cell>
          <cell r="AB14960" t="str">
            <v>line item not tagged</v>
          </cell>
        </row>
        <row r="14961">
          <cell r="W14961">
            <v>0</v>
          </cell>
          <cell r="AB14961" t="str">
            <v>line item not tagged</v>
          </cell>
        </row>
        <row r="14962">
          <cell r="W14962">
            <v>0</v>
          </cell>
          <cell r="AB14962" t="str">
            <v>line item not tagged</v>
          </cell>
        </row>
        <row r="14963">
          <cell r="W14963">
            <v>0</v>
          </cell>
          <cell r="AB14963" t="str">
            <v>line item not tagged</v>
          </cell>
        </row>
        <row r="14964">
          <cell r="W14964">
            <v>0</v>
          </cell>
          <cell r="AB14964" t="str">
            <v>line item not tagged</v>
          </cell>
        </row>
        <row r="14965">
          <cell r="W14965">
            <v>0</v>
          </cell>
          <cell r="AB14965" t="str">
            <v>line item not tagged</v>
          </cell>
        </row>
        <row r="14966">
          <cell r="W14966">
            <v>0</v>
          </cell>
          <cell r="AB14966" t="str">
            <v>line item not tagged</v>
          </cell>
        </row>
        <row r="14967">
          <cell r="W14967">
            <v>0</v>
          </cell>
          <cell r="AB14967" t="str">
            <v>line item not tagged</v>
          </cell>
        </row>
        <row r="14968">
          <cell r="W14968">
            <v>0</v>
          </cell>
          <cell r="AB14968" t="str">
            <v>line item not tagged</v>
          </cell>
        </row>
        <row r="14969">
          <cell r="W14969">
            <v>0</v>
          </cell>
          <cell r="AB14969" t="str">
            <v>line item not tagged</v>
          </cell>
        </row>
        <row r="14970">
          <cell r="W14970">
            <v>0</v>
          </cell>
          <cell r="AB14970" t="str">
            <v>line item not tagged</v>
          </cell>
        </row>
        <row r="14971">
          <cell r="W14971">
            <v>0</v>
          </cell>
          <cell r="AB14971" t="str">
            <v>line item not tagged</v>
          </cell>
        </row>
        <row r="14972">
          <cell r="W14972">
            <v>0</v>
          </cell>
          <cell r="AB14972" t="str">
            <v>line item not tagged</v>
          </cell>
        </row>
        <row r="14973">
          <cell r="W14973">
            <v>0</v>
          </cell>
          <cell r="AB14973" t="str">
            <v>line item not tagged</v>
          </cell>
        </row>
        <row r="14974">
          <cell r="W14974">
            <v>0</v>
          </cell>
          <cell r="AB14974" t="str">
            <v>line item not tagged</v>
          </cell>
        </row>
        <row r="14975">
          <cell r="W14975">
            <v>0</v>
          </cell>
          <cell r="AB14975" t="str">
            <v>line item not tagged</v>
          </cell>
        </row>
        <row r="14976">
          <cell r="W14976">
            <v>0</v>
          </cell>
          <cell r="AB14976" t="str">
            <v>line item not tagged</v>
          </cell>
        </row>
        <row r="14977">
          <cell r="W14977">
            <v>0</v>
          </cell>
          <cell r="AB14977" t="str">
            <v>line item not tagged</v>
          </cell>
        </row>
        <row r="14978">
          <cell r="W14978">
            <v>0</v>
          </cell>
          <cell r="AB14978" t="str">
            <v>line item not tagged</v>
          </cell>
        </row>
        <row r="14979">
          <cell r="W14979">
            <v>0</v>
          </cell>
          <cell r="AB14979" t="str">
            <v>line item not tagged</v>
          </cell>
        </row>
        <row r="14980">
          <cell r="W14980">
            <v>0</v>
          </cell>
          <cell r="AB14980" t="str">
            <v>line item not tagged</v>
          </cell>
        </row>
        <row r="14981">
          <cell r="W14981">
            <v>0</v>
          </cell>
          <cell r="AB14981" t="str">
            <v>line item not tagged</v>
          </cell>
        </row>
        <row r="14982">
          <cell r="W14982">
            <v>0</v>
          </cell>
          <cell r="AB14982" t="str">
            <v>line item not tagged</v>
          </cell>
        </row>
        <row r="14983">
          <cell r="W14983">
            <v>0</v>
          </cell>
          <cell r="AB14983" t="str">
            <v>line item not tagged</v>
          </cell>
        </row>
        <row r="14984">
          <cell r="W14984">
            <v>0</v>
          </cell>
          <cell r="AB14984" t="str">
            <v>line item not tagged</v>
          </cell>
        </row>
        <row r="14985">
          <cell r="W14985">
            <v>0</v>
          </cell>
          <cell r="AB14985" t="str">
            <v>line item not tagged</v>
          </cell>
        </row>
        <row r="14986">
          <cell r="W14986">
            <v>0</v>
          </cell>
          <cell r="AB14986" t="str">
            <v>line item not tagged</v>
          </cell>
        </row>
        <row r="14987">
          <cell r="W14987">
            <v>0</v>
          </cell>
          <cell r="AB14987" t="str">
            <v>line item not tagged</v>
          </cell>
        </row>
        <row r="14988">
          <cell r="W14988">
            <v>0</v>
          </cell>
          <cell r="AB14988" t="str">
            <v>line item not tagged</v>
          </cell>
        </row>
        <row r="14989">
          <cell r="W14989">
            <v>0</v>
          </cell>
          <cell r="AB14989" t="str">
            <v>line item not tagged</v>
          </cell>
        </row>
        <row r="14990">
          <cell r="W14990">
            <v>0</v>
          </cell>
          <cell r="AB14990" t="str">
            <v>line item not tagged</v>
          </cell>
        </row>
        <row r="14991">
          <cell r="W14991">
            <v>0</v>
          </cell>
          <cell r="AB14991" t="str">
            <v>line item not tagged</v>
          </cell>
        </row>
        <row r="14992">
          <cell r="W14992">
            <v>0</v>
          </cell>
          <cell r="AB14992" t="str">
            <v>line item not tagged</v>
          </cell>
        </row>
        <row r="14993">
          <cell r="W14993">
            <v>0</v>
          </cell>
          <cell r="AB14993" t="str">
            <v>line item not tagged</v>
          </cell>
        </row>
        <row r="14994">
          <cell r="W14994">
            <v>0</v>
          </cell>
          <cell r="AB14994" t="str">
            <v>line item not tagged</v>
          </cell>
        </row>
        <row r="14995">
          <cell r="W14995">
            <v>0</v>
          </cell>
          <cell r="AB14995" t="str">
            <v>line item not tagged</v>
          </cell>
        </row>
        <row r="14996">
          <cell r="W14996">
            <v>0</v>
          </cell>
          <cell r="AB14996" t="str">
            <v>line item not tagged</v>
          </cell>
        </row>
        <row r="14997">
          <cell r="W14997">
            <v>0</v>
          </cell>
          <cell r="AB14997" t="str">
            <v>line item not tagged</v>
          </cell>
        </row>
        <row r="14998">
          <cell r="W14998">
            <v>0</v>
          </cell>
          <cell r="AB14998" t="str">
            <v>line item not tagged</v>
          </cell>
        </row>
        <row r="14999">
          <cell r="W14999">
            <v>0</v>
          </cell>
          <cell r="AB14999" t="str">
            <v>line item not tagged</v>
          </cell>
        </row>
        <row r="15000">
          <cell r="W15000">
            <v>0</v>
          </cell>
          <cell r="AB15000" t="str">
            <v>line item not tagged</v>
          </cell>
        </row>
        <row r="15001">
          <cell r="W15001">
            <v>0</v>
          </cell>
          <cell r="AB15001" t="str">
            <v>line item not tagged</v>
          </cell>
        </row>
        <row r="15002">
          <cell r="W15002">
            <v>0</v>
          </cell>
          <cell r="AB15002" t="str">
            <v>line item not tagged</v>
          </cell>
        </row>
        <row r="15003">
          <cell r="W15003">
            <v>0</v>
          </cell>
          <cell r="AB15003" t="str">
            <v>line item not tagged</v>
          </cell>
        </row>
        <row r="15004">
          <cell r="W15004">
            <v>0</v>
          </cell>
          <cell r="AB15004" t="str">
            <v>line item not tagged</v>
          </cell>
        </row>
        <row r="15005">
          <cell r="W15005">
            <v>0</v>
          </cell>
          <cell r="AB15005" t="str">
            <v>line item not tagged</v>
          </cell>
        </row>
        <row r="15006">
          <cell r="W15006">
            <v>0</v>
          </cell>
          <cell r="AB15006" t="str">
            <v>line item not tagged</v>
          </cell>
        </row>
        <row r="15007">
          <cell r="W15007">
            <v>0</v>
          </cell>
          <cell r="AB15007" t="str">
            <v>line item not tagged</v>
          </cell>
        </row>
        <row r="15008">
          <cell r="W15008">
            <v>0</v>
          </cell>
          <cell r="AB15008" t="str">
            <v>line item not tagged</v>
          </cell>
        </row>
        <row r="15009">
          <cell r="W15009">
            <v>0</v>
          </cell>
          <cell r="AB15009" t="str">
            <v>line item not tagged</v>
          </cell>
        </row>
      </sheetData>
      <sheetData sheetId="9"/>
      <sheetData sheetId="10" refreshError="1"/>
      <sheetData sheetId="11"/>
      <sheetData sheetId="12"/>
      <sheetData sheetId="13" refreshError="1"/>
      <sheetData sheetId="14" refreshError="1"/>
      <sheetData sheetId="15" refreshError="1"/>
      <sheetData sheetId="16" refreshError="1"/>
      <sheetData sheetId="17">
        <row r="3">
          <cell r="C3" t="str">
            <v>* LGU Fund *</v>
          </cell>
        </row>
        <row r="4">
          <cell r="B4" t="str">
            <v>GF</v>
          </cell>
          <cell r="C4" t="str">
            <v>LGU Fund</v>
          </cell>
        </row>
        <row r="5">
          <cell r="B5" t="str">
            <v>20% DF</v>
          </cell>
          <cell r="C5" t="str">
            <v>LGU Fund</v>
          </cell>
        </row>
        <row r="6">
          <cell r="B6" t="str">
            <v>LDRRMF</v>
          </cell>
          <cell r="C6" t="str">
            <v>LGU Fund</v>
          </cell>
        </row>
        <row r="7">
          <cell r="B7" t="str">
            <v>GAD Fund</v>
          </cell>
          <cell r="C7" t="str">
            <v>LGU Fund</v>
          </cell>
        </row>
        <row r="8">
          <cell r="B8" t="str">
            <v>SEF</v>
          </cell>
          <cell r="C8" t="str">
            <v>LGU Fund</v>
          </cell>
        </row>
        <row r="9">
          <cell r="B9" t="str">
            <v>SC/PWD Fund</v>
          </cell>
          <cell r="C9" t="str">
            <v>LGU Fund</v>
          </cell>
        </row>
        <row r="10">
          <cell r="B10" t="str">
            <v>Trust Fund</v>
          </cell>
          <cell r="C10" t="str">
            <v>LGU Fund</v>
          </cell>
        </row>
        <row r="11">
          <cell r="B11" t="str">
            <v>Other LGUs</v>
          </cell>
          <cell r="C11" t="str">
            <v>LGU Fund</v>
          </cell>
        </row>
        <row r="12">
          <cell r="B12" t="str">
            <v>LGU Various Sources</v>
          </cell>
          <cell r="C12" t="str">
            <v>LGU Fund</v>
          </cell>
        </row>
        <row r="13">
          <cell r="C13" t="str">
            <v>* External Funding Source *</v>
          </cell>
        </row>
        <row r="14">
          <cell r="B14" t="str">
            <v>GPB Fund</v>
          </cell>
          <cell r="C14" t="str">
            <v>External Funding Source</v>
          </cell>
        </row>
        <row r="15">
          <cell r="B15" t="str">
            <v>Grant/ODA</v>
          </cell>
          <cell r="C15" t="str">
            <v>External Funding Source</v>
          </cell>
        </row>
        <row r="16">
          <cell r="B16" t="str">
            <v>Loan</v>
          </cell>
          <cell r="C16" t="str">
            <v>External Funding Source</v>
          </cell>
        </row>
        <row r="17">
          <cell r="B17" t="str">
            <v>NGA</v>
          </cell>
          <cell r="C17" t="str">
            <v>External Funding Source</v>
          </cell>
        </row>
        <row r="18">
          <cell r="B18" t="str">
            <v>NGA-Grant/ODA</v>
          </cell>
          <cell r="C18" t="str">
            <v>External Funding Source</v>
          </cell>
        </row>
        <row r="19">
          <cell r="B19" t="str">
            <v>Other External Source</v>
          </cell>
          <cell r="C19" t="str">
            <v>External Funding Source</v>
          </cell>
        </row>
        <row r="20">
          <cell r="B20" t="str">
            <v>Multiple External Sources</v>
          </cell>
          <cell r="C20" t="str">
            <v>External Funding Source</v>
          </cell>
        </row>
        <row r="21">
          <cell r="C21" t="str">
            <v>* LGU and External Funding *</v>
          </cell>
        </row>
        <row r="22">
          <cell r="B22" t="str">
            <v>LGU-Grant/ODA</v>
          </cell>
          <cell r="C22" t="str">
            <v>LGU and External Funding</v>
          </cell>
        </row>
        <row r="23">
          <cell r="B23" t="str">
            <v>LGU-Loan</v>
          </cell>
          <cell r="C23" t="str">
            <v>LGU and External Funding</v>
          </cell>
        </row>
        <row r="24">
          <cell r="B24" t="str">
            <v>LGU-NGA</v>
          </cell>
          <cell r="C24" t="str">
            <v>LGU and External Funding</v>
          </cell>
        </row>
        <row r="25">
          <cell r="B25" t="str">
            <v>LGU-NGA-Grant/ODA</v>
          </cell>
          <cell r="C25" t="str">
            <v>LGU and External Funding</v>
          </cell>
        </row>
        <row r="26">
          <cell r="B26" t="str">
            <v>LGU-NGA-Other External Sources</v>
          </cell>
          <cell r="C26" t="str">
            <v>LGU and External Funding</v>
          </cell>
        </row>
        <row r="27">
          <cell r="B27" t="str">
            <v>LGU-Other External Source</v>
          </cell>
          <cell r="C27" t="str">
            <v>LGU and External Funding</v>
          </cell>
        </row>
        <row r="28">
          <cell r="C28" t="str">
            <v>* Others *</v>
          </cell>
        </row>
        <row r="29">
          <cell r="B29" t="str">
            <v>Special Purpose Fund</v>
          </cell>
          <cell r="C29" t="str">
            <v>Special Purpose Fund</v>
          </cell>
        </row>
        <row r="30">
          <cell r="B30" t="str">
            <v>Unidentified/For Funding</v>
          </cell>
          <cell r="C30" t="str">
            <v>Unidentified/For Funding</v>
          </cell>
        </row>
      </sheetData>
      <sheetData sheetId="18" refreshError="1"/>
      <sheetData sheetId="19" refreshError="1"/>
      <sheetData sheetId="20" refreshError="1"/>
      <sheetData sheetId="21">
        <row r="9">
          <cell r="G9">
            <v>0</v>
          </cell>
          <cell r="I9" t="str">
            <v>NA</v>
          </cell>
        </row>
        <row r="10">
          <cell r="G10">
            <v>0</v>
          </cell>
          <cell r="I10" t="str">
            <v>NA</v>
          </cell>
        </row>
        <row r="11">
          <cell r="G11">
            <v>0</v>
          </cell>
          <cell r="I11" t="str">
            <v>NA</v>
          </cell>
        </row>
        <row r="12">
          <cell r="G12">
            <v>0</v>
          </cell>
          <cell r="I12" t="str">
            <v>NA</v>
          </cell>
        </row>
        <row r="13">
          <cell r="G13">
            <v>0</v>
          </cell>
          <cell r="I13" t="str">
            <v>NA</v>
          </cell>
        </row>
        <row r="14">
          <cell r="G14">
            <v>0</v>
          </cell>
          <cell r="I14" t="str">
            <v>NA</v>
          </cell>
        </row>
        <row r="15">
          <cell r="G15">
            <v>0</v>
          </cell>
          <cell r="I15" t="str">
            <v>NA</v>
          </cell>
        </row>
        <row r="16">
          <cell r="G16">
            <v>0</v>
          </cell>
          <cell r="I16" t="str">
            <v>NA</v>
          </cell>
        </row>
        <row r="17">
          <cell r="G17">
            <v>0</v>
          </cell>
          <cell r="I17" t="str">
            <v>NA</v>
          </cell>
        </row>
        <row r="18">
          <cell r="G18">
            <v>0</v>
          </cell>
          <cell r="I18" t="str">
            <v>NA</v>
          </cell>
        </row>
        <row r="19">
          <cell r="G19">
            <v>0</v>
          </cell>
          <cell r="I19" t="str">
            <v>NA</v>
          </cell>
        </row>
        <row r="20">
          <cell r="G20">
            <v>0</v>
          </cell>
          <cell r="I20" t="str">
            <v>NA</v>
          </cell>
        </row>
        <row r="21">
          <cell r="G21">
            <v>0</v>
          </cell>
          <cell r="I21" t="str">
            <v>NA</v>
          </cell>
        </row>
        <row r="22">
          <cell r="G22">
            <v>1</v>
          </cell>
          <cell r="I22">
            <v>0</v>
          </cell>
        </row>
        <row r="23">
          <cell r="G23">
            <v>1</v>
          </cell>
          <cell r="I23">
            <v>0</v>
          </cell>
        </row>
        <row r="24">
          <cell r="G24">
            <v>0</v>
          </cell>
          <cell r="I24" t="str">
            <v>NA</v>
          </cell>
        </row>
        <row r="25">
          <cell r="G25">
            <v>5</v>
          </cell>
          <cell r="I25">
            <v>0</v>
          </cell>
        </row>
        <row r="26">
          <cell r="G26">
            <v>0</v>
          </cell>
          <cell r="I26" t="str">
            <v>NA</v>
          </cell>
        </row>
        <row r="27">
          <cell r="G27">
            <v>7</v>
          </cell>
          <cell r="I27">
            <v>0</v>
          </cell>
        </row>
        <row r="28">
          <cell r="G28">
            <v>0</v>
          </cell>
          <cell r="I28" t="str">
            <v>NA</v>
          </cell>
        </row>
        <row r="29">
          <cell r="G29">
            <v>0</v>
          </cell>
          <cell r="I29" t="str">
            <v>NA</v>
          </cell>
        </row>
        <row r="30">
          <cell r="G30">
            <v>1</v>
          </cell>
          <cell r="I30">
            <v>0</v>
          </cell>
        </row>
        <row r="31">
          <cell r="G31">
            <v>1</v>
          </cell>
          <cell r="I31">
            <v>0</v>
          </cell>
        </row>
        <row r="32">
          <cell r="G32">
            <v>0</v>
          </cell>
          <cell r="I32" t="str">
            <v>NA</v>
          </cell>
        </row>
        <row r="33">
          <cell r="G33">
            <v>0</v>
          </cell>
          <cell r="I33" t="str">
            <v>NA</v>
          </cell>
        </row>
        <row r="34">
          <cell r="G34">
            <v>0</v>
          </cell>
          <cell r="I34" t="str">
            <v>NA</v>
          </cell>
        </row>
        <row r="35">
          <cell r="G35">
            <v>3</v>
          </cell>
          <cell r="I35">
            <v>0</v>
          </cell>
        </row>
        <row r="36">
          <cell r="G36">
            <v>4</v>
          </cell>
          <cell r="I36">
            <v>0</v>
          </cell>
        </row>
        <row r="37">
          <cell r="G37">
            <v>0</v>
          </cell>
          <cell r="I37" t="str">
            <v>NA</v>
          </cell>
        </row>
        <row r="38">
          <cell r="G38">
            <v>0</v>
          </cell>
          <cell r="I38" t="str">
            <v>NA</v>
          </cell>
        </row>
        <row r="39">
          <cell r="G39">
            <v>0</v>
          </cell>
          <cell r="I39" t="str">
            <v>NA</v>
          </cell>
        </row>
        <row r="40">
          <cell r="G40">
            <v>0</v>
          </cell>
          <cell r="I40" t="str">
            <v>NA</v>
          </cell>
        </row>
        <row r="41">
          <cell r="G41">
            <v>0</v>
          </cell>
          <cell r="I41" t="str">
            <v>NA</v>
          </cell>
        </row>
        <row r="42">
          <cell r="G42">
            <v>0</v>
          </cell>
          <cell r="I42" t="str">
            <v>NA</v>
          </cell>
        </row>
        <row r="43">
          <cell r="G43">
            <v>2</v>
          </cell>
          <cell r="I43">
            <v>0</v>
          </cell>
        </row>
        <row r="44">
          <cell r="G44">
            <v>0</v>
          </cell>
          <cell r="I44" t="str">
            <v>NA</v>
          </cell>
        </row>
        <row r="45">
          <cell r="G45">
            <v>0</v>
          </cell>
          <cell r="I45" t="str">
            <v>NA</v>
          </cell>
        </row>
        <row r="46">
          <cell r="G46">
            <v>0</v>
          </cell>
          <cell r="I46" t="str">
            <v>NA</v>
          </cell>
        </row>
        <row r="47">
          <cell r="G47">
            <v>0</v>
          </cell>
          <cell r="I47" t="str">
            <v>NA</v>
          </cell>
        </row>
        <row r="48">
          <cell r="G48">
            <v>0</v>
          </cell>
          <cell r="I48" t="str">
            <v>NA</v>
          </cell>
        </row>
        <row r="49">
          <cell r="G49">
            <v>0</v>
          </cell>
          <cell r="I49" t="str">
            <v>NA</v>
          </cell>
        </row>
        <row r="50">
          <cell r="G50">
            <v>0</v>
          </cell>
          <cell r="I50" t="str">
            <v>NA</v>
          </cell>
        </row>
        <row r="51">
          <cell r="G51">
            <v>3</v>
          </cell>
          <cell r="I51">
            <v>0</v>
          </cell>
        </row>
        <row r="52">
          <cell r="G52">
            <v>0</v>
          </cell>
          <cell r="I52" t="str">
            <v>NA</v>
          </cell>
        </row>
        <row r="53">
          <cell r="G53">
            <v>0</v>
          </cell>
          <cell r="I53" t="str">
            <v>NA</v>
          </cell>
        </row>
        <row r="54">
          <cell r="G54">
            <v>0</v>
          </cell>
          <cell r="I54" t="str">
            <v>NA</v>
          </cell>
        </row>
        <row r="55">
          <cell r="G55">
            <v>0</v>
          </cell>
          <cell r="I55" t="str">
            <v>NA</v>
          </cell>
        </row>
        <row r="56">
          <cell r="G56">
            <v>0</v>
          </cell>
          <cell r="I56" t="str">
            <v>NA</v>
          </cell>
        </row>
        <row r="57">
          <cell r="G57">
            <v>0</v>
          </cell>
          <cell r="I57" t="str">
            <v>NA</v>
          </cell>
        </row>
        <row r="58">
          <cell r="G58">
            <v>0</v>
          </cell>
          <cell r="I58" t="str">
            <v>NA</v>
          </cell>
        </row>
        <row r="59">
          <cell r="G59">
            <v>1</v>
          </cell>
          <cell r="I59">
            <v>0</v>
          </cell>
        </row>
        <row r="60">
          <cell r="G60">
            <v>1</v>
          </cell>
          <cell r="I60">
            <v>0</v>
          </cell>
        </row>
        <row r="61">
          <cell r="G61">
            <v>0</v>
          </cell>
          <cell r="I61" t="str">
            <v>NA</v>
          </cell>
        </row>
        <row r="62">
          <cell r="G62">
            <v>0</v>
          </cell>
          <cell r="I62" t="str">
            <v>NA</v>
          </cell>
        </row>
        <row r="63">
          <cell r="G63">
            <v>0</v>
          </cell>
          <cell r="I63" t="str">
            <v>NA</v>
          </cell>
        </row>
        <row r="64">
          <cell r="G64">
            <v>1</v>
          </cell>
          <cell r="I64">
            <v>0</v>
          </cell>
        </row>
        <row r="65">
          <cell r="G65">
            <v>0</v>
          </cell>
          <cell r="I65" t="str">
            <v>NA</v>
          </cell>
        </row>
        <row r="66">
          <cell r="G66">
            <v>0</v>
          </cell>
          <cell r="I66" t="str">
            <v>NA</v>
          </cell>
        </row>
        <row r="67">
          <cell r="G67">
            <v>0</v>
          </cell>
          <cell r="I67" t="str">
            <v>NA</v>
          </cell>
        </row>
        <row r="68">
          <cell r="G68">
            <v>0</v>
          </cell>
          <cell r="I68" t="str">
            <v>NA</v>
          </cell>
        </row>
        <row r="69">
          <cell r="G69">
            <v>0</v>
          </cell>
          <cell r="I69" t="str">
            <v>NA</v>
          </cell>
        </row>
        <row r="70">
          <cell r="G70">
            <v>0</v>
          </cell>
          <cell r="I70" t="str">
            <v>NA</v>
          </cell>
        </row>
        <row r="71">
          <cell r="G71">
            <v>0</v>
          </cell>
          <cell r="I71" t="str">
            <v>NA</v>
          </cell>
        </row>
        <row r="72">
          <cell r="G72">
            <v>0</v>
          </cell>
          <cell r="I72" t="str">
            <v>NA</v>
          </cell>
        </row>
        <row r="73">
          <cell r="G73">
            <v>0</v>
          </cell>
          <cell r="I73" t="str">
            <v>NA</v>
          </cell>
        </row>
        <row r="74">
          <cell r="G74">
            <v>0</v>
          </cell>
          <cell r="I74" t="str">
            <v>NA</v>
          </cell>
        </row>
        <row r="75">
          <cell r="G75">
            <v>0</v>
          </cell>
          <cell r="I75" t="str">
            <v>NA</v>
          </cell>
        </row>
        <row r="76">
          <cell r="G76">
            <v>0</v>
          </cell>
          <cell r="I76" t="str">
            <v>NA</v>
          </cell>
        </row>
        <row r="77">
          <cell r="G77">
            <v>0</v>
          </cell>
          <cell r="I77" t="str">
            <v>NA</v>
          </cell>
        </row>
        <row r="78">
          <cell r="G78">
            <v>0</v>
          </cell>
          <cell r="I78" t="str">
            <v>NA</v>
          </cell>
        </row>
        <row r="79">
          <cell r="G79">
            <v>0</v>
          </cell>
          <cell r="I79" t="str">
            <v>NA</v>
          </cell>
        </row>
        <row r="80">
          <cell r="G80">
            <v>0</v>
          </cell>
          <cell r="I80" t="str">
            <v>NA</v>
          </cell>
        </row>
        <row r="81">
          <cell r="G81">
            <v>0</v>
          </cell>
          <cell r="I81" t="str">
            <v>NA</v>
          </cell>
        </row>
        <row r="82">
          <cell r="G82">
            <v>0</v>
          </cell>
          <cell r="I82" t="str">
            <v>NA</v>
          </cell>
        </row>
        <row r="83">
          <cell r="G83">
            <v>1</v>
          </cell>
          <cell r="I83">
            <v>0</v>
          </cell>
        </row>
        <row r="84">
          <cell r="G84">
            <v>0</v>
          </cell>
          <cell r="I84" t="str">
            <v>NA</v>
          </cell>
        </row>
        <row r="85">
          <cell r="G85">
            <v>2</v>
          </cell>
          <cell r="I85">
            <v>0</v>
          </cell>
        </row>
        <row r="86">
          <cell r="G86">
            <v>0</v>
          </cell>
          <cell r="I86" t="str">
            <v>NA</v>
          </cell>
        </row>
        <row r="87">
          <cell r="G87">
            <v>0</v>
          </cell>
          <cell r="I87" t="str">
            <v>NA</v>
          </cell>
        </row>
        <row r="88">
          <cell r="G88">
            <v>0</v>
          </cell>
          <cell r="I88" t="str">
            <v>NA</v>
          </cell>
        </row>
        <row r="89">
          <cell r="G89">
            <v>0</v>
          </cell>
          <cell r="I89" t="str">
            <v>NA</v>
          </cell>
        </row>
        <row r="90">
          <cell r="G90">
            <v>0</v>
          </cell>
          <cell r="I90" t="str">
            <v>NA</v>
          </cell>
        </row>
        <row r="91">
          <cell r="G91">
            <v>0</v>
          </cell>
          <cell r="I91" t="str">
            <v>NA</v>
          </cell>
        </row>
        <row r="92">
          <cell r="G92">
            <v>0</v>
          </cell>
          <cell r="I92" t="str">
            <v>NA</v>
          </cell>
        </row>
        <row r="93">
          <cell r="G93">
            <v>0</v>
          </cell>
          <cell r="I93" t="str">
            <v>NA</v>
          </cell>
        </row>
        <row r="94">
          <cell r="G94">
            <v>0</v>
          </cell>
          <cell r="I94" t="str">
            <v>NA</v>
          </cell>
        </row>
        <row r="95">
          <cell r="G95">
            <v>0</v>
          </cell>
          <cell r="I95" t="str">
            <v>NA</v>
          </cell>
        </row>
        <row r="96">
          <cell r="G96">
            <v>0</v>
          </cell>
          <cell r="I96" t="str">
            <v>NA</v>
          </cell>
        </row>
        <row r="97">
          <cell r="G97">
            <v>0</v>
          </cell>
          <cell r="I97" t="str">
            <v>NA</v>
          </cell>
        </row>
        <row r="98">
          <cell r="G98">
            <v>0</v>
          </cell>
          <cell r="I98" t="str">
            <v>NA</v>
          </cell>
        </row>
        <row r="99">
          <cell r="G99">
            <v>0</v>
          </cell>
          <cell r="I99" t="str">
            <v>NA</v>
          </cell>
        </row>
        <row r="100">
          <cell r="G100">
            <v>0</v>
          </cell>
          <cell r="I100" t="str">
            <v>NA</v>
          </cell>
        </row>
        <row r="101">
          <cell r="G101">
            <v>0</v>
          </cell>
          <cell r="I101" t="str">
            <v>NA</v>
          </cell>
        </row>
        <row r="102">
          <cell r="G102">
            <v>19</v>
          </cell>
          <cell r="I102">
            <v>0</v>
          </cell>
        </row>
        <row r="103">
          <cell r="G103">
            <v>7</v>
          </cell>
          <cell r="I103">
            <v>0</v>
          </cell>
        </row>
        <row r="104">
          <cell r="G104">
            <v>0</v>
          </cell>
          <cell r="I104" t="str">
            <v>NA</v>
          </cell>
        </row>
        <row r="105">
          <cell r="G105">
            <v>0</v>
          </cell>
          <cell r="I105" t="str">
            <v>NA</v>
          </cell>
        </row>
        <row r="106">
          <cell r="G106">
            <v>0</v>
          </cell>
          <cell r="I106" t="str">
            <v>NA</v>
          </cell>
        </row>
        <row r="107">
          <cell r="G107">
            <v>1</v>
          </cell>
          <cell r="I107">
            <v>0</v>
          </cell>
        </row>
        <row r="108">
          <cell r="G108">
            <v>0</v>
          </cell>
          <cell r="I108" t="str">
            <v>NA</v>
          </cell>
        </row>
        <row r="109">
          <cell r="G109">
            <v>0</v>
          </cell>
          <cell r="I109" t="str">
            <v>NA</v>
          </cell>
        </row>
        <row r="110">
          <cell r="G110">
            <v>2</v>
          </cell>
          <cell r="I110">
            <v>0</v>
          </cell>
        </row>
        <row r="111">
          <cell r="G111">
            <v>0</v>
          </cell>
          <cell r="I111" t="str">
            <v>NA</v>
          </cell>
        </row>
        <row r="112">
          <cell r="G112">
            <v>0</v>
          </cell>
          <cell r="I112" t="str">
            <v>NA</v>
          </cell>
        </row>
        <row r="113">
          <cell r="G113">
            <v>0</v>
          </cell>
          <cell r="I113" t="str">
            <v>NA</v>
          </cell>
        </row>
        <row r="114">
          <cell r="G114">
            <v>0</v>
          </cell>
          <cell r="I114" t="str">
            <v>NA</v>
          </cell>
        </row>
        <row r="115">
          <cell r="G115">
            <v>0</v>
          </cell>
          <cell r="I115" t="str">
            <v>NA</v>
          </cell>
        </row>
        <row r="116">
          <cell r="G116">
            <v>0</v>
          </cell>
          <cell r="I116" t="str">
            <v>NA</v>
          </cell>
        </row>
        <row r="117">
          <cell r="G117">
            <v>0</v>
          </cell>
          <cell r="I117" t="str">
            <v>NA</v>
          </cell>
        </row>
        <row r="118">
          <cell r="G118">
            <v>0</v>
          </cell>
          <cell r="I118" t="str">
            <v>NA</v>
          </cell>
        </row>
        <row r="119">
          <cell r="G119">
            <v>0</v>
          </cell>
          <cell r="I119" t="str">
            <v>NA</v>
          </cell>
        </row>
        <row r="120">
          <cell r="G120">
            <v>0</v>
          </cell>
          <cell r="I120" t="str">
            <v>NA</v>
          </cell>
        </row>
        <row r="121">
          <cell r="G121">
            <v>1</v>
          </cell>
          <cell r="I121">
            <v>0</v>
          </cell>
        </row>
        <row r="122">
          <cell r="G122">
            <v>0</v>
          </cell>
          <cell r="I122" t="str">
            <v>NA</v>
          </cell>
        </row>
        <row r="123">
          <cell r="G123">
            <v>0</v>
          </cell>
          <cell r="I123" t="str">
            <v>NA</v>
          </cell>
        </row>
        <row r="124">
          <cell r="G124">
            <v>0</v>
          </cell>
          <cell r="I124" t="str">
            <v>NA</v>
          </cell>
        </row>
        <row r="125">
          <cell r="G125">
            <v>0</v>
          </cell>
          <cell r="I125" t="str">
            <v>NA</v>
          </cell>
        </row>
        <row r="126">
          <cell r="G126">
            <v>0</v>
          </cell>
          <cell r="I126" t="str">
            <v>NA</v>
          </cell>
        </row>
        <row r="127">
          <cell r="G127">
            <v>0</v>
          </cell>
          <cell r="I127" t="str">
            <v>NA</v>
          </cell>
        </row>
        <row r="128">
          <cell r="G128">
            <v>0</v>
          </cell>
          <cell r="I128" t="str">
            <v>NA</v>
          </cell>
        </row>
        <row r="129">
          <cell r="G129">
            <v>0</v>
          </cell>
          <cell r="I129" t="str">
            <v>NA</v>
          </cell>
        </row>
        <row r="130">
          <cell r="G130">
            <v>0</v>
          </cell>
          <cell r="I130" t="str">
            <v>NA</v>
          </cell>
        </row>
        <row r="131">
          <cell r="G131">
            <v>0</v>
          </cell>
          <cell r="I131" t="str">
            <v>NA</v>
          </cell>
        </row>
        <row r="132">
          <cell r="G132">
            <v>1</v>
          </cell>
          <cell r="I132">
            <v>0</v>
          </cell>
        </row>
        <row r="133">
          <cell r="G133">
            <v>0</v>
          </cell>
          <cell r="I133" t="str">
            <v>NA</v>
          </cell>
        </row>
        <row r="134">
          <cell r="G134">
            <v>0</v>
          </cell>
          <cell r="I134" t="str">
            <v>NA</v>
          </cell>
        </row>
        <row r="135">
          <cell r="G135">
            <v>0</v>
          </cell>
          <cell r="I135" t="str">
            <v>NA</v>
          </cell>
        </row>
        <row r="136">
          <cell r="G136">
            <v>0</v>
          </cell>
          <cell r="I136" t="str">
            <v>NA</v>
          </cell>
        </row>
        <row r="137">
          <cell r="G137">
            <v>0</v>
          </cell>
          <cell r="I137" t="str">
            <v>NA</v>
          </cell>
        </row>
        <row r="138">
          <cell r="G138">
            <v>2</v>
          </cell>
          <cell r="I138">
            <v>0</v>
          </cell>
        </row>
        <row r="139">
          <cell r="G139">
            <v>0</v>
          </cell>
          <cell r="I139" t="str">
            <v>NA</v>
          </cell>
        </row>
        <row r="140">
          <cell r="G140">
            <v>0</v>
          </cell>
          <cell r="I140" t="str">
            <v>NA</v>
          </cell>
        </row>
        <row r="141">
          <cell r="G141">
            <v>0</v>
          </cell>
          <cell r="I141" t="str">
            <v>NA</v>
          </cell>
        </row>
        <row r="142">
          <cell r="G142">
            <v>0</v>
          </cell>
          <cell r="I142" t="str">
            <v>NA</v>
          </cell>
        </row>
        <row r="143">
          <cell r="G143">
            <v>1</v>
          </cell>
          <cell r="I143">
            <v>0</v>
          </cell>
        </row>
        <row r="144">
          <cell r="G144">
            <v>0</v>
          </cell>
          <cell r="I144" t="str">
            <v>NA</v>
          </cell>
        </row>
        <row r="145">
          <cell r="G145">
            <v>1</v>
          </cell>
          <cell r="I145">
            <v>0</v>
          </cell>
        </row>
        <row r="146">
          <cell r="G146">
            <v>2</v>
          </cell>
          <cell r="I146">
            <v>0</v>
          </cell>
        </row>
        <row r="147">
          <cell r="G147">
            <v>3</v>
          </cell>
          <cell r="I147">
            <v>0</v>
          </cell>
        </row>
        <row r="148">
          <cell r="G148">
            <v>1</v>
          </cell>
          <cell r="I148">
            <v>0</v>
          </cell>
        </row>
        <row r="149">
          <cell r="G149">
            <v>1</v>
          </cell>
          <cell r="I149">
            <v>0</v>
          </cell>
        </row>
        <row r="150">
          <cell r="G150">
            <v>4</v>
          </cell>
          <cell r="I150">
            <v>0</v>
          </cell>
        </row>
        <row r="151">
          <cell r="G151">
            <v>0</v>
          </cell>
          <cell r="I151" t="str">
            <v>NA</v>
          </cell>
        </row>
        <row r="152">
          <cell r="G152">
            <v>1</v>
          </cell>
          <cell r="I152">
            <v>0</v>
          </cell>
        </row>
        <row r="153">
          <cell r="G153">
            <v>1</v>
          </cell>
          <cell r="I153">
            <v>0</v>
          </cell>
        </row>
        <row r="154">
          <cell r="G154">
            <v>0</v>
          </cell>
          <cell r="I154" t="str">
            <v>NA</v>
          </cell>
        </row>
        <row r="155">
          <cell r="G155">
            <v>0</v>
          </cell>
          <cell r="I155" t="str">
            <v>NA</v>
          </cell>
        </row>
        <row r="156">
          <cell r="G156">
            <v>1</v>
          </cell>
          <cell r="I156">
            <v>0</v>
          </cell>
        </row>
        <row r="157">
          <cell r="G157">
            <v>0</v>
          </cell>
          <cell r="I157" t="str">
            <v>NA</v>
          </cell>
        </row>
        <row r="158">
          <cell r="G158">
            <v>1</v>
          </cell>
          <cell r="I158">
            <v>0</v>
          </cell>
        </row>
        <row r="159">
          <cell r="G159">
            <v>0</v>
          </cell>
          <cell r="I159" t="str">
            <v>NA</v>
          </cell>
        </row>
        <row r="160">
          <cell r="G160">
            <v>0</v>
          </cell>
          <cell r="I160" t="str">
            <v>NA</v>
          </cell>
        </row>
        <row r="161">
          <cell r="G161">
            <v>0</v>
          </cell>
          <cell r="I161" t="str">
            <v>NA</v>
          </cell>
        </row>
        <row r="162">
          <cell r="G162">
            <v>0</v>
          </cell>
          <cell r="I162" t="str">
            <v>NA</v>
          </cell>
        </row>
        <row r="163">
          <cell r="G163">
            <v>6</v>
          </cell>
          <cell r="I163">
            <v>0</v>
          </cell>
        </row>
        <row r="164">
          <cell r="G164">
            <v>2</v>
          </cell>
          <cell r="I164">
            <v>0</v>
          </cell>
        </row>
        <row r="165">
          <cell r="G165">
            <v>1</v>
          </cell>
          <cell r="I165">
            <v>0</v>
          </cell>
        </row>
        <row r="166">
          <cell r="G166">
            <v>1</v>
          </cell>
          <cell r="I166">
            <v>0</v>
          </cell>
        </row>
        <row r="167">
          <cell r="G167">
            <v>0</v>
          </cell>
          <cell r="I167" t="str">
            <v>NA</v>
          </cell>
        </row>
        <row r="168">
          <cell r="G168">
            <v>17</v>
          </cell>
          <cell r="I168">
            <v>0</v>
          </cell>
        </row>
        <row r="169">
          <cell r="G169">
            <v>0</v>
          </cell>
          <cell r="I169" t="str">
            <v>NA</v>
          </cell>
        </row>
        <row r="170">
          <cell r="G170">
            <v>4</v>
          </cell>
          <cell r="I170">
            <v>0</v>
          </cell>
        </row>
        <row r="171">
          <cell r="G171">
            <v>3</v>
          </cell>
          <cell r="I171">
            <v>0</v>
          </cell>
        </row>
        <row r="172">
          <cell r="G172">
            <v>6</v>
          </cell>
          <cell r="I172">
            <v>0</v>
          </cell>
        </row>
        <row r="173">
          <cell r="G173">
            <v>1</v>
          </cell>
          <cell r="I173">
            <v>0</v>
          </cell>
        </row>
        <row r="174">
          <cell r="G174">
            <v>0</v>
          </cell>
          <cell r="I174" t="str">
            <v>NA</v>
          </cell>
        </row>
        <row r="175">
          <cell r="G175">
            <v>0</v>
          </cell>
          <cell r="I175" t="str">
            <v>NA</v>
          </cell>
        </row>
        <row r="176">
          <cell r="G176">
            <v>0</v>
          </cell>
          <cell r="I176" t="str">
            <v>NA</v>
          </cell>
        </row>
        <row r="177">
          <cell r="G177">
            <v>0</v>
          </cell>
          <cell r="I177" t="str">
            <v>NA</v>
          </cell>
        </row>
        <row r="178">
          <cell r="G178">
            <v>1</v>
          </cell>
          <cell r="I178">
            <v>0</v>
          </cell>
        </row>
        <row r="179">
          <cell r="G179">
            <v>0</v>
          </cell>
          <cell r="I179" t="str">
            <v>NA</v>
          </cell>
        </row>
        <row r="180">
          <cell r="G180">
            <v>0</v>
          </cell>
          <cell r="I180" t="str">
            <v>NA</v>
          </cell>
        </row>
        <row r="181">
          <cell r="G181">
            <v>0</v>
          </cell>
          <cell r="I181" t="str">
            <v>NA</v>
          </cell>
        </row>
        <row r="182">
          <cell r="G182">
            <v>1</v>
          </cell>
          <cell r="I182">
            <v>0</v>
          </cell>
        </row>
        <row r="183">
          <cell r="G183">
            <v>5</v>
          </cell>
          <cell r="I183">
            <v>0</v>
          </cell>
        </row>
        <row r="184">
          <cell r="G184">
            <v>1</v>
          </cell>
          <cell r="I184">
            <v>0</v>
          </cell>
        </row>
        <row r="185">
          <cell r="G185">
            <v>1</v>
          </cell>
          <cell r="I185">
            <v>0</v>
          </cell>
        </row>
        <row r="186">
          <cell r="G186">
            <v>4</v>
          </cell>
          <cell r="I186">
            <v>0</v>
          </cell>
        </row>
        <row r="187">
          <cell r="G187">
            <v>2</v>
          </cell>
          <cell r="I187">
            <v>0</v>
          </cell>
        </row>
        <row r="188">
          <cell r="G188">
            <v>1</v>
          </cell>
          <cell r="I188">
            <v>0</v>
          </cell>
        </row>
        <row r="189">
          <cell r="G189">
            <v>0</v>
          </cell>
          <cell r="I189" t="str">
            <v>NA</v>
          </cell>
        </row>
        <row r="190">
          <cell r="G190">
            <v>0</v>
          </cell>
          <cell r="I190" t="str">
            <v>NA</v>
          </cell>
        </row>
        <row r="191">
          <cell r="G191">
            <v>3</v>
          </cell>
          <cell r="I191">
            <v>0</v>
          </cell>
        </row>
        <row r="192">
          <cell r="G192">
            <v>0</v>
          </cell>
          <cell r="I192" t="str">
            <v>NA</v>
          </cell>
        </row>
        <row r="193">
          <cell r="G193">
            <v>0</v>
          </cell>
          <cell r="I193" t="str">
            <v>NA</v>
          </cell>
        </row>
        <row r="194">
          <cell r="G194">
            <v>0</v>
          </cell>
          <cell r="I194" t="str">
            <v>NA</v>
          </cell>
        </row>
        <row r="195">
          <cell r="G195">
            <v>0</v>
          </cell>
          <cell r="I195" t="str">
            <v>NA</v>
          </cell>
        </row>
        <row r="196">
          <cell r="G196">
            <v>1</v>
          </cell>
          <cell r="I196">
            <v>0</v>
          </cell>
        </row>
        <row r="197">
          <cell r="G197">
            <v>0</v>
          </cell>
          <cell r="I197" t="str">
            <v>NA</v>
          </cell>
        </row>
        <row r="198">
          <cell r="G198">
            <v>0</v>
          </cell>
          <cell r="I198" t="str">
            <v>NA</v>
          </cell>
        </row>
        <row r="199">
          <cell r="G199">
            <v>0</v>
          </cell>
          <cell r="I199" t="str">
            <v>NA</v>
          </cell>
        </row>
        <row r="200">
          <cell r="G200">
            <v>0</v>
          </cell>
          <cell r="I200" t="str">
            <v>NA</v>
          </cell>
        </row>
        <row r="201">
          <cell r="G201">
            <v>2</v>
          </cell>
          <cell r="I201">
            <v>0</v>
          </cell>
        </row>
        <row r="202">
          <cell r="G202">
            <v>0</v>
          </cell>
          <cell r="I202" t="str">
            <v>NA</v>
          </cell>
        </row>
        <row r="203">
          <cell r="G203">
            <v>0</v>
          </cell>
          <cell r="I203" t="str">
            <v>NA</v>
          </cell>
        </row>
        <row r="204">
          <cell r="G204">
            <v>0</v>
          </cell>
          <cell r="I204" t="str">
            <v>NA</v>
          </cell>
        </row>
        <row r="205">
          <cell r="G205">
            <v>0</v>
          </cell>
          <cell r="I205" t="str">
            <v>NA</v>
          </cell>
        </row>
        <row r="206">
          <cell r="G206">
            <v>0</v>
          </cell>
          <cell r="I206" t="str">
            <v>NA</v>
          </cell>
        </row>
        <row r="207">
          <cell r="G207">
            <v>0</v>
          </cell>
          <cell r="I207" t="str">
            <v>NA</v>
          </cell>
        </row>
        <row r="208">
          <cell r="G208">
            <v>0</v>
          </cell>
          <cell r="I208" t="str">
            <v>NA</v>
          </cell>
        </row>
        <row r="209">
          <cell r="G209">
            <v>0</v>
          </cell>
          <cell r="I209" t="str">
            <v>NA</v>
          </cell>
        </row>
        <row r="210">
          <cell r="G210">
            <v>0</v>
          </cell>
          <cell r="I210" t="str">
            <v>NA</v>
          </cell>
        </row>
        <row r="211">
          <cell r="G211">
            <v>0</v>
          </cell>
          <cell r="I211" t="str">
            <v>NA</v>
          </cell>
        </row>
        <row r="212">
          <cell r="G212">
            <v>0</v>
          </cell>
          <cell r="I212" t="str">
            <v>NA</v>
          </cell>
        </row>
        <row r="213">
          <cell r="G213">
            <v>0</v>
          </cell>
          <cell r="I213" t="str">
            <v>NA</v>
          </cell>
        </row>
        <row r="214">
          <cell r="G214">
            <v>0</v>
          </cell>
          <cell r="I214" t="str">
            <v>NA</v>
          </cell>
        </row>
        <row r="215">
          <cell r="G215">
            <v>0</v>
          </cell>
          <cell r="I215" t="str">
            <v>NA</v>
          </cell>
        </row>
        <row r="216">
          <cell r="G216">
            <v>0</v>
          </cell>
          <cell r="I216" t="str">
            <v>NA</v>
          </cell>
        </row>
        <row r="217">
          <cell r="G217">
            <v>0</v>
          </cell>
          <cell r="I217" t="str">
            <v>NA</v>
          </cell>
        </row>
        <row r="218">
          <cell r="G218">
            <v>0</v>
          </cell>
          <cell r="I218" t="str">
            <v>NA</v>
          </cell>
        </row>
        <row r="219">
          <cell r="G219">
            <v>0</v>
          </cell>
          <cell r="I219" t="str">
            <v>NA</v>
          </cell>
        </row>
        <row r="220">
          <cell r="G220">
            <v>0</v>
          </cell>
          <cell r="I220" t="str">
            <v>NA</v>
          </cell>
        </row>
        <row r="221">
          <cell r="G221">
            <v>0</v>
          </cell>
          <cell r="I221" t="str">
            <v>NA</v>
          </cell>
        </row>
        <row r="222">
          <cell r="G222">
            <v>0</v>
          </cell>
          <cell r="I222" t="str">
            <v>NA</v>
          </cell>
        </row>
        <row r="223">
          <cell r="G223">
            <v>0</v>
          </cell>
          <cell r="I223" t="str">
            <v>NA</v>
          </cell>
        </row>
        <row r="224">
          <cell r="G224">
            <v>0</v>
          </cell>
          <cell r="I224" t="str">
            <v>NA</v>
          </cell>
        </row>
        <row r="225">
          <cell r="G225">
            <v>0</v>
          </cell>
          <cell r="I225" t="str">
            <v>NA</v>
          </cell>
        </row>
        <row r="226">
          <cell r="G226">
            <v>0</v>
          </cell>
          <cell r="I226" t="str">
            <v>NA</v>
          </cell>
        </row>
        <row r="227">
          <cell r="G227">
            <v>0</v>
          </cell>
          <cell r="I227" t="str">
            <v>NA</v>
          </cell>
        </row>
        <row r="228">
          <cell r="G228">
            <v>0</v>
          </cell>
          <cell r="I228" t="str">
            <v>NA</v>
          </cell>
        </row>
        <row r="229">
          <cell r="G229">
            <v>0</v>
          </cell>
          <cell r="I229" t="str">
            <v>NA</v>
          </cell>
        </row>
        <row r="230">
          <cell r="G230">
            <v>0</v>
          </cell>
          <cell r="I230" t="str">
            <v>NA</v>
          </cell>
        </row>
        <row r="231">
          <cell r="G231">
            <v>0</v>
          </cell>
          <cell r="I231" t="str">
            <v>NA</v>
          </cell>
        </row>
        <row r="232">
          <cell r="G232">
            <v>0</v>
          </cell>
          <cell r="I232" t="str">
            <v>NA</v>
          </cell>
        </row>
        <row r="233">
          <cell r="G233">
            <v>0</v>
          </cell>
          <cell r="I233" t="str">
            <v>NA</v>
          </cell>
        </row>
        <row r="234">
          <cell r="G234">
            <v>0</v>
          </cell>
          <cell r="I234" t="str">
            <v>NA</v>
          </cell>
        </row>
        <row r="235">
          <cell r="G235">
            <v>0</v>
          </cell>
          <cell r="I235" t="str">
            <v>NA</v>
          </cell>
        </row>
        <row r="236">
          <cell r="G236">
            <v>0</v>
          </cell>
          <cell r="I236" t="str">
            <v>NA</v>
          </cell>
        </row>
        <row r="237">
          <cell r="G237">
            <v>0</v>
          </cell>
          <cell r="I237" t="str">
            <v>NA</v>
          </cell>
        </row>
        <row r="238">
          <cell r="G238">
            <v>0</v>
          </cell>
          <cell r="I238" t="str">
            <v>NA</v>
          </cell>
        </row>
        <row r="239">
          <cell r="G239">
            <v>0</v>
          </cell>
          <cell r="I239" t="str">
            <v>NA</v>
          </cell>
        </row>
        <row r="240">
          <cell r="G240">
            <v>0</v>
          </cell>
          <cell r="I240" t="str">
            <v>NA</v>
          </cell>
        </row>
        <row r="241">
          <cell r="G241">
            <v>0</v>
          </cell>
          <cell r="I241" t="str">
            <v>NA</v>
          </cell>
        </row>
        <row r="242">
          <cell r="G242">
            <v>0</v>
          </cell>
          <cell r="I242" t="str">
            <v>NA</v>
          </cell>
        </row>
        <row r="243">
          <cell r="G243">
            <v>0</v>
          </cell>
          <cell r="I243" t="str">
            <v>NA</v>
          </cell>
        </row>
        <row r="244">
          <cell r="G244">
            <v>1</v>
          </cell>
          <cell r="I244">
            <v>0</v>
          </cell>
        </row>
        <row r="245">
          <cell r="G245">
            <v>0</v>
          </cell>
          <cell r="I245" t="str">
            <v>NA</v>
          </cell>
        </row>
        <row r="246">
          <cell r="G246">
            <v>0</v>
          </cell>
          <cell r="I246" t="str">
            <v>NA</v>
          </cell>
        </row>
        <row r="247">
          <cell r="G247">
            <v>0</v>
          </cell>
          <cell r="I247" t="str">
            <v>NA</v>
          </cell>
        </row>
        <row r="248">
          <cell r="G248">
            <v>0</v>
          </cell>
          <cell r="I248" t="str">
            <v>NA</v>
          </cell>
        </row>
        <row r="249">
          <cell r="G249">
            <v>0</v>
          </cell>
          <cell r="I249" t="str">
            <v>NA</v>
          </cell>
        </row>
        <row r="250">
          <cell r="G250">
            <v>0</v>
          </cell>
          <cell r="I250" t="str">
            <v>NA</v>
          </cell>
        </row>
        <row r="251">
          <cell r="G251">
            <v>0</v>
          </cell>
          <cell r="I251" t="str">
            <v>NA</v>
          </cell>
        </row>
        <row r="252">
          <cell r="G252">
            <v>0</v>
          </cell>
          <cell r="I252" t="str">
            <v>NA</v>
          </cell>
        </row>
        <row r="253">
          <cell r="G253">
            <v>0</v>
          </cell>
          <cell r="I253" t="str">
            <v>NA</v>
          </cell>
        </row>
        <row r="254">
          <cell r="G254">
            <v>35</v>
          </cell>
          <cell r="I254">
            <v>0</v>
          </cell>
        </row>
        <row r="255">
          <cell r="G255">
            <v>0</v>
          </cell>
          <cell r="I255" t="str">
            <v>NA</v>
          </cell>
        </row>
        <row r="256">
          <cell r="G256">
            <v>0</v>
          </cell>
          <cell r="I256" t="str">
            <v>NA</v>
          </cell>
        </row>
        <row r="257">
          <cell r="G257">
            <v>0</v>
          </cell>
          <cell r="I257" t="str">
            <v>NA</v>
          </cell>
        </row>
        <row r="258">
          <cell r="G258">
            <v>1</v>
          </cell>
          <cell r="I258">
            <v>0</v>
          </cell>
        </row>
        <row r="259">
          <cell r="G259">
            <v>0</v>
          </cell>
          <cell r="I259" t="str">
            <v>NA</v>
          </cell>
        </row>
        <row r="260">
          <cell r="G260">
            <v>0</v>
          </cell>
          <cell r="I260" t="str">
            <v>NA</v>
          </cell>
        </row>
        <row r="261">
          <cell r="G261">
            <v>0</v>
          </cell>
          <cell r="I261" t="str">
            <v>NA</v>
          </cell>
        </row>
        <row r="262">
          <cell r="G262">
            <v>0</v>
          </cell>
          <cell r="I262" t="str">
            <v>NA</v>
          </cell>
        </row>
        <row r="263">
          <cell r="G263">
            <v>0</v>
          </cell>
          <cell r="I263" t="str">
            <v>NA</v>
          </cell>
        </row>
        <row r="264">
          <cell r="G264">
            <v>1</v>
          </cell>
          <cell r="I264">
            <v>0</v>
          </cell>
        </row>
        <row r="265">
          <cell r="G265">
            <v>1</v>
          </cell>
          <cell r="I265">
            <v>0</v>
          </cell>
        </row>
        <row r="266">
          <cell r="G266">
            <v>0</v>
          </cell>
          <cell r="I266" t="str">
            <v>NA</v>
          </cell>
        </row>
        <row r="267">
          <cell r="G267">
            <v>2</v>
          </cell>
          <cell r="I267">
            <v>0</v>
          </cell>
        </row>
        <row r="268">
          <cell r="G268">
            <v>0</v>
          </cell>
          <cell r="I268" t="str">
            <v>NA</v>
          </cell>
        </row>
        <row r="269">
          <cell r="G269">
            <v>1</v>
          </cell>
          <cell r="I269">
            <v>0</v>
          </cell>
        </row>
        <row r="270">
          <cell r="G270">
            <v>0</v>
          </cell>
          <cell r="I270" t="str">
            <v>NA</v>
          </cell>
        </row>
        <row r="271">
          <cell r="G271">
            <v>0</v>
          </cell>
          <cell r="I271" t="str">
            <v>NA</v>
          </cell>
        </row>
        <row r="272">
          <cell r="G272">
            <v>0</v>
          </cell>
          <cell r="I272" t="str">
            <v>NA</v>
          </cell>
        </row>
        <row r="273">
          <cell r="G273">
            <v>0</v>
          </cell>
          <cell r="I273" t="str">
            <v>NA</v>
          </cell>
        </row>
        <row r="274">
          <cell r="G274">
            <v>0</v>
          </cell>
          <cell r="I274" t="str">
            <v>NA</v>
          </cell>
        </row>
        <row r="275">
          <cell r="G275">
            <v>0</v>
          </cell>
          <cell r="I275" t="str">
            <v>NA</v>
          </cell>
        </row>
        <row r="276">
          <cell r="G276">
            <v>0</v>
          </cell>
          <cell r="I276" t="str">
            <v>NA</v>
          </cell>
        </row>
        <row r="277">
          <cell r="G277">
            <v>0</v>
          </cell>
          <cell r="I277" t="str">
            <v>NA</v>
          </cell>
        </row>
        <row r="278">
          <cell r="G278">
            <v>0</v>
          </cell>
          <cell r="I278" t="str">
            <v>NA</v>
          </cell>
        </row>
        <row r="279">
          <cell r="G279">
            <v>0</v>
          </cell>
          <cell r="I279" t="str">
            <v>NA</v>
          </cell>
        </row>
        <row r="280">
          <cell r="G280">
            <v>0</v>
          </cell>
          <cell r="I280" t="str">
            <v>NA</v>
          </cell>
        </row>
        <row r="281">
          <cell r="G281">
            <v>0</v>
          </cell>
          <cell r="I281" t="str">
            <v>NA</v>
          </cell>
        </row>
        <row r="282">
          <cell r="G282">
            <v>0</v>
          </cell>
          <cell r="I282" t="str">
            <v>NA</v>
          </cell>
        </row>
        <row r="283">
          <cell r="G283">
            <v>0</v>
          </cell>
          <cell r="I283" t="str">
            <v>NA</v>
          </cell>
        </row>
        <row r="284">
          <cell r="G284">
            <v>0</v>
          </cell>
          <cell r="I284" t="str">
            <v>NA</v>
          </cell>
        </row>
        <row r="285">
          <cell r="G285">
            <v>0</v>
          </cell>
          <cell r="I285" t="str">
            <v>NA</v>
          </cell>
        </row>
        <row r="286">
          <cell r="G286">
            <v>0</v>
          </cell>
          <cell r="I286" t="str">
            <v>NA</v>
          </cell>
        </row>
        <row r="287">
          <cell r="G287">
            <v>0</v>
          </cell>
          <cell r="I287" t="str">
            <v>NA</v>
          </cell>
        </row>
        <row r="288">
          <cell r="G288">
            <v>0</v>
          </cell>
          <cell r="I288" t="str">
            <v>NA</v>
          </cell>
        </row>
        <row r="289">
          <cell r="G289">
            <v>0</v>
          </cell>
          <cell r="I289" t="str">
            <v>NA</v>
          </cell>
        </row>
        <row r="290">
          <cell r="G290">
            <v>0</v>
          </cell>
          <cell r="I290" t="str">
            <v>NA</v>
          </cell>
        </row>
      </sheetData>
      <sheetData sheetId="22">
        <row r="9">
          <cell r="I9" t="str">
            <v>NA</v>
          </cell>
        </row>
        <row r="10">
          <cell r="I10" t="str">
            <v>NA</v>
          </cell>
        </row>
        <row r="11">
          <cell r="I11" t="str">
            <v>NA</v>
          </cell>
        </row>
        <row r="12">
          <cell r="I12" t="str">
            <v>NA</v>
          </cell>
        </row>
        <row r="13">
          <cell r="I13" t="str">
            <v>NA</v>
          </cell>
        </row>
        <row r="14">
          <cell r="I14" t="str">
            <v>NA</v>
          </cell>
        </row>
        <row r="15">
          <cell r="I15" t="str">
            <v>NA</v>
          </cell>
        </row>
        <row r="16">
          <cell r="I16" t="str">
            <v>NA</v>
          </cell>
        </row>
        <row r="17">
          <cell r="I17" t="str">
            <v>NA</v>
          </cell>
        </row>
        <row r="18">
          <cell r="I18">
            <v>0</v>
          </cell>
        </row>
        <row r="19">
          <cell r="I19">
            <v>0</v>
          </cell>
        </row>
        <row r="20">
          <cell r="I20" t="str">
            <v>NA</v>
          </cell>
        </row>
        <row r="21">
          <cell r="I21">
            <v>0</v>
          </cell>
        </row>
        <row r="22">
          <cell r="I22" t="str">
            <v>NA</v>
          </cell>
        </row>
        <row r="23">
          <cell r="I23">
            <v>0</v>
          </cell>
        </row>
        <row r="24">
          <cell r="I24" t="str">
            <v>NA</v>
          </cell>
        </row>
        <row r="25">
          <cell r="I25">
            <v>0</v>
          </cell>
        </row>
        <row r="26">
          <cell r="I26">
            <v>0</v>
          </cell>
        </row>
        <row r="27">
          <cell r="I27" t="str">
            <v>NA</v>
          </cell>
        </row>
        <row r="28">
          <cell r="I28" t="str">
            <v>NA</v>
          </cell>
        </row>
        <row r="29">
          <cell r="I29" t="str">
            <v>NA</v>
          </cell>
        </row>
        <row r="30">
          <cell r="I30">
            <v>0</v>
          </cell>
        </row>
        <row r="31">
          <cell r="I31">
            <v>0</v>
          </cell>
        </row>
        <row r="32">
          <cell r="I32" t="str">
            <v>NA</v>
          </cell>
        </row>
        <row r="33">
          <cell r="I33" t="str">
            <v>NA</v>
          </cell>
        </row>
        <row r="34">
          <cell r="I34" t="str">
            <v>NA</v>
          </cell>
        </row>
        <row r="35">
          <cell r="I35" t="str">
            <v>NA</v>
          </cell>
        </row>
        <row r="36">
          <cell r="I36" t="str">
            <v>NA</v>
          </cell>
        </row>
        <row r="37">
          <cell r="I37" t="str">
            <v>NA</v>
          </cell>
        </row>
        <row r="38">
          <cell r="I38" t="str">
            <v>NA</v>
          </cell>
        </row>
        <row r="39">
          <cell r="I39" t="str">
            <v>NA</v>
          </cell>
        </row>
        <row r="40">
          <cell r="I40" t="str">
            <v>NA</v>
          </cell>
        </row>
        <row r="41">
          <cell r="I41" t="str">
            <v>NA</v>
          </cell>
        </row>
        <row r="42">
          <cell r="I42">
            <v>0</v>
          </cell>
        </row>
        <row r="43">
          <cell r="I43">
            <v>0</v>
          </cell>
        </row>
        <row r="44">
          <cell r="I44" t="str">
            <v>NA</v>
          </cell>
        </row>
        <row r="45">
          <cell r="I45" t="str">
            <v>NA</v>
          </cell>
        </row>
        <row r="46">
          <cell r="I46">
            <v>0</v>
          </cell>
        </row>
        <row r="47">
          <cell r="I47" t="str">
            <v>NA</v>
          </cell>
        </row>
        <row r="48">
          <cell r="I48" t="str">
            <v>NA</v>
          </cell>
        </row>
        <row r="49">
          <cell r="I49" t="str">
            <v>NA</v>
          </cell>
        </row>
        <row r="50">
          <cell r="I50" t="str">
            <v>NA</v>
          </cell>
        </row>
        <row r="51">
          <cell r="I51" t="str">
            <v>NA</v>
          </cell>
        </row>
        <row r="52">
          <cell r="I52" t="str">
            <v>NA</v>
          </cell>
        </row>
        <row r="53">
          <cell r="I53" t="str">
            <v>NA</v>
          </cell>
        </row>
        <row r="54">
          <cell r="I54" t="str">
            <v>NA</v>
          </cell>
        </row>
        <row r="55">
          <cell r="I55" t="str">
            <v>NA</v>
          </cell>
        </row>
        <row r="56">
          <cell r="I56" t="str">
            <v>NA</v>
          </cell>
        </row>
        <row r="57">
          <cell r="I57" t="str">
            <v>NA</v>
          </cell>
        </row>
        <row r="58">
          <cell r="I58" t="str">
            <v>NA</v>
          </cell>
        </row>
        <row r="59">
          <cell r="I59" t="str">
            <v>NA</v>
          </cell>
        </row>
        <row r="60">
          <cell r="I60" t="str">
            <v>NA</v>
          </cell>
        </row>
        <row r="61">
          <cell r="I61" t="str">
            <v>NA</v>
          </cell>
        </row>
        <row r="62">
          <cell r="I62" t="str">
            <v>NA</v>
          </cell>
        </row>
        <row r="63">
          <cell r="I63" t="str">
            <v>NA</v>
          </cell>
        </row>
        <row r="64">
          <cell r="I64">
            <v>0</v>
          </cell>
        </row>
        <row r="65">
          <cell r="I65" t="str">
            <v>NA</v>
          </cell>
        </row>
        <row r="66">
          <cell r="I66" t="str">
            <v>NA</v>
          </cell>
        </row>
        <row r="67">
          <cell r="I67" t="str">
            <v>NA</v>
          </cell>
        </row>
        <row r="68">
          <cell r="I68" t="str">
            <v>NA</v>
          </cell>
        </row>
        <row r="69">
          <cell r="I69" t="str">
            <v>NA</v>
          </cell>
        </row>
        <row r="70">
          <cell r="I70" t="str">
            <v>NA</v>
          </cell>
        </row>
        <row r="71">
          <cell r="I71" t="str">
            <v>NA</v>
          </cell>
        </row>
        <row r="72">
          <cell r="I72" t="str">
            <v>NA</v>
          </cell>
        </row>
        <row r="73">
          <cell r="I73" t="str">
            <v>NA</v>
          </cell>
        </row>
        <row r="74">
          <cell r="I74" t="str">
            <v>NA</v>
          </cell>
        </row>
        <row r="75">
          <cell r="I75" t="str">
            <v>NA</v>
          </cell>
        </row>
        <row r="76">
          <cell r="I76">
            <v>0</v>
          </cell>
        </row>
        <row r="77">
          <cell r="I77">
            <v>0</v>
          </cell>
        </row>
        <row r="78">
          <cell r="I78" t="str">
            <v>NA</v>
          </cell>
        </row>
        <row r="79">
          <cell r="I79" t="str">
            <v>NA</v>
          </cell>
        </row>
        <row r="80">
          <cell r="I80" t="str">
            <v>NA</v>
          </cell>
        </row>
        <row r="81">
          <cell r="I81">
            <v>0</v>
          </cell>
        </row>
        <row r="82">
          <cell r="I82" t="str">
            <v>NA</v>
          </cell>
        </row>
        <row r="83">
          <cell r="I83" t="str">
            <v>NA</v>
          </cell>
        </row>
        <row r="84">
          <cell r="I84">
            <v>0</v>
          </cell>
        </row>
        <row r="85">
          <cell r="I85" t="str">
            <v>NA</v>
          </cell>
        </row>
        <row r="86">
          <cell r="I86" t="str">
            <v>NA</v>
          </cell>
        </row>
        <row r="87">
          <cell r="I87" t="str">
            <v>NA</v>
          </cell>
        </row>
        <row r="88">
          <cell r="I88" t="str">
            <v>NA</v>
          </cell>
        </row>
        <row r="89">
          <cell r="I89" t="str">
            <v>NA</v>
          </cell>
        </row>
        <row r="90">
          <cell r="I90" t="str">
            <v>NA</v>
          </cell>
        </row>
        <row r="91">
          <cell r="I91" t="str">
            <v>NA</v>
          </cell>
        </row>
        <row r="92">
          <cell r="I92" t="str">
            <v>NA</v>
          </cell>
        </row>
        <row r="93">
          <cell r="I93">
            <v>0</v>
          </cell>
        </row>
        <row r="94">
          <cell r="I94" t="str">
            <v>NA</v>
          </cell>
        </row>
        <row r="95">
          <cell r="I95" t="str">
            <v>NA</v>
          </cell>
        </row>
        <row r="96">
          <cell r="I96" t="str">
            <v>NA</v>
          </cell>
        </row>
        <row r="97">
          <cell r="I97" t="str">
            <v>NA</v>
          </cell>
        </row>
        <row r="98">
          <cell r="I98" t="str">
            <v>NA</v>
          </cell>
        </row>
        <row r="99">
          <cell r="I99" t="str">
            <v>NA</v>
          </cell>
        </row>
        <row r="100">
          <cell r="I100" t="str">
            <v>NA</v>
          </cell>
        </row>
        <row r="101">
          <cell r="I101" t="str">
            <v>NA</v>
          </cell>
        </row>
        <row r="102">
          <cell r="I102" t="str">
            <v>NA</v>
          </cell>
        </row>
        <row r="103">
          <cell r="I103" t="str">
            <v>NA</v>
          </cell>
        </row>
        <row r="104">
          <cell r="I104">
            <v>0</v>
          </cell>
        </row>
        <row r="105">
          <cell r="I105" t="str">
            <v>NA</v>
          </cell>
        </row>
        <row r="106">
          <cell r="I106">
            <v>0</v>
          </cell>
        </row>
        <row r="107">
          <cell r="I107">
            <v>0</v>
          </cell>
        </row>
        <row r="108">
          <cell r="I108">
            <v>0</v>
          </cell>
        </row>
        <row r="109">
          <cell r="I109" t="str">
            <v>NA</v>
          </cell>
        </row>
        <row r="110">
          <cell r="I110" t="str">
            <v>NA</v>
          </cell>
        </row>
        <row r="111">
          <cell r="I111">
            <v>0</v>
          </cell>
        </row>
        <row r="112">
          <cell r="I112" t="str">
            <v>NA</v>
          </cell>
        </row>
        <row r="113">
          <cell r="I113">
            <v>0</v>
          </cell>
        </row>
        <row r="114">
          <cell r="I114" t="str">
            <v>NA</v>
          </cell>
        </row>
        <row r="115">
          <cell r="I115" t="str">
            <v>NA</v>
          </cell>
        </row>
        <row r="116">
          <cell r="I116" t="str">
            <v>NA</v>
          </cell>
        </row>
        <row r="117">
          <cell r="I117" t="str">
            <v>NA</v>
          </cell>
        </row>
        <row r="118">
          <cell r="I118">
            <v>0</v>
          </cell>
        </row>
        <row r="119">
          <cell r="I119">
            <v>0</v>
          </cell>
        </row>
        <row r="120">
          <cell r="I120">
            <v>0</v>
          </cell>
        </row>
        <row r="121">
          <cell r="I121">
            <v>0</v>
          </cell>
        </row>
        <row r="122">
          <cell r="I122" t="str">
            <v>NA</v>
          </cell>
        </row>
        <row r="123">
          <cell r="I123">
            <v>0</v>
          </cell>
        </row>
        <row r="124">
          <cell r="I124" t="str">
            <v>NA</v>
          </cell>
        </row>
        <row r="125">
          <cell r="I125">
            <v>0</v>
          </cell>
        </row>
        <row r="126">
          <cell r="I126">
            <v>0</v>
          </cell>
        </row>
        <row r="127">
          <cell r="I127">
            <v>0</v>
          </cell>
        </row>
        <row r="128">
          <cell r="I128">
            <v>0</v>
          </cell>
        </row>
        <row r="129">
          <cell r="I129" t="str">
            <v>NA</v>
          </cell>
        </row>
        <row r="130">
          <cell r="I130" t="str">
            <v>NA</v>
          </cell>
        </row>
        <row r="131">
          <cell r="I131" t="str">
            <v>NA</v>
          </cell>
        </row>
        <row r="132">
          <cell r="I132" t="str">
            <v>NA</v>
          </cell>
        </row>
        <row r="133">
          <cell r="I133">
            <v>0</v>
          </cell>
        </row>
        <row r="134">
          <cell r="I134" t="str">
            <v>NA</v>
          </cell>
        </row>
        <row r="135">
          <cell r="I135" t="str">
            <v>NA</v>
          </cell>
        </row>
        <row r="136">
          <cell r="I136" t="str">
            <v>NA</v>
          </cell>
        </row>
        <row r="137">
          <cell r="I137">
            <v>0</v>
          </cell>
        </row>
        <row r="138">
          <cell r="I138">
            <v>0</v>
          </cell>
        </row>
        <row r="139">
          <cell r="I139">
            <v>0</v>
          </cell>
        </row>
        <row r="140">
          <cell r="I140">
            <v>0</v>
          </cell>
        </row>
        <row r="141">
          <cell r="I141">
            <v>0</v>
          </cell>
        </row>
        <row r="142">
          <cell r="I142">
            <v>0</v>
          </cell>
        </row>
        <row r="143">
          <cell r="I143">
            <v>0</v>
          </cell>
        </row>
        <row r="144">
          <cell r="I144" t="str">
            <v>NA</v>
          </cell>
        </row>
        <row r="145">
          <cell r="I145" t="str">
            <v>NA</v>
          </cell>
        </row>
        <row r="146">
          <cell r="I146">
            <v>0</v>
          </cell>
        </row>
        <row r="147">
          <cell r="I147" t="str">
            <v>NA</v>
          </cell>
        </row>
        <row r="148">
          <cell r="I148" t="str">
            <v>NA</v>
          </cell>
        </row>
        <row r="149">
          <cell r="I149" t="str">
            <v>NA</v>
          </cell>
        </row>
        <row r="150">
          <cell r="I150" t="str">
            <v>NA</v>
          </cell>
        </row>
        <row r="151">
          <cell r="I151">
            <v>0</v>
          </cell>
        </row>
        <row r="152">
          <cell r="I152" t="str">
            <v>NA</v>
          </cell>
        </row>
        <row r="153">
          <cell r="I153" t="str">
            <v>NA</v>
          </cell>
        </row>
        <row r="154">
          <cell r="I154">
            <v>0</v>
          </cell>
        </row>
        <row r="155">
          <cell r="I155" t="str">
            <v>NA</v>
          </cell>
        </row>
        <row r="156">
          <cell r="I156" t="str">
            <v>NA</v>
          </cell>
        </row>
        <row r="157">
          <cell r="I157" t="str">
            <v>NA</v>
          </cell>
        </row>
        <row r="158">
          <cell r="I158" t="str">
            <v>NA</v>
          </cell>
        </row>
        <row r="159">
          <cell r="I159" t="str">
            <v>NA</v>
          </cell>
        </row>
        <row r="160">
          <cell r="I160" t="str">
            <v>NA</v>
          </cell>
        </row>
        <row r="161">
          <cell r="I161" t="str">
            <v>NA</v>
          </cell>
        </row>
        <row r="162">
          <cell r="I162" t="str">
            <v>NA</v>
          </cell>
        </row>
        <row r="163">
          <cell r="I163" t="str">
            <v>NA</v>
          </cell>
        </row>
        <row r="164">
          <cell r="I164" t="str">
            <v>NA</v>
          </cell>
        </row>
        <row r="165">
          <cell r="I165" t="str">
            <v>NA</v>
          </cell>
        </row>
        <row r="166">
          <cell r="I166" t="str">
            <v>NA</v>
          </cell>
        </row>
        <row r="167">
          <cell r="I167" t="str">
            <v>NA</v>
          </cell>
        </row>
        <row r="168">
          <cell r="I168" t="str">
            <v>NA</v>
          </cell>
        </row>
        <row r="169">
          <cell r="I169" t="str">
            <v>NA</v>
          </cell>
        </row>
        <row r="170">
          <cell r="I170" t="str">
            <v>NA</v>
          </cell>
        </row>
        <row r="171">
          <cell r="I171" t="str">
            <v>NA</v>
          </cell>
        </row>
        <row r="172">
          <cell r="I172" t="str">
            <v>NA</v>
          </cell>
        </row>
        <row r="173">
          <cell r="I173" t="str">
            <v>NA</v>
          </cell>
        </row>
        <row r="174">
          <cell r="I174" t="str">
            <v>NA</v>
          </cell>
        </row>
        <row r="175">
          <cell r="I175" t="str">
            <v>NA</v>
          </cell>
        </row>
        <row r="176">
          <cell r="I176" t="str">
            <v>NA</v>
          </cell>
        </row>
        <row r="177">
          <cell r="I177">
            <v>0</v>
          </cell>
        </row>
        <row r="178">
          <cell r="I178" t="str">
            <v>NA</v>
          </cell>
        </row>
        <row r="179">
          <cell r="I179" t="str">
            <v>NA</v>
          </cell>
        </row>
        <row r="180">
          <cell r="I180" t="str">
            <v>NA</v>
          </cell>
        </row>
        <row r="181">
          <cell r="I181">
            <v>0</v>
          </cell>
        </row>
        <row r="182">
          <cell r="I182" t="str">
            <v>NA</v>
          </cell>
        </row>
        <row r="183">
          <cell r="I183">
            <v>0</v>
          </cell>
        </row>
        <row r="184">
          <cell r="I184">
            <v>0</v>
          </cell>
        </row>
        <row r="185">
          <cell r="I185" t="str">
            <v>NA</v>
          </cell>
        </row>
        <row r="186">
          <cell r="I186">
            <v>0</v>
          </cell>
        </row>
        <row r="187">
          <cell r="I187" t="str">
            <v>NA</v>
          </cell>
        </row>
        <row r="188">
          <cell r="I188">
            <v>0</v>
          </cell>
        </row>
        <row r="189">
          <cell r="I189" t="str">
            <v>NA</v>
          </cell>
        </row>
        <row r="190">
          <cell r="I190" t="str">
            <v>NA</v>
          </cell>
        </row>
        <row r="191">
          <cell r="I191" t="str">
            <v>NA</v>
          </cell>
        </row>
        <row r="192">
          <cell r="I192" t="str">
            <v>NA</v>
          </cell>
        </row>
        <row r="193">
          <cell r="I193" t="str">
            <v>NA</v>
          </cell>
        </row>
        <row r="194">
          <cell r="I194" t="str">
            <v>NA</v>
          </cell>
        </row>
        <row r="195">
          <cell r="I195" t="str">
            <v>NA</v>
          </cell>
        </row>
        <row r="196">
          <cell r="I196" t="str">
            <v>NA</v>
          </cell>
        </row>
        <row r="197">
          <cell r="I197" t="str">
            <v>NA</v>
          </cell>
        </row>
        <row r="198">
          <cell r="I198" t="str">
            <v>NA</v>
          </cell>
        </row>
        <row r="199">
          <cell r="I199" t="str">
            <v>NA</v>
          </cell>
        </row>
      </sheetData>
      <sheetData sheetId="23">
        <row r="9">
          <cell r="I9" t="str">
            <v>NA</v>
          </cell>
        </row>
        <row r="10">
          <cell r="I10" t="str">
            <v>NA</v>
          </cell>
        </row>
        <row r="11">
          <cell r="I11" t="str">
            <v>NA</v>
          </cell>
        </row>
        <row r="12">
          <cell r="I12" t="str">
            <v>NA</v>
          </cell>
        </row>
        <row r="13">
          <cell r="I13" t="str">
            <v>NA</v>
          </cell>
        </row>
        <row r="14">
          <cell r="I14" t="str">
            <v>NA</v>
          </cell>
        </row>
        <row r="15">
          <cell r="I15">
            <v>0</v>
          </cell>
        </row>
        <row r="16">
          <cell r="I16" t="str">
            <v>NA</v>
          </cell>
        </row>
        <row r="17">
          <cell r="I17" t="str">
            <v>NA</v>
          </cell>
        </row>
        <row r="18">
          <cell r="I18" t="str">
            <v>NA</v>
          </cell>
        </row>
        <row r="19">
          <cell r="I19" t="str">
            <v>NA</v>
          </cell>
        </row>
        <row r="20">
          <cell r="I20" t="str">
            <v>NA</v>
          </cell>
        </row>
        <row r="21">
          <cell r="I21" t="str">
            <v>NA</v>
          </cell>
        </row>
        <row r="22">
          <cell r="I22" t="str">
            <v>NA</v>
          </cell>
        </row>
        <row r="23">
          <cell r="I23">
            <v>0</v>
          </cell>
        </row>
        <row r="24">
          <cell r="I24" t="str">
            <v>NA</v>
          </cell>
        </row>
        <row r="25">
          <cell r="I25" t="str">
            <v>NA</v>
          </cell>
        </row>
        <row r="26">
          <cell r="I26" t="str">
            <v>NA</v>
          </cell>
        </row>
        <row r="27">
          <cell r="I27" t="str">
            <v>NA</v>
          </cell>
        </row>
        <row r="28">
          <cell r="I28" t="str">
            <v>NA</v>
          </cell>
        </row>
        <row r="29">
          <cell r="I29">
            <v>0</v>
          </cell>
        </row>
        <row r="30">
          <cell r="I30" t="str">
            <v>NA</v>
          </cell>
        </row>
        <row r="31">
          <cell r="I31" t="str">
            <v>NA</v>
          </cell>
        </row>
        <row r="32">
          <cell r="I32" t="str">
            <v>NA</v>
          </cell>
        </row>
        <row r="33">
          <cell r="I33" t="str">
            <v>NA</v>
          </cell>
        </row>
        <row r="34">
          <cell r="I34" t="str">
            <v>NA</v>
          </cell>
        </row>
        <row r="35">
          <cell r="I35" t="str">
            <v>NA</v>
          </cell>
        </row>
        <row r="36">
          <cell r="I36" t="str">
            <v>NA</v>
          </cell>
        </row>
        <row r="37">
          <cell r="I37" t="str">
            <v>NA</v>
          </cell>
        </row>
        <row r="38">
          <cell r="I38" t="str">
            <v>NA</v>
          </cell>
        </row>
        <row r="39">
          <cell r="I39" t="str">
            <v>NA</v>
          </cell>
        </row>
        <row r="40">
          <cell r="I40" t="str">
            <v>NA</v>
          </cell>
        </row>
        <row r="41">
          <cell r="I41">
            <v>0</v>
          </cell>
        </row>
        <row r="42">
          <cell r="I42" t="str">
            <v>NA</v>
          </cell>
        </row>
        <row r="43">
          <cell r="I43" t="str">
            <v>NA</v>
          </cell>
        </row>
        <row r="44">
          <cell r="I44" t="str">
            <v>NA</v>
          </cell>
        </row>
        <row r="45">
          <cell r="I45" t="str">
            <v>NA</v>
          </cell>
        </row>
        <row r="46">
          <cell r="I46" t="str">
            <v>NA</v>
          </cell>
        </row>
        <row r="47">
          <cell r="I47">
            <v>0</v>
          </cell>
        </row>
        <row r="48">
          <cell r="I48">
            <v>0</v>
          </cell>
        </row>
        <row r="49">
          <cell r="I49">
            <v>0</v>
          </cell>
        </row>
        <row r="50">
          <cell r="I50">
            <v>0</v>
          </cell>
        </row>
        <row r="51">
          <cell r="I51">
            <v>0</v>
          </cell>
        </row>
        <row r="52">
          <cell r="I52">
            <v>0</v>
          </cell>
        </row>
        <row r="53">
          <cell r="I53" t="str">
            <v>NA</v>
          </cell>
        </row>
        <row r="54">
          <cell r="I54" t="str">
            <v>NA</v>
          </cell>
        </row>
        <row r="55">
          <cell r="I55" t="str">
            <v>NA</v>
          </cell>
        </row>
        <row r="56">
          <cell r="I56" t="str">
            <v>NA</v>
          </cell>
        </row>
        <row r="57">
          <cell r="I57" t="str">
            <v>NA</v>
          </cell>
        </row>
        <row r="58">
          <cell r="I58" t="str">
            <v>NA</v>
          </cell>
        </row>
        <row r="59">
          <cell r="I59" t="str">
            <v>NA</v>
          </cell>
        </row>
        <row r="60">
          <cell r="I60" t="str">
            <v>NA</v>
          </cell>
        </row>
        <row r="61">
          <cell r="I61" t="str">
            <v>NA</v>
          </cell>
        </row>
        <row r="62">
          <cell r="I62" t="str">
            <v>NA</v>
          </cell>
        </row>
        <row r="63">
          <cell r="I63" t="str">
            <v>NA</v>
          </cell>
        </row>
        <row r="64">
          <cell r="I64" t="str">
            <v>NA</v>
          </cell>
        </row>
        <row r="65">
          <cell r="I65" t="str">
            <v>NA</v>
          </cell>
        </row>
        <row r="66">
          <cell r="I66" t="str">
            <v>NA</v>
          </cell>
        </row>
        <row r="67">
          <cell r="I67" t="str">
            <v>NA</v>
          </cell>
        </row>
        <row r="68">
          <cell r="I68" t="str">
            <v>NA</v>
          </cell>
        </row>
        <row r="69">
          <cell r="I69" t="str">
            <v>NA</v>
          </cell>
        </row>
        <row r="70">
          <cell r="I70" t="str">
            <v>NA</v>
          </cell>
        </row>
        <row r="71">
          <cell r="I71" t="str">
            <v>NA</v>
          </cell>
        </row>
        <row r="72">
          <cell r="I72" t="str">
            <v>NA</v>
          </cell>
        </row>
        <row r="73">
          <cell r="I73" t="str">
            <v>NA</v>
          </cell>
        </row>
        <row r="74">
          <cell r="I74" t="str">
            <v>NA</v>
          </cell>
        </row>
        <row r="75">
          <cell r="I75" t="str">
            <v>NA</v>
          </cell>
        </row>
        <row r="76">
          <cell r="I76" t="str">
            <v>NA</v>
          </cell>
        </row>
        <row r="77">
          <cell r="I77" t="str">
            <v>NA</v>
          </cell>
        </row>
        <row r="78">
          <cell r="I78" t="str">
            <v>NA</v>
          </cell>
        </row>
        <row r="79">
          <cell r="I79">
            <v>0</v>
          </cell>
        </row>
        <row r="80">
          <cell r="I80" t="str">
            <v>NA</v>
          </cell>
        </row>
        <row r="81">
          <cell r="I81" t="str">
            <v>NA</v>
          </cell>
        </row>
        <row r="82">
          <cell r="I82" t="str">
            <v>NA</v>
          </cell>
        </row>
        <row r="83">
          <cell r="I83" t="str">
            <v>NA</v>
          </cell>
        </row>
        <row r="84">
          <cell r="I84" t="str">
            <v>NA</v>
          </cell>
        </row>
        <row r="85">
          <cell r="I85" t="str">
            <v>NA</v>
          </cell>
        </row>
        <row r="86">
          <cell r="I86" t="str">
            <v>NA</v>
          </cell>
        </row>
        <row r="87">
          <cell r="I87" t="str">
            <v>NA</v>
          </cell>
        </row>
        <row r="88">
          <cell r="I88" t="str">
            <v>NA</v>
          </cell>
        </row>
        <row r="89">
          <cell r="I89" t="str">
            <v>NA</v>
          </cell>
        </row>
        <row r="90">
          <cell r="I90" t="str">
            <v>NA</v>
          </cell>
        </row>
        <row r="91">
          <cell r="I91" t="str">
            <v>NA</v>
          </cell>
        </row>
        <row r="92">
          <cell r="I92" t="str">
            <v>NA</v>
          </cell>
        </row>
        <row r="93">
          <cell r="I93" t="str">
            <v>NA</v>
          </cell>
        </row>
        <row r="94">
          <cell r="I94" t="str">
            <v>NA</v>
          </cell>
        </row>
        <row r="95">
          <cell r="I95" t="str">
            <v>NA</v>
          </cell>
        </row>
        <row r="96">
          <cell r="I96" t="str">
            <v>NA</v>
          </cell>
        </row>
        <row r="97">
          <cell r="I97" t="str">
            <v>NA</v>
          </cell>
        </row>
        <row r="98">
          <cell r="I98" t="str">
            <v>NA</v>
          </cell>
        </row>
        <row r="99">
          <cell r="I99" t="str">
            <v>NA</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 All LGUs"/>
      <sheetName val="Source  - Provincial Data"/>
      <sheetName val="Provinces"/>
      <sheetName val="HVP List"/>
      <sheetName val="VList-LGUs"/>
      <sheetName val="VCondList-LGUs"/>
      <sheetName val="VList-Typology"/>
      <sheetName val="LGU SumDataSheet"/>
      <sheetName val="AIP CCET Data Bank - CityMuni"/>
      <sheetName val="AIP (2)"/>
      <sheetName val="AIPCCET"/>
      <sheetName val="GF"/>
      <sheetName val="LDRRMF"/>
      <sheetName val="CC vs NonCC Budget"/>
      <sheetName val="CCA vs CCM Budget"/>
      <sheetName val="Budget by NCCAP Alignment"/>
      <sheetName val="CC Expenditure by Fund Source"/>
      <sheetName val="Guide-Standardized Fund Source"/>
      <sheetName val="Standardized FS - Total"/>
      <sheetName val="Standardized FS - Adaptation"/>
      <sheetName val="Standardized FS - Mitigation"/>
      <sheetName val="Frequency - All Codes"/>
      <sheetName val="Frequency - Adaptation Codes"/>
      <sheetName val="Frequency - Mitigation Codes"/>
    </sheetNames>
    <sheetDataSet>
      <sheetData sheetId="0" refreshError="1"/>
      <sheetData sheetId="1" refreshError="1"/>
      <sheetData sheetId="2" refreshError="1"/>
      <sheetData sheetId="3">
        <row r="2">
          <cell r="B2" t="str">
            <v>Maguindanao</v>
          </cell>
        </row>
      </sheetData>
      <sheetData sheetId="4">
        <row r="5">
          <cell r="B5" t="str">
            <v>Basilan</v>
          </cell>
        </row>
      </sheetData>
      <sheetData sheetId="5">
        <row r="2">
          <cell r="B2" t="str">
            <v>*Select_a_Region*</v>
          </cell>
        </row>
        <row r="3">
          <cell r="B3" t="str">
            <v>ARMM</v>
          </cell>
        </row>
        <row r="4">
          <cell r="B4" t="str">
            <v>CAR</v>
          </cell>
        </row>
        <row r="5">
          <cell r="B5" t="str">
            <v>NCR</v>
          </cell>
        </row>
        <row r="6">
          <cell r="B6" t="str">
            <v>NIR</v>
          </cell>
        </row>
        <row r="7">
          <cell r="B7" t="str">
            <v>Region_I</v>
          </cell>
        </row>
        <row r="8">
          <cell r="B8" t="str">
            <v>Region_II</v>
          </cell>
        </row>
        <row r="9">
          <cell r="B9" t="str">
            <v>Region_III</v>
          </cell>
        </row>
        <row r="10">
          <cell r="B10" t="str">
            <v>Region_IVA</v>
          </cell>
        </row>
        <row r="11">
          <cell r="B11" t="str">
            <v>Region_IVB</v>
          </cell>
        </row>
        <row r="12">
          <cell r="B12" t="str">
            <v>Region_V</v>
          </cell>
        </row>
        <row r="13">
          <cell r="B13" t="str">
            <v>Region_VI</v>
          </cell>
        </row>
        <row r="14">
          <cell r="B14" t="str">
            <v>Region_VII</v>
          </cell>
        </row>
        <row r="15">
          <cell r="B15" t="str">
            <v>Region_VIII</v>
          </cell>
        </row>
        <row r="16">
          <cell r="B16" t="str">
            <v>Region_IX</v>
          </cell>
        </row>
        <row r="17">
          <cell r="B17" t="str">
            <v>Region_X</v>
          </cell>
        </row>
        <row r="18">
          <cell r="B18" t="str">
            <v>Region_XI</v>
          </cell>
        </row>
        <row r="19">
          <cell r="B19" t="str">
            <v>Region_XII</v>
          </cell>
        </row>
        <row r="20">
          <cell r="B20" t="str">
            <v>Region_XIII</v>
          </cell>
        </row>
      </sheetData>
      <sheetData sheetId="6">
        <row r="3">
          <cell r="A3" t="str">
            <v>SP 1 - Food Security</v>
          </cell>
        </row>
      </sheetData>
      <sheetData sheetId="7">
        <row r="6">
          <cell r="C6" t="str">
            <v>Region_II</v>
          </cell>
        </row>
      </sheetData>
      <sheetData sheetId="8">
        <row r="10">
          <cell r="W10">
            <v>0</v>
          </cell>
        </row>
      </sheetData>
      <sheetData sheetId="9"/>
      <sheetData sheetId="10" refreshError="1"/>
      <sheetData sheetId="11"/>
      <sheetData sheetId="12"/>
      <sheetData sheetId="13" refreshError="1"/>
      <sheetData sheetId="14" refreshError="1"/>
      <sheetData sheetId="15" refreshError="1"/>
      <sheetData sheetId="16" refreshError="1"/>
      <sheetData sheetId="17">
        <row r="3">
          <cell r="C3" t="str">
            <v>* LGU Fund *</v>
          </cell>
        </row>
      </sheetData>
      <sheetData sheetId="18" refreshError="1"/>
      <sheetData sheetId="19" refreshError="1"/>
      <sheetData sheetId="20" refreshError="1"/>
      <sheetData sheetId="21">
        <row r="9">
          <cell r="G9">
            <v>0</v>
          </cell>
        </row>
      </sheetData>
      <sheetData sheetId="22">
        <row r="9">
          <cell r="I9" t="str">
            <v>NA</v>
          </cell>
        </row>
      </sheetData>
      <sheetData sheetId="23">
        <row r="9">
          <cell r="I9" t="str">
            <v>NA</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AppData/Roaming/Microsoft/AppData/Local/Temp/Rar$DI25.899/My%20Documents/Downloads/Roxas2012_AAR.doc" TargetMode="External"/><Relationship Id="rId1" Type="http://schemas.openxmlformats.org/officeDocument/2006/relationships/hyperlink" Target="../../../../../../../../../../AppData/Roaming/Microsoft/AppData/Local/Temp/Rar$DI25.899/My%20Documents/Downloads/Roxas2012_AAR.doc"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AppData/Roaming/Microsoft/AppData/Local/Temp/Rar$DI25.899/My%20Documents/Downloads/Roxas2012_AAR.doc" TargetMode="External"/><Relationship Id="rId1" Type="http://schemas.openxmlformats.org/officeDocument/2006/relationships/hyperlink" Target="../../../../../../../../../../AppData/Roaming/Microsoft/AppData/Local/Temp/Rar$DI25.899/My%20Documents/Downloads/Roxas2012_AAR.doc"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AppData/Roaming/Microsoft/AppData/Local/Temp/Rar$DI25.899/My%20Documents/Downloads/Roxas2012_AAR.doc" TargetMode="External"/><Relationship Id="rId1" Type="http://schemas.openxmlformats.org/officeDocument/2006/relationships/hyperlink" Target="../../../../../../../../../../AppData/Roaming/Microsoft/AppData/Local/Temp/Rar$DI25.899/My%20Documents/Downloads/Roxas2012_AAR.doc"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AppData/Roaming/Microsoft/AppData/Local/Temp/AppData/Local/Temp/Rar$DIa0.082/My%20Documents/Downloads/Roxas2012_AAR.doc" TargetMode="External"/><Relationship Id="rId1" Type="http://schemas.openxmlformats.org/officeDocument/2006/relationships/hyperlink" Target="../../../../../../../../../../AppData/Roaming/Microsoft/AppData/Local/Temp/AppData/Local/Temp/Rar$DIa0.082/My%20Documents/Downloads/Roxas2012_AAR.doc"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AppData/Roaming/Microsoft/AppData/Local/Temp/AppData/Local/Temp/Rar$DIa0.082/My%20Documents/Downloads/Roxas2012_AAR.doc" TargetMode="External"/><Relationship Id="rId1" Type="http://schemas.openxmlformats.org/officeDocument/2006/relationships/hyperlink" Target="../../../../../../../../../../AppData/Roaming/Microsoft/AppData/Local/Temp/AppData/Local/Temp/Rar$DIa0.082/My%20Documents/Downloads/Roxas2012_AAR.doc"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AppData/Roaming/Microsoft/AppData/Local/Temp/AppData/Local/Temp/Rar$DIa0.082/My%20Documents/Downloads/Roxas2012_AAR.doc" TargetMode="External"/><Relationship Id="rId1" Type="http://schemas.openxmlformats.org/officeDocument/2006/relationships/hyperlink" Target="../../../../../../../../../../AppData/Roaming/Microsoft/AppData/Local/Temp/AppData/Local/Temp/Rar$DIa0.082/My%20Documents/Downloads/Roxas2012_AAR.doc"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AppData/Roaming/Microsoft/AppData/Local/AppData/Local/Temp/Rar$DI25.899/My%20Documents/Downloads/Roxas2012_AAR.doc" TargetMode="External"/><Relationship Id="rId1" Type="http://schemas.openxmlformats.org/officeDocument/2006/relationships/hyperlink" Target="../../../../../../../../../../AppData/Roaming/Microsoft/AppData/Local/AppData/Local/Temp/Rar$DI25.899/My%20Documents/Downloads/Roxas2012_AAR.doc"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AppData/Roaming/Microsoft/AppData/Local/AppData/Local/Temp/Rar$DI25.899/My%20Documents/Downloads/Roxas2012_AAR.doc" TargetMode="External"/><Relationship Id="rId1" Type="http://schemas.openxmlformats.org/officeDocument/2006/relationships/hyperlink" Target="../../../../../../../../../../AppData/Roaming/Microsoft/AppData/Local/AppData/Local/Temp/Rar$DI25.899/My%20Documents/Downloads/Roxas2012_AAR.doc"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AppData/Roaming/Microsoft/AppData/Local/AppData/Local/Temp/Rar$DI25.899/My%20Documents/Downloads/Roxas2012_AAR.doc" TargetMode="External"/><Relationship Id="rId1" Type="http://schemas.openxmlformats.org/officeDocument/2006/relationships/hyperlink" Target="../../../../../../../../../../AppData/Roaming/Microsoft/AppData/Local/AppData/Local/Temp/Rar$DI25.899/My%20Documents/Downloads/Roxas2012_AAR.doc"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AppData/Roaming/Microsoft/AppData/Local/AppData/Local/Temp/Rar$DI25.899/My%20Documents/Downloads/Roxas2012_AAR.doc" TargetMode="External"/><Relationship Id="rId1" Type="http://schemas.openxmlformats.org/officeDocument/2006/relationships/hyperlink" Target="../../../../../../../../../../AppData/Roaming/Microsoft/AppData/Local/AppData/Local/Temp/Rar$DI25.899/My%20Documents/Downloads/Roxas2012_AAR.doc"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AppData/Roaming/Microsoft/AppData/Local/AppData/Local/Temp/Rar$DI25.899/My%20Documents/Downloads/Roxas2012_AAR.doc" TargetMode="External"/><Relationship Id="rId1" Type="http://schemas.openxmlformats.org/officeDocument/2006/relationships/hyperlink" Target="../../../../../../../../../../AppData/Roaming/Microsoft/AppData/Local/AppData/Local/Temp/Rar$DI25.899/My%20Documents/Downloads/Roxas2012_AAR.doc"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AppData/Roaming/Microsoft/AppData/Local/AppData/Local/Temp/Rar$DI25.899/My%20Documents/Downloads/Roxas2012_AAR.doc" TargetMode="External"/><Relationship Id="rId1" Type="http://schemas.openxmlformats.org/officeDocument/2006/relationships/hyperlink" Target="../../../../../../../../../../AppData/Roaming/Microsoft/AppData/Local/AppData/Local/Temp/Rar$DI25.899/My%20Documents/Downloads/Roxas2012_AAR.doc"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3"/>
  <sheetViews>
    <sheetView view="pageBreakPreview" topLeftCell="A31" zoomScale="85" zoomScaleNormal="85" zoomScaleSheetLayoutView="85" workbookViewId="0">
      <selection activeCell="F60" activeCellId="1" sqref="J53 F60"/>
    </sheetView>
  </sheetViews>
  <sheetFormatPr defaultColWidth="9.1796875" defaultRowHeight="12.5" x14ac:dyDescent="0.25"/>
  <cols>
    <col min="1" max="1" width="2.54296875" style="5" customWidth="1"/>
    <col min="2" max="2" width="3.453125" style="5" customWidth="1"/>
    <col min="3" max="3" width="58.453125" style="5" customWidth="1"/>
    <col min="4" max="5" width="14.54296875" style="5" customWidth="1"/>
    <col min="6" max="6" width="17.1796875" style="5" hidden="1" customWidth="1"/>
    <col min="7" max="7" width="17.453125" style="5" hidden="1" customWidth="1"/>
    <col min="8" max="8" width="16" style="5" hidden="1" customWidth="1"/>
    <col min="9" max="9" width="14.54296875" style="5" hidden="1" customWidth="1"/>
    <col min="10" max="10" width="13.453125" style="5" hidden="1" customWidth="1"/>
    <col min="11" max="11" width="14.453125" style="5" hidden="1" customWidth="1"/>
    <col min="12" max="12" width="15.453125" style="5" hidden="1" customWidth="1"/>
    <col min="13" max="13" width="15.54296875" style="5" hidden="1" customWidth="1"/>
    <col min="14" max="14" width="14.1796875" style="5" bestFit="1" customWidth="1"/>
    <col min="15" max="15" width="12.453125" style="5" customWidth="1"/>
    <col min="16" max="16384" width="9.1796875" style="5"/>
  </cols>
  <sheetData>
    <row r="1" spans="1:15" ht="13" x14ac:dyDescent="0.3">
      <c r="A1" s="343" t="s">
        <v>112</v>
      </c>
      <c r="B1" s="343"/>
      <c r="C1" s="343"/>
      <c r="D1" s="343"/>
      <c r="E1" s="343"/>
      <c r="F1" s="39"/>
      <c r="G1" s="39"/>
      <c r="H1" s="39"/>
      <c r="I1" s="39"/>
      <c r="J1" s="39"/>
      <c r="K1" s="39"/>
      <c r="L1" s="39"/>
      <c r="M1" s="39"/>
    </row>
    <row r="2" spans="1:15" ht="13" x14ac:dyDescent="0.3">
      <c r="A2" s="343" t="s">
        <v>113</v>
      </c>
      <c r="B2" s="343"/>
      <c r="C2" s="343"/>
      <c r="D2" s="343"/>
      <c r="E2" s="343"/>
      <c r="F2" s="39"/>
      <c r="G2" s="39"/>
      <c r="H2" s="39"/>
      <c r="I2" s="39"/>
      <c r="J2" s="39"/>
      <c r="K2" s="39"/>
      <c r="L2" s="39"/>
      <c r="M2" s="39"/>
    </row>
    <row r="3" spans="1:15" ht="13" x14ac:dyDescent="0.3">
      <c r="A3" s="38"/>
      <c r="B3" s="38"/>
      <c r="C3" s="38"/>
      <c r="D3" s="38"/>
      <c r="E3" s="38"/>
      <c r="F3" s="38"/>
      <c r="G3" s="38"/>
      <c r="H3" s="38"/>
      <c r="I3" s="38"/>
      <c r="J3" s="38"/>
      <c r="K3" s="38"/>
      <c r="L3" s="38"/>
      <c r="M3" s="38"/>
    </row>
    <row r="4" spans="1:15" ht="13" x14ac:dyDescent="0.3">
      <c r="A4" s="343" t="s">
        <v>462</v>
      </c>
      <c r="B4" s="343"/>
      <c r="C4" s="343"/>
      <c r="D4" s="343"/>
      <c r="E4" s="343"/>
      <c r="F4" s="39"/>
      <c r="G4" s="39"/>
      <c r="H4" s="39"/>
      <c r="I4" s="39"/>
      <c r="J4" s="39"/>
      <c r="K4" s="39"/>
      <c r="L4" s="39"/>
      <c r="M4" s="39"/>
    </row>
    <row r="5" spans="1:15" ht="13" x14ac:dyDescent="0.3">
      <c r="A5" s="343" t="s">
        <v>463</v>
      </c>
      <c r="B5" s="343"/>
      <c r="C5" s="343"/>
      <c r="D5" s="343"/>
      <c r="E5" s="343"/>
      <c r="F5" s="39"/>
      <c r="G5" s="39"/>
      <c r="H5" s="39"/>
      <c r="I5" s="39"/>
      <c r="J5" s="39"/>
      <c r="K5" s="39"/>
      <c r="L5" s="39"/>
      <c r="M5" s="39"/>
    </row>
    <row r="6" spans="1:15" ht="13" x14ac:dyDescent="0.3">
      <c r="A6" s="343" t="s">
        <v>466</v>
      </c>
      <c r="B6" s="343"/>
      <c r="C6" s="343"/>
      <c r="D6" s="343"/>
      <c r="E6" s="343"/>
      <c r="F6" s="38"/>
      <c r="G6" s="38"/>
      <c r="H6" s="38"/>
      <c r="I6" s="38"/>
      <c r="J6" s="38"/>
      <c r="K6" s="38"/>
      <c r="L6" s="38"/>
      <c r="M6" s="38"/>
    </row>
    <row r="7" spans="1:15" ht="13" x14ac:dyDescent="0.3">
      <c r="A7" s="38"/>
      <c r="B7" s="38"/>
      <c r="C7" s="38"/>
      <c r="D7" s="38"/>
      <c r="E7" s="38"/>
      <c r="F7" s="38"/>
      <c r="G7" s="38"/>
      <c r="H7" s="38"/>
      <c r="I7" s="38"/>
      <c r="J7" s="38"/>
      <c r="K7" s="38"/>
      <c r="L7" s="38"/>
      <c r="M7" s="38"/>
    </row>
    <row r="8" spans="1:15" ht="13" x14ac:dyDescent="0.3">
      <c r="A8" s="38"/>
      <c r="B8" s="38"/>
      <c r="C8" s="38"/>
      <c r="D8" s="38"/>
      <c r="E8" s="38"/>
      <c r="F8" s="38"/>
      <c r="G8" s="38"/>
      <c r="H8" s="38"/>
      <c r="I8" s="38"/>
      <c r="J8" s="38"/>
      <c r="K8" s="38"/>
      <c r="L8" s="38"/>
      <c r="M8" s="38"/>
    </row>
    <row r="9" spans="1:15" ht="13" x14ac:dyDescent="0.3">
      <c r="A9" s="38"/>
      <c r="B9" s="38"/>
      <c r="C9" s="38"/>
      <c r="D9" s="38"/>
      <c r="E9" s="38"/>
      <c r="F9" s="38"/>
      <c r="G9" s="38"/>
      <c r="H9" s="38"/>
      <c r="I9" s="38"/>
      <c r="J9" s="38"/>
      <c r="K9" s="38"/>
      <c r="L9" s="38"/>
      <c r="M9" s="38"/>
    </row>
    <row r="10" spans="1:15" x14ac:dyDescent="0.25">
      <c r="A10" s="54"/>
      <c r="B10" s="54"/>
      <c r="C10" s="54"/>
      <c r="F10" s="341">
        <v>2010</v>
      </c>
      <c r="G10" s="341"/>
      <c r="H10" s="341"/>
      <c r="I10" s="341">
        <v>2011</v>
      </c>
      <c r="J10" s="341"/>
      <c r="K10" s="341"/>
      <c r="L10" s="54"/>
      <c r="M10" s="54"/>
    </row>
    <row r="11" spans="1:15" ht="13" x14ac:dyDescent="0.3">
      <c r="A11" s="54"/>
      <c r="B11" s="54"/>
      <c r="C11" s="54"/>
      <c r="D11" s="38">
        <v>2010</v>
      </c>
      <c r="E11" s="38">
        <v>2011</v>
      </c>
      <c r="F11" s="54" t="s">
        <v>108</v>
      </c>
      <c r="G11" s="54" t="s">
        <v>144</v>
      </c>
      <c r="H11" s="54" t="s">
        <v>110</v>
      </c>
      <c r="I11" s="54" t="s">
        <v>108</v>
      </c>
      <c r="J11" s="54" t="s">
        <v>144</v>
      </c>
      <c r="K11" s="54" t="s">
        <v>110</v>
      </c>
      <c r="L11" s="54">
        <v>2010</v>
      </c>
      <c r="M11" s="54">
        <v>2011</v>
      </c>
    </row>
    <row r="12" spans="1:15" ht="13" x14ac:dyDescent="0.3">
      <c r="A12" s="39" t="s">
        <v>132</v>
      </c>
    </row>
    <row r="13" spans="1:15" ht="13" x14ac:dyDescent="0.3">
      <c r="B13" s="39" t="s">
        <v>133</v>
      </c>
    </row>
    <row r="14" spans="1:15" x14ac:dyDescent="0.25">
      <c r="C14" s="5" t="s">
        <v>383</v>
      </c>
      <c r="D14" s="33">
        <f>F14+G14+H14</f>
        <v>47101164</v>
      </c>
      <c r="E14" s="33">
        <f>I14+J14+K14</f>
        <v>50948117</v>
      </c>
      <c r="F14" s="83">
        <v>47101164</v>
      </c>
      <c r="G14" s="83"/>
      <c r="H14" s="83"/>
      <c r="I14" s="83">
        <v>50948117</v>
      </c>
      <c r="J14" s="83"/>
      <c r="K14" s="83"/>
      <c r="L14" s="83">
        <f>F14+G14+H14</f>
        <v>47101164</v>
      </c>
      <c r="M14" s="83">
        <f>I14+J14+K14</f>
        <v>50948117</v>
      </c>
    </row>
    <row r="15" spans="1:15" x14ac:dyDescent="0.25">
      <c r="C15" s="5" t="s">
        <v>384</v>
      </c>
      <c r="D15" s="33">
        <f t="shared" ref="D15:D53" si="0">F15+G15+H15</f>
        <v>2079696.34</v>
      </c>
      <c r="E15" s="33">
        <f>I15+J15+K15</f>
        <v>2491297.6100000003</v>
      </c>
      <c r="F15" s="83">
        <v>1490410.85</v>
      </c>
      <c r="G15" s="83">
        <v>589285.49</v>
      </c>
      <c r="H15" s="83"/>
      <c r="I15" s="83">
        <v>1810646.12</v>
      </c>
      <c r="J15" s="83">
        <v>680651.49</v>
      </c>
      <c r="K15" s="83"/>
      <c r="L15" s="83">
        <f t="shared" ref="L15:L23" si="1">F15+G15+H15</f>
        <v>2079696.34</v>
      </c>
      <c r="M15" s="83">
        <f t="shared" ref="M15:M53" si="2">I15+J15+K15</f>
        <v>2491297.6100000003</v>
      </c>
      <c r="O15" s="83"/>
    </row>
    <row r="16" spans="1:15" x14ac:dyDescent="0.25">
      <c r="C16" s="5" t="s">
        <v>385</v>
      </c>
      <c r="D16" s="33">
        <f t="shared" si="0"/>
        <v>1266981.94</v>
      </c>
      <c r="E16" s="33">
        <f>I16+J16+K16</f>
        <v>1534573.93</v>
      </c>
      <c r="F16" s="83">
        <v>1266981.94</v>
      </c>
      <c r="G16" s="83"/>
      <c r="H16" s="83"/>
      <c r="I16" s="83">
        <v>1534573.93</v>
      </c>
      <c r="J16" s="83"/>
      <c r="K16" s="83"/>
      <c r="L16" s="83">
        <f t="shared" si="1"/>
        <v>1266981.94</v>
      </c>
      <c r="M16" s="83">
        <f t="shared" si="2"/>
        <v>1534573.93</v>
      </c>
    </row>
    <row r="17" spans="1:14" x14ac:dyDescent="0.25">
      <c r="C17" s="5" t="s">
        <v>57</v>
      </c>
      <c r="D17" s="33">
        <f t="shared" si="0"/>
        <v>107941.58</v>
      </c>
      <c r="E17" s="33">
        <f>I17+J17+K17</f>
        <v>33699.089999999997</v>
      </c>
      <c r="F17" s="83">
        <v>105867.73</v>
      </c>
      <c r="G17" s="83">
        <v>2073.85</v>
      </c>
      <c r="H17" s="83"/>
      <c r="I17" s="83">
        <v>32939.5</v>
      </c>
      <c r="J17" s="83">
        <v>759.59</v>
      </c>
      <c r="K17" s="83"/>
      <c r="L17" s="83">
        <f t="shared" si="1"/>
        <v>107941.58</v>
      </c>
      <c r="M17" s="83">
        <f t="shared" si="2"/>
        <v>33699.089999999997</v>
      </c>
    </row>
    <row r="18" spans="1:14" x14ac:dyDescent="0.25">
      <c r="C18" s="5" t="s">
        <v>386</v>
      </c>
      <c r="D18" s="33">
        <f t="shared" si="0"/>
        <v>0</v>
      </c>
      <c r="E18" s="33">
        <f>I18+J18+K18</f>
        <v>0</v>
      </c>
      <c r="F18" s="83"/>
      <c r="G18" s="83"/>
      <c r="H18" s="83"/>
      <c r="I18" s="83"/>
      <c r="J18" s="83"/>
      <c r="L18" s="83">
        <f t="shared" si="1"/>
        <v>0</v>
      </c>
      <c r="M18" s="83"/>
    </row>
    <row r="19" spans="1:14" x14ac:dyDescent="0.25">
      <c r="C19" s="5" t="s">
        <v>387</v>
      </c>
      <c r="D19" s="33">
        <f t="shared" si="0"/>
        <v>16959205.82</v>
      </c>
      <c r="E19" s="33">
        <f>I19+J19+K19-3314.48</f>
        <v>36421977.980000004</v>
      </c>
      <c r="F19" s="33">
        <v>9781157.2200000007</v>
      </c>
      <c r="G19" s="83"/>
      <c r="H19" s="83">
        <f>7053048.6+125000</f>
        <v>7178048.5999999996</v>
      </c>
      <c r="I19" s="33">
        <f>14951269.84+3550.48</f>
        <v>14954820.32</v>
      </c>
      <c r="J19" s="83"/>
      <c r="K19" s="83">
        <v>21470472.140000001</v>
      </c>
      <c r="L19" s="83">
        <f t="shared" si="1"/>
        <v>16959205.82</v>
      </c>
      <c r="M19" s="83">
        <f>I19+J19+K20</f>
        <v>36425292.460000001</v>
      </c>
      <c r="N19" s="33"/>
    </row>
    <row r="20" spans="1:14" s="39" customFormat="1" ht="13" x14ac:dyDescent="0.3">
      <c r="C20" s="39" t="s">
        <v>388</v>
      </c>
      <c r="D20" s="46">
        <f t="shared" si="0"/>
        <v>67514989.679999992</v>
      </c>
      <c r="E20" s="46">
        <f>SUM(E14:E19)</f>
        <v>91429665.610000014</v>
      </c>
      <c r="F20" s="75">
        <f>SUM(F14:F19)</f>
        <v>59745581.739999995</v>
      </c>
      <c r="G20" s="75">
        <f t="shared" ref="G20:M20" si="3">SUM(G14:G19)</f>
        <v>591359.34</v>
      </c>
      <c r="H20" s="75">
        <f t="shared" si="3"/>
        <v>7178048.5999999996</v>
      </c>
      <c r="I20" s="75">
        <f t="shared" si="3"/>
        <v>69281096.870000005</v>
      </c>
      <c r="J20" s="75">
        <f t="shared" si="3"/>
        <v>681411.08</v>
      </c>
      <c r="K20" s="75">
        <f t="shared" si="3"/>
        <v>21470472.140000001</v>
      </c>
      <c r="L20" s="75">
        <f t="shared" si="3"/>
        <v>67514989.680000007</v>
      </c>
      <c r="M20" s="75">
        <f t="shared" si="3"/>
        <v>91432980.090000004</v>
      </c>
    </row>
    <row r="21" spans="1:14" ht="13" x14ac:dyDescent="0.3">
      <c r="B21" s="39" t="s">
        <v>137</v>
      </c>
      <c r="D21" s="33"/>
      <c r="E21" s="33"/>
      <c r="F21" s="83"/>
      <c r="G21" s="83"/>
      <c r="H21" s="83"/>
      <c r="I21" s="83"/>
      <c r="J21" s="83"/>
      <c r="K21" s="83"/>
      <c r="L21" s="83"/>
      <c r="M21" s="83"/>
    </row>
    <row r="22" spans="1:14" ht="13" x14ac:dyDescent="0.3">
      <c r="C22" s="87" t="s">
        <v>389</v>
      </c>
      <c r="D22" s="33"/>
      <c r="E22" s="33"/>
      <c r="F22" s="83"/>
      <c r="G22" s="83"/>
      <c r="H22" s="83"/>
      <c r="I22" s="83"/>
      <c r="J22" s="83"/>
      <c r="K22" s="83"/>
      <c r="L22" s="83"/>
      <c r="M22" s="83"/>
    </row>
    <row r="23" spans="1:14" ht="13" x14ac:dyDescent="0.3">
      <c r="C23" s="87" t="s">
        <v>390</v>
      </c>
      <c r="D23" s="33">
        <f t="shared" si="0"/>
        <v>17528645.849999998</v>
      </c>
      <c r="E23" s="33">
        <f>I23+J23+K23</f>
        <v>16246796.470000001</v>
      </c>
      <c r="F23" s="83">
        <v>17066249.77</v>
      </c>
      <c r="G23" s="83">
        <v>462396.08</v>
      </c>
      <c r="H23" s="83"/>
      <c r="I23" s="83">
        <v>15722282.42</v>
      </c>
      <c r="J23" s="83">
        <v>524514.05000000005</v>
      </c>
      <c r="K23" s="83"/>
      <c r="L23" s="83">
        <f t="shared" si="1"/>
        <v>17528645.849999998</v>
      </c>
      <c r="M23" s="83">
        <f t="shared" si="2"/>
        <v>16246796.470000001</v>
      </c>
    </row>
    <row r="24" spans="1:14" ht="13" x14ac:dyDescent="0.3">
      <c r="C24" s="87" t="s">
        <v>391</v>
      </c>
      <c r="D24" s="33">
        <f t="shared" si="0"/>
        <v>13714317.439999999</v>
      </c>
      <c r="E24" s="33">
        <f>I24+J24+K24</f>
        <v>13107468.810000001</v>
      </c>
      <c r="F24" s="83">
        <v>13709013.439999999</v>
      </c>
      <c r="G24" s="83">
        <v>5304</v>
      </c>
      <c r="H24" s="83"/>
      <c r="I24" s="83">
        <v>13044491.810000001</v>
      </c>
      <c r="J24" s="83">
        <v>62977</v>
      </c>
      <c r="K24" s="83"/>
      <c r="L24" s="83">
        <f>F24+G24+H24</f>
        <v>13714317.439999999</v>
      </c>
      <c r="M24" s="83">
        <f t="shared" si="2"/>
        <v>13107468.810000001</v>
      </c>
    </row>
    <row r="25" spans="1:14" ht="13" x14ac:dyDescent="0.3">
      <c r="C25" s="87" t="s">
        <v>407</v>
      </c>
      <c r="D25" s="33">
        <f t="shared" si="0"/>
        <v>1743769.95</v>
      </c>
      <c r="E25" s="33">
        <f>I25+J25+K25</f>
        <v>1391085.64</v>
      </c>
      <c r="F25" s="83">
        <v>1743769.95</v>
      </c>
      <c r="G25" s="83"/>
      <c r="H25" s="83"/>
      <c r="I25" s="83">
        <v>1391085.64</v>
      </c>
      <c r="J25" s="83">
        <v>0</v>
      </c>
      <c r="K25" s="83">
        <v>0</v>
      </c>
      <c r="L25" s="83">
        <f>F25+G25+H25</f>
        <v>1743769.95</v>
      </c>
      <c r="M25" s="83">
        <f t="shared" si="2"/>
        <v>1391085.64</v>
      </c>
    </row>
    <row r="26" spans="1:14" ht="13" x14ac:dyDescent="0.3">
      <c r="C26" s="87" t="s">
        <v>392</v>
      </c>
      <c r="D26" s="33">
        <f t="shared" si="0"/>
        <v>27689196.710000001</v>
      </c>
      <c r="E26" s="33">
        <f>I26+J26+K26</f>
        <v>47303872.359999999</v>
      </c>
      <c r="F26" s="83">
        <v>20268044.780000001</v>
      </c>
      <c r="G26" s="83">
        <v>176839.89</v>
      </c>
      <c r="H26" s="83">
        <v>7244312.04</v>
      </c>
      <c r="I26" s="83">
        <v>36020331.710000001</v>
      </c>
      <c r="J26" s="83">
        <v>38634.57</v>
      </c>
      <c r="K26" s="83">
        <v>11244906.08</v>
      </c>
      <c r="L26" s="83">
        <f>F26+G26+H26</f>
        <v>27689196.710000001</v>
      </c>
      <c r="M26" s="83">
        <f t="shared" si="2"/>
        <v>47303872.359999999</v>
      </c>
    </row>
    <row r="27" spans="1:14" s="39" customFormat="1" ht="13" x14ac:dyDescent="0.3">
      <c r="C27" s="39" t="s">
        <v>135</v>
      </c>
      <c r="D27" s="46">
        <f t="shared" si="0"/>
        <v>60675929.949999996</v>
      </c>
      <c r="E27" s="46">
        <f>SUM(E23:E26)</f>
        <v>78049223.280000001</v>
      </c>
      <c r="F27" s="84">
        <f t="shared" ref="F27:K27" si="4">SUM(F23:F26)</f>
        <v>52787077.939999998</v>
      </c>
      <c r="G27" s="84">
        <f t="shared" si="4"/>
        <v>644539.97</v>
      </c>
      <c r="H27" s="84">
        <f t="shared" si="4"/>
        <v>7244312.04</v>
      </c>
      <c r="I27" s="84">
        <f t="shared" si="4"/>
        <v>66178191.579999998</v>
      </c>
      <c r="J27" s="84">
        <f t="shared" si="4"/>
        <v>626125.62</v>
      </c>
      <c r="K27" s="84">
        <f t="shared" si="4"/>
        <v>11244906.08</v>
      </c>
      <c r="L27" s="84">
        <f>SUM(L23:L26)</f>
        <v>60675929.950000003</v>
      </c>
      <c r="M27" s="84">
        <f t="shared" si="2"/>
        <v>78049223.280000001</v>
      </c>
    </row>
    <row r="28" spans="1:14" ht="13" x14ac:dyDescent="0.3">
      <c r="B28" s="39" t="s">
        <v>393</v>
      </c>
      <c r="D28" s="46">
        <f t="shared" si="0"/>
        <v>6839059.7299999967</v>
      </c>
      <c r="E28" s="46">
        <f>E20-E27</f>
        <v>13380442.330000013</v>
      </c>
      <c r="F28" s="83">
        <f t="shared" ref="F28:K28" si="5">F20-F27</f>
        <v>6958503.799999997</v>
      </c>
      <c r="G28" s="83">
        <f t="shared" si="5"/>
        <v>-53180.630000000005</v>
      </c>
      <c r="H28" s="83">
        <f t="shared" si="5"/>
        <v>-66263.44000000041</v>
      </c>
      <c r="I28" s="84">
        <f t="shared" si="5"/>
        <v>3102905.2900000066</v>
      </c>
      <c r="J28" s="83">
        <f t="shared" si="5"/>
        <v>55285.459999999963</v>
      </c>
      <c r="K28" s="83">
        <f t="shared" si="5"/>
        <v>10225566.060000001</v>
      </c>
      <c r="L28" s="83">
        <f>L20-L27</f>
        <v>6839059.7300000042</v>
      </c>
      <c r="M28" s="83">
        <f>M20-M27</f>
        <v>13383756.810000002</v>
      </c>
      <c r="N28" s="33"/>
    </row>
    <row r="29" spans="1:14" ht="13" x14ac:dyDescent="0.3">
      <c r="A29" s="39" t="s">
        <v>136</v>
      </c>
      <c r="D29" s="33"/>
      <c r="E29" s="33"/>
      <c r="F29" s="83"/>
      <c r="G29" s="83"/>
      <c r="H29" s="83"/>
      <c r="I29" s="83"/>
      <c r="J29" s="83"/>
      <c r="K29" s="83"/>
      <c r="L29" s="83">
        <f>F29+G29+H31</f>
        <v>0</v>
      </c>
      <c r="M29" s="83">
        <f t="shared" si="2"/>
        <v>0</v>
      </c>
      <c r="N29" s="84"/>
    </row>
    <row r="30" spans="1:14" ht="13" x14ac:dyDescent="0.3">
      <c r="B30" s="39" t="s">
        <v>133</v>
      </c>
      <c r="D30" s="33"/>
      <c r="E30" s="33"/>
      <c r="F30" s="83"/>
      <c r="G30" s="83"/>
      <c r="H30" s="83"/>
      <c r="I30" s="83"/>
      <c r="J30" s="83"/>
      <c r="K30" s="83"/>
      <c r="L30" s="83">
        <f t="shared" ref="L30:L48" si="6">F30+G30+H32</f>
        <v>0</v>
      </c>
      <c r="M30" s="83">
        <f t="shared" si="2"/>
        <v>0</v>
      </c>
      <c r="N30" s="84"/>
    </row>
    <row r="31" spans="1:14" ht="13" x14ac:dyDescent="0.3">
      <c r="C31" s="5" t="s">
        <v>394</v>
      </c>
      <c r="D31" s="33">
        <f t="shared" si="0"/>
        <v>0</v>
      </c>
      <c r="E31" s="33">
        <f t="shared" ref="E31:E50" si="7">I31+J31+K31</f>
        <v>0</v>
      </c>
      <c r="F31" s="83"/>
      <c r="G31" s="83"/>
      <c r="H31" s="83"/>
      <c r="I31" s="83"/>
      <c r="J31" s="83">
        <v>0</v>
      </c>
      <c r="K31" s="83"/>
      <c r="L31" s="83">
        <f t="shared" si="6"/>
        <v>0</v>
      </c>
      <c r="M31" s="83">
        <f t="shared" si="2"/>
        <v>0</v>
      </c>
      <c r="N31" s="84"/>
    </row>
    <row r="32" spans="1:14" ht="13" x14ac:dyDescent="0.3">
      <c r="C32" s="5" t="s">
        <v>395</v>
      </c>
      <c r="D32" s="33">
        <f t="shared" si="0"/>
        <v>0</v>
      </c>
      <c r="E32" s="33">
        <f t="shared" si="7"/>
        <v>0</v>
      </c>
      <c r="F32" s="83"/>
      <c r="G32" s="83"/>
      <c r="H32" s="83"/>
      <c r="I32" s="83"/>
      <c r="J32" s="83">
        <v>0</v>
      </c>
      <c r="K32" s="83"/>
      <c r="L32" s="83">
        <f t="shared" si="6"/>
        <v>0</v>
      </c>
      <c r="M32" s="83">
        <f t="shared" si="2"/>
        <v>0</v>
      </c>
      <c r="N32" s="84"/>
    </row>
    <row r="33" spans="1:13" x14ac:dyDescent="0.25">
      <c r="C33" s="5" t="s">
        <v>396</v>
      </c>
      <c r="D33" s="33">
        <f t="shared" si="0"/>
        <v>0</v>
      </c>
      <c r="E33" s="33">
        <f t="shared" si="7"/>
        <v>0</v>
      </c>
      <c r="F33" s="83"/>
      <c r="G33" s="83"/>
      <c r="H33" s="83"/>
      <c r="I33" s="83"/>
      <c r="J33" s="83">
        <v>0</v>
      </c>
      <c r="K33" s="83"/>
      <c r="L33" s="83">
        <f t="shared" si="6"/>
        <v>0</v>
      </c>
      <c r="M33" s="83">
        <f t="shared" si="2"/>
        <v>0</v>
      </c>
    </row>
    <row r="34" spans="1:13" x14ac:dyDescent="0.25">
      <c r="C34" s="5" t="s">
        <v>134</v>
      </c>
      <c r="D34" s="33">
        <f t="shared" si="0"/>
        <v>0</v>
      </c>
      <c r="E34" s="33">
        <f t="shared" si="7"/>
        <v>0</v>
      </c>
      <c r="F34" s="83"/>
      <c r="G34" s="83"/>
      <c r="H34" s="83"/>
      <c r="I34" s="83"/>
      <c r="J34" s="83"/>
      <c r="K34" s="83"/>
      <c r="L34" s="83">
        <f t="shared" si="6"/>
        <v>0</v>
      </c>
      <c r="M34" s="83">
        <f t="shared" si="2"/>
        <v>0</v>
      </c>
    </row>
    <row r="35" spans="1:13" ht="13" x14ac:dyDescent="0.3">
      <c r="B35" s="39" t="s">
        <v>137</v>
      </c>
      <c r="D35" s="33">
        <f t="shared" si="0"/>
        <v>0</v>
      </c>
      <c r="E35" s="33">
        <f t="shared" si="7"/>
        <v>0</v>
      </c>
      <c r="F35" s="83"/>
      <c r="G35" s="83"/>
      <c r="H35" s="83"/>
      <c r="I35" s="83"/>
      <c r="J35" s="83"/>
      <c r="K35" s="83"/>
      <c r="L35" s="83">
        <f t="shared" si="6"/>
        <v>0</v>
      </c>
      <c r="M35" s="83">
        <f t="shared" si="2"/>
        <v>0</v>
      </c>
    </row>
    <row r="36" spans="1:13" x14ac:dyDescent="0.25">
      <c r="C36" s="5" t="s">
        <v>397</v>
      </c>
      <c r="D36" s="33">
        <f t="shared" si="0"/>
        <v>3804055.45</v>
      </c>
      <c r="E36" s="33">
        <f t="shared" si="7"/>
        <v>5628851.3600000003</v>
      </c>
      <c r="F36" s="83">
        <v>3804055.45</v>
      </c>
      <c r="G36" s="83"/>
      <c r="H36" s="83"/>
      <c r="I36" s="83">
        <v>5608451.3600000003</v>
      </c>
      <c r="J36" s="83">
        <v>20400</v>
      </c>
      <c r="K36" s="83"/>
      <c r="L36" s="83">
        <f>F36+G36+H36</f>
        <v>3804055.45</v>
      </c>
      <c r="M36" s="83">
        <f t="shared" si="2"/>
        <v>5628851.3600000003</v>
      </c>
    </row>
    <row r="37" spans="1:13" x14ac:dyDescent="0.25">
      <c r="C37" s="5" t="s">
        <v>398</v>
      </c>
      <c r="D37" s="33">
        <f t="shared" si="0"/>
        <v>0</v>
      </c>
      <c r="E37" s="33">
        <f t="shared" si="7"/>
        <v>0</v>
      </c>
      <c r="F37" s="83"/>
      <c r="G37" s="83"/>
      <c r="H37" s="83"/>
      <c r="I37" s="83"/>
      <c r="J37" s="83"/>
      <c r="K37" s="83"/>
      <c r="L37" s="83">
        <f>F37+G37+H37</f>
        <v>0</v>
      </c>
      <c r="M37" s="83">
        <f t="shared" si="2"/>
        <v>0</v>
      </c>
    </row>
    <row r="38" spans="1:13" x14ac:dyDescent="0.25">
      <c r="C38" s="5" t="s">
        <v>399</v>
      </c>
      <c r="D38" s="33">
        <f t="shared" si="0"/>
        <v>0</v>
      </c>
      <c r="E38" s="33">
        <f t="shared" si="7"/>
        <v>0</v>
      </c>
      <c r="F38" s="83"/>
      <c r="G38" s="83"/>
      <c r="H38" s="83"/>
      <c r="I38" s="83"/>
      <c r="J38" s="83"/>
      <c r="K38" s="83"/>
      <c r="L38" s="83">
        <f>F38+G38+H38</f>
        <v>0</v>
      </c>
      <c r="M38" s="83">
        <f t="shared" si="2"/>
        <v>0</v>
      </c>
    </row>
    <row r="39" spans="1:13" s="39" customFormat="1" ht="13" x14ac:dyDescent="0.3">
      <c r="C39" s="39" t="s">
        <v>135</v>
      </c>
      <c r="D39" s="46">
        <f t="shared" si="0"/>
        <v>3804055.45</v>
      </c>
      <c r="E39" s="46">
        <f t="shared" si="7"/>
        <v>5628851.3600000003</v>
      </c>
      <c r="F39" s="84">
        <f t="shared" ref="F39:K39" si="8">SUM(F36:F38)</f>
        <v>3804055.45</v>
      </c>
      <c r="G39" s="84">
        <f t="shared" si="8"/>
        <v>0</v>
      </c>
      <c r="H39" s="84">
        <f t="shared" si="8"/>
        <v>0</v>
      </c>
      <c r="I39" s="84">
        <f t="shared" si="8"/>
        <v>5608451.3600000003</v>
      </c>
      <c r="J39" s="84">
        <f t="shared" si="8"/>
        <v>20400</v>
      </c>
      <c r="K39" s="84">
        <f t="shared" si="8"/>
        <v>0</v>
      </c>
      <c r="L39" s="84">
        <f>F39+G39+H39</f>
        <v>3804055.45</v>
      </c>
      <c r="M39" s="84">
        <f t="shared" si="2"/>
        <v>5628851.3600000003</v>
      </c>
    </row>
    <row r="40" spans="1:13" ht="13" x14ac:dyDescent="0.3">
      <c r="B40" s="39" t="s">
        <v>393</v>
      </c>
      <c r="D40" s="46">
        <f t="shared" si="0"/>
        <v>-3804055.45</v>
      </c>
      <c r="E40" s="46">
        <f t="shared" si="7"/>
        <v>-5628851.3600000003</v>
      </c>
      <c r="F40" s="83">
        <f t="shared" ref="F40:K40" si="9">F34-F39</f>
        <v>-3804055.45</v>
      </c>
      <c r="G40" s="83">
        <f t="shared" si="9"/>
        <v>0</v>
      </c>
      <c r="H40" s="83">
        <f t="shared" si="9"/>
        <v>0</v>
      </c>
      <c r="I40" s="83">
        <f t="shared" si="9"/>
        <v>-5608451.3600000003</v>
      </c>
      <c r="J40" s="83">
        <f t="shared" si="9"/>
        <v>-20400</v>
      </c>
      <c r="K40" s="83">
        <f t="shared" si="9"/>
        <v>0</v>
      </c>
      <c r="L40" s="83">
        <f>F40+G40+H40</f>
        <v>-3804055.45</v>
      </c>
      <c r="M40" s="83">
        <f t="shared" si="2"/>
        <v>-5628851.3600000003</v>
      </c>
    </row>
    <row r="41" spans="1:13" ht="13" x14ac:dyDescent="0.3">
      <c r="A41" s="39" t="s">
        <v>138</v>
      </c>
      <c r="D41" s="33"/>
      <c r="E41" s="33"/>
      <c r="F41" s="83"/>
      <c r="I41" s="83"/>
      <c r="L41" s="83">
        <f t="shared" si="6"/>
        <v>0</v>
      </c>
      <c r="M41" s="83">
        <f t="shared" si="2"/>
        <v>0</v>
      </c>
    </row>
    <row r="42" spans="1:13" ht="13" x14ac:dyDescent="0.3">
      <c r="B42" s="39" t="s">
        <v>133</v>
      </c>
      <c r="D42" s="33"/>
      <c r="E42" s="33"/>
      <c r="F42" s="83"/>
      <c r="G42" s="83"/>
      <c r="H42" s="83"/>
      <c r="I42" s="83"/>
      <c r="J42" s="83"/>
      <c r="K42" s="83"/>
      <c r="L42" s="83">
        <f t="shared" si="6"/>
        <v>0</v>
      </c>
      <c r="M42" s="83">
        <f t="shared" si="2"/>
        <v>0</v>
      </c>
    </row>
    <row r="43" spans="1:13" x14ac:dyDescent="0.25">
      <c r="C43" s="5" t="s">
        <v>400</v>
      </c>
      <c r="D43" s="33">
        <f t="shared" si="0"/>
        <v>0</v>
      </c>
      <c r="E43" s="33">
        <f t="shared" si="7"/>
        <v>0</v>
      </c>
      <c r="F43" s="83"/>
      <c r="G43" s="83"/>
      <c r="H43" s="83"/>
      <c r="I43" s="83"/>
      <c r="J43" s="83"/>
      <c r="K43" s="83"/>
      <c r="L43" s="83">
        <f t="shared" si="6"/>
        <v>0</v>
      </c>
      <c r="M43" s="83">
        <f t="shared" si="2"/>
        <v>0</v>
      </c>
    </row>
    <row r="44" spans="1:13" x14ac:dyDescent="0.25">
      <c r="C44" s="5" t="s">
        <v>401</v>
      </c>
      <c r="D44" s="33">
        <f t="shared" si="0"/>
        <v>0</v>
      </c>
      <c r="E44" s="33">
        <f t="shared" si="7"/>
        <v>0</v>
      </c>
      <c r="F44" s="83"/>
      <c r="G44" s="83"/>
      <c r="H44" s="83"/>
      <c r="I44" s="83"/>
      <c r="J44" s="83"/>
      <c r="K44" s="83"/>
      <c r="L44" s="83">
        <f t="shared" si="6"/>
        <v>0</v>
      </c>
      <c r="M44" s="83">
        <f t="shared" si="2"/>
        <v>0</v>
      </c>
    </row>
    <row r="45" spans="1:13" x14ac:dyDescent="0.25">
      <c r="C45" s="5" t="s">
        <v>135</v>
      </c>
      <c r="D45" s="33">
        <f t="shared" si="0"/>
        <v>0</v>
      </c>
      <c r="E45" s="33">
        <f t="shared" si="7"/>
        <v>0</v>
      </c>
      <c r="F45" s="83"/>
      <c r="G45" s="83"/>
      <c r="H45" s="83"/>
      <c r="I45" s="83"/>
      <c r="J45" s="83"/>
      <c r="K45" s="83"/>
      <c r="L45" s="83">
        <f t="shared" si="6"/>
        <v>0</v>
      </c>
      <c r="M45" s="83">
        <f t="shared" si="2"/>
        <v>0</v>
      </c>
    </row>
    <row r="46" spans="1:13" ht="13" x14ac:dyDescent="0.3">
      <c r="B46" s="39" t="s">
        <v>137</v>
      </c>
      <c r="D46" s="33">
        <f t="shared" si="0"/>
        <v>0</v>
      </c>
      <c r="E46" s="33">
        <f t="shared" si="7"/>
        <v>0</v>
      </c>
      <c r="F46" s="83"/>
      <c r="G46" s="83"/>
      <c r="H46" s="83"/>
      <c r="I46" s="83"/>
      <c r="J46" s="83"/>
      <c r="K46" s="83"/>
      <c r="L46" s="83">
        <f t="shared" si="6"/>
        <v>0</v>
      </c>
      <c r="M46" s="83">
        <f t="shared" si="2"/>
        <v>0</v>
      </c>
    </row>
    <row r="47" spans="1:13" ht="13" x14ac:dyDescent="0.3">
      <c r="C47" s="87" t="s">
        <v>402</v>
      </c>
      <c r="D47" s="33">
        <f t="shared" si="0"/>
        <v>0</v>
      </c>
      <c r="E47" s="33">
        <f t="shared" si="7"/>
        <v>0</v>
      </c>
      <c r="F47" s="83"/>
      <c r="G47" s="83"/>
      <c r="H47" s="83"/>
      <c r="I47" s="83"/>
      <c r="J47" s="83"/>
      <c r="K47" s="83"/>
      <c r="L47" s="83">
        <f t="shared" si="6"/>
        <v>0</v>
      </c>
      <c r="M47" s="83">
        <f t="shared" si="2"/>
        <v>0</v>
      </c>
    </row>
    <row r="48" spans="1:13" ht="13" x14ac:dyDescent="0.3">
      <c r="C48" s="87" t="s">
        <v>403</v>
      </c>
      <c r="D48" s="33">
        <f t="shared" si="0"/>
        <v>3215239.1</v>
      </c>
      <c r="E48" s="33">
        <f t="shared" si="7"/>
        <v>3321535.5</v>
      </c>
      <c r="F48" s="83">
        <v>3215239.1</v>
      </c>
      <c r="G48" s="83"/>
      <c r="H48" s="83"/>
      <c r="I48" s="83">
        <v>3321535.5</v>
      </c>
      <c r="J48" s="83"/>
      <c r="K48" s="83"/>
      <c r="L48" s="83">
        <f t="shared" si="6"/>
        <v>3215239.1</v>
      </c>
      <c r="M48" s="83">
        <f t="shared" si="2"/>
        <v>3321535.5</v>
      </c>
    </row>
    <row r="49" spans="1:17" s="39" customFormat="1" ht="13" x14ac:dyDescent="0.3">
      <c r="C49" s="39" t="s">
        <v>135</v>
      </c>
      <c r="D49" s="46">
        <f t="shared" si="0"/>
        <v>3215239.1</v>
      </c>
      <c r="E49" s="46">
        <f t="shared" si="7"/>
        <v>3321535.5</v>
      </c>
      <c r="F49" s="84">
        <f t="shared" ref="F49:L49" si="10">SUM(F47:F48)</f>
        <v>3215239.1</v>
      </c>
      <c r="G49" s="84">
        <f t="shared" si="10"/>
        <v>0</v>
      </c>
      <c r="H49" s="84">
        <f t="shared" si="10"/>
        <v>0</v>
      </c>
      <c r="I49" s="84">
        <f t="shared" si="10"/>
        <v>3321535.5</v>
      </c>
      <c r="J49" s="84">
        <f t="shared" si="10"/>
        <v>0</v>
      </c>
      <c r="K49" s="84">
        <f t="shared" si="10"/>
        <v>0</v>
      </c>
      <c r="L49" s="84">
        <f t="shared" si="10"/>
        <v>3215239.1</v>
      </c>
      <c r="M49" s="84">
        <f t="shared" si="2"/>
        <v>3321535.5</v>
      </c>
    </row>
    <row r="50" spans="1:17" s="39" customFormat="1" ht="13" x14ac:dyDescent="0.3">
      <c r="B50" s="39" t="s">
        <v>393</v>
      </c>
      <c r="D50" s="46">
        <f t="shared" si="0"/>
        <v>-3215239.1</v>
      </c>
      <c r="E50" s="46">
        <f t="shared" si="7"/>
        <v>-3321535.5</v>
      </c>
      <c r="F50" s="84">
        <f t="shared" ref="F50:L50" si="11">F45-F49</f>
        <v>-3215239.1</v>
      </c>
      <c r="G50" s="84">
        <f t="shared" si="11"/>
        <v>0</v>
      </c>
      <c r="H50" s="84">
        <f t="shared" si="11"/>
        <v>0</v>
      </c>
      <c r="I50" s="84">
        <f t="shared" si="11"/>
        <v>-3321535.5</v>
      </c>
      <c r="J50" s="84">
        <f t="shared" si="11"/>
        <v>0</v>
      </c>
      <c r="K50" s="84">
        <f t="shared" si="11"/>
        <v>0</v>
      </c>
      <c r="L50" s="84">
        <f t="shared" si="11"/>
        <v>-3215239.1</v>
      </c>
      <c r="M50" s="84">
        <f t="shared" si="2"/>
        <v>-3321535.5</v>
      </c>
    </row>
    <row r="51" spans="1:17" s="39" customFormat="1" ht="13" x14ac:dyDescent="0.3">
      <c r="A51" s="39" t="s">
        <v>404</v>
      </c>
      <c r="D51" s="46">
        <f t="shared" si="0"/>
        <v>-180234.82000000367</v>
      </c>
      <c r="E51" s="46">
        <f>I51+J51+K51</f>
        <v>4433369.9500000067</v>
      </c>
      <c r="F51" s="84">
        <f t="shared" ref="F51:K51" si="12">F28+F40+F50</f>
        <v>-60790.75000000326</v>
      </c>
      <c r="G51" s="84">
        <f t="shared" si="12"/>
        <v>-53180.630000000005</v>
      </c>
      <c r="H51" s="84">
        <f t="shared" si="12"/>
        <v>-66263.44000000041</v>
      </c>
      <c r="I51" s="84">
        <f t="shared" si="12"/>
        <v>-5827081.5699999938</v>
      </c>
      <c r="J51" s="84">
        <f t="shared" si="12"/>
        <v>34885.459999999963</v>
      </c>
      <c r="K51" s="84">
        <f t="shared" si="12"/>
        <v>10225566.060000001</v>
      </c>
      <c r="L51" s="84">
        <f>F51+G51+H51</f>
        <v>-180234.82000000367</v>
      </c>
      <c r="M51" s="84">
        <f t="shared" si="2"/>
        <v>4433369.9500000067</v>
      </c>
    </row>
    <row r="52" spans="1:17" ht="13" x14ac:dyDescent="0.3">
      <c r="A52" s="5" t="s">
        <v>405</v>
      </c>
      <c r="D52" s="46">
        <f t="shared" si="0"/>
        <v>11874135.26</v>
      </c>
      <c r="E52" s="46">
        <f>D53</f>
        <v>11693900.439999996</v>
      </c>
      <c r="F52" s="83">
        <v>11204463.699999999</v>
      </c>
      <c r="G52" s="83">
        <v>221100.93</v>
      </c>
      <c r="H52" s="83">
        <v>448570.63</v>
      </c>
      <c r="I52" s="83">
        <f>F53</f>
        <v>11143672.949999996</v>
      </c>
      <c r="J52" s="83">
        <v>167920.3</v>
      </c>
      <c r="K52" s="83">
        <v>382307.19</v>
      </c>
      <c r="L52" s="83">
        <f>F52+G52+H52</f>
        <v>11874135.26</v>
      </c>
      <c r="M52" s="83">
        <f t="shared" si="2"/>
        <v>11693900.439999996</v>
      </c>
    </row>
    <row r="53" spans="1:17" s="39" customFormat="1" ht="13" x14ac:dyDescent="0.3">
      <c r="A53" s="39" t="s">
        <v>406</v>
      </c>
      <c r="D53" s="46">
        <f t="shared" si="0"/>
        <v>11693900.439999996</v>
      </c>
      <c r="E53" s="46">
        <f>I53+J53+K53</f>
        <v>16127270.390000001</v>
      </c>
      <c r="F53" s="84">
        <f>SUM(F51:F52)</f>
        <v>11143672.949999996</v>
      </c>
      <c r="G53" s="84">
        <f t="shared" ref="G53:L53" si="13">SUM(G51:G52)</f>
        <v>167920.3</v>
      </c>
      <c r="H53" s="84">
        <f t="shared" si="13"/>
        <v>382307.18999999959</v>
      </c>
      <c r="I53" s="84">
        <f>SUM(I51:I52)</f>
        <v>5316591.3800000018</v>
      </c>
      <c r="J53" s="84">
        <f t="shared" si="13"/>
        <v>202805.75999999995</v>
      </c>
      <c r="K53" s="84">
        <f t="shared" si="13"/>
        <v>10607873.25</v>
      </c>
      <c r="L53" s="84">
        <f t="shared" si="13"/>
        <v>11693900.439999996</v>
      </c>
      <c r="M53" s="84">
        <f t="shared" si="2"/>
        <v>16127270.390000001</v>
      </c>
      <c r="N53" s="46"/>
    </row>
    <row r="54" spans="1:17" ht="13" x14ac:dyDescent="0.3">
      <c r="A54" s="39"/>
      <c r="D54" s="46"/>
      <c r="E54" s="46"/>
      <c r="F54" s="83"/>
      <c r="G54" s="83"/>
      <c r="H54" s="83"/>
      <c r="I54" s="83"/>
      <c r="J54" s="83"/>
      <c r="K54" s="83"/>
      <c r="L54" s="83"/>
      <c r="M54" s="83"/>
      <c r="N54" s="33"/>
    </row>
    <row r="55" spans="1:17" ht="13" x14ac:dyDescent="0.3">
      <c r="A55" s="39"/>
      <c r="D55" s="46"/>
      <c r="E55" s="46"/>
      <c r="F55" s="83"/>
      <c r="G55" s="83"/>
      <c r="H55" s="83"/>
      <c r="I55" s="83"/>
      <c r="J55" s="83"/>
      <c r="K55" s="83"/>
      <c r="L55" s="83"/>
      <c r="M55" s="83"/>
      <c r="N55" s="33"/>
    </row>
    <row r="56" spans="1:17" x14ac:dyDescent="0.25">
      <c r="E56" s="33"/>
      <c r="F56" s="83"/>
      <c r="G56" s="83"/>
      <c r="H56" s="83"/>
      <c r="I56" s="83"/>
      <c r="J56" s="83"/>
      <c r="K56" s="83"/>
      <c r="L56" s="83"/>
      <c r="M56" s="83"/>
    </row>
    <row r="57" spans="1:17" ht="13" x14ac:dyDescent="0.3">
      <c r="F57" s="83"/>
      <c r="G57" s="89" t="s">
        <v>5</v>
      </c>
      <c r="H57" s="33"/>
      <c r="I57" s="33"/>
      <c r="J57" s="33"/>
      <c r="K57" s="33"/>
      <c r="L57" s="90"/>
      <c r="M57" s="83"/>
      <c r="N57" s="39"/>
      <c r="O57" s="39"/>
      <c r="P57" s="39"/>
      <c r="Q57" s="39"/>
    </row>
    <row r="58" spans="1:17" ht="13" x14ac:dyDescent="0.3">
      <c r="B58" s="56" t="s">
        <v>491</v>
      </c>
      <c r="C58" s="39"/>
      <c r="D58" s="56" t="s">
        <v>486</v>
      </c>
      <c r="F58" s="33"/>
      <c r="I58" s="33"/>
      <c r="L58" s="33"/>
      <c r="M58" s="70"/>
      <c r="N58" s="39"/>
      <c r="O58" s="39"/>
    </row>
    <row r="59" spans="1:17" ht="13" x14ac:dyDescent="0.3">
      <c r="B59" s="39"/>
      <c r="C59" s="39"/>
      <c r="H59" s="88" t="s">
        <v>105</v>
      </c>
      <c r="I59" s="88"/>
      <c r="J59" s="88"/>
      <c r="K59" s="88"/>
      <c r="L59" s="88"/>
      <c r="M59" s="88"/>
      <c r="N59" s="86"/>
      <c r="O59" s="86"/>
      <c r="P59" s="86"/>
      <c r="Q59" s="86"/>
    </row>
    <row r="60" spans="1:17" ht="13" x14ac:dyDescent="0.3">
      <c r="B60" s="39"/>
      <c r="C60" s="39"/>
      <c r="H60" s="89" t="s">
        <v>6</v>
      </c>
      <c r="I60" s="89"/>
      <c r="J60" s="89"/>
      <c r="K60" s="89"/>
      <c r="L60" s="89"/>
      <c r="M60" s="89"/>
      <c r="N60" s="85"/>
      <c r="O60" s="85"/>
      <c r="P60" s="85"/>
      <c r="Q60" s="85"/>
    </row>
    <row r="61" spans="1:17" ht="13" x14ac:dyDescent="0.3">
      <c r="B61" s="66" t="s">
        <v>489</v>
      </c>
      <c r="C61" s="39"/>
      <c r="D61" s="342" t="s">
        <v>105</v>
      </c>
      <c r="E61" s="342"/>
      <c r="F61" s="83"/>
      <c r="G61" s="83"/>
      <c r="H61" s="83"/>
      <c r="I61" s="83"/>
      <c r="J61" s="83"/>
      <c r="K61" s="83"/>
      <c r="L61" s="83"/>
    </row>
    <row r="62" spans="1:17" ht="13" x14ac:dyDescent="0.3">
      <c r="B62" s="39" t="s">
        <v>490</v>
      </c>
      <c r="C62" s="39"/>
      <c r="D62" s="343" t="s">
        <v>6</v>
      </c>
      <c r="E62" s="343"/>
    </row>
    <row r="63" spans="1:17" ht="13" x14ac:dyDescent="0.3">
      <c r="B63" s="39"/>
      <c r="C63" s="39"/>
    </row>
  </sheetData>
  <mergeCells count="9">
    <mergeCell ref="I10:K10"/>
    <mergeCell ref="D61:E61"/>
    <mergeCell ref="D62:E62"/>
    <mergeCell ref="A6:E6"/>
    <mergeCell ref="A1:E1"/>
    <mergeCell ref="A2:E2"/>
    <mergeCell ref="A4:E4"/>
    <mergeCell ref="A5:E5"/>
    <mergeCell ref="F10:H10"/>
  </mergeCells>
  <phoneticPr fontId="0" type="noConversion"/>
  <printOptions horizontalCentered="1"/>
  <pageMargins left="0" right="0" top="0.62992125984251968" bottom="0.39370078740157483" header="0.51181102362204722" footer="0.51181102362204722"/>
  <pageSetup paperSize="5" orientation="portrait" horizontalDpi="180" verticalDpi="18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44"/>
  <sheetViews>
    <sheetView view="pageBreakPreview" topLeftCell="A122" zoomScale="85" zoomScaleNormal="93" zoomScaleSheetLayoutView="85" workbookViewId="0">
      <selection activeCell="F60" activeCellId="1" sqref="J53 F60"/>
    </sheetView>
  </sheetViews>
  <sheetFormatPr defaultColWidth="9.1796875" defaultRowHeight="12.5" x14ac:dyDescent="0.25"/>
  <cols>
    <col min="1" max="1" width="3.453125" style="5" customWidth="1"/>
    <col min="2" max="2" width="3" style="5" customWidth="1"/>
    <col min="3" max="3" width="2.81640625" style="5" customWidth="1"/>
    <col min="4" max="4" width="50.54296875" style="5" customWidth="1"/>
    <col min="5" max="5" width="20.1796875" style="5" bestFit="1" customWidth="1"/>
    <col min="6" max="6" width="14.453125" style="5" customWidth="1"/>
    <col min="7" max="7" width="16.453125" style="5" customWidth="1"/>
    <col min="8" max="8" width="14.453125" style="5" customWidth="1"/>
    <col min="9" max="9" width="14" style="5" customWidth="1"/>
    <col min="10" max="10" width="14.1796875" style="5" customWidth="1"/>
    <col min="11" max="13" width="14.453125" style="5" customWidth="1"/>
    <col min="14" max="14" width="14.453125" style="5" bestFit="1" customWidth="1"/>
    <col min="15" max="15" width="14.1796875" style="5" customWidth="1"/>
    <col min="16" max="16384" width="9.1796875" style="5"/>
  </cols>
  <sheetData>
    <row r="1" spans="1:15" ht="13" x14ac:dyDescent="0.3">
      <c r="A1" s="343" t="s">
        <v>113</v>
      </c>
      <c r="B1" s="343"/>
      <c r="C1" s="343"/>
      <c r="D1" s="343"/>
      <c r="E1" s="343"/>
      <c r="F1" s="343"/>
      <c r="G1" s="39"/>
      <c r="H1" s="39"/>
      <c r="I1" s="39"/>
      <c r="J1" s="39"/>
      <c r="K1" s="39"/>
      <c r="L1" s="39"/>
    </row>
    <row r="2" spans="1:15" ht="13" x14ac:dyDescent="0.3">
      <c r="A2" s="343" t="s">
        <v>112</v>
      </c>
      <c r="B2" s="343"/>
      <c r="C2" s="343"/>
      <c r="D2" s="343"/>
      <c r="E2" s="343"/>
      <c r="F2" s="343"/>
      <c r="G2" s="39"/>
      <c r="H2" s="39"/>
      <c r="I2" s="39"/>
      <c r="J2" s="39"/>
      <c r="K2" s="39"/>
      <c r="L2" s="39"/>
    </row>
    <row r="3" spans="1:15" ht="13" x14ac:dyDescent="0.3">
      <c r="A3" s="343" t="s">
        <v>487</v>
      </c>
      <c r="B3" s="343"/>
      <c r="C3" s="343"/>
      <c r="D3" s="343"/>
      <c r="E3" s="343"/>
      <c r="F3" s="343"/>
      <c r="G3" s="39"/>
      <c r="H3" s="39"/>
      <c r="I3" s="39"/>
      <c r="J3" s="39"/>
      <c r="K3" s="39"/>
      <c r="L3" s="39"/>
    </row>
    <row r="4" spans="1:15" ht="13" x14ac:dyDescent="0.3">
      <c r="A4" s="38"/>
      <c r="B4" s="38"/>
      <c r="C4" s="38"/>
      <c r="D4" s="38"/>
      <c r="E4" s="38"/>
      <c r="F4" s="38"/>
      <c r="G4" s="38"/>
      <c r="H4" s="38"/>
      <c r="I4" s="38"/>
      <c r="J4" s="38"/>
      <c r="K4" s="38"/>
      <c r="L4" s="38"/>
    </row>
    <row r="5" spans="1:15" ht="13" x14ac:dyDescent="0.3">
      <c r="A5" s="343" t="s">
        <v>464</v>
      </c>
      <c r="B5" s="343"/>
      <c r="C5" s="343"/>
      <c r="D5" s="343"/>
      <c r="E5" s="343"/>
      <c r="F5" s="343"/>
      <c r="G5" s="39"/>
      <c r="H5" s="39"/>
      <c r="I5" s="39"/>
      <c r="J5" s="39"/>
      <c r="K5" s="39"/>
      <c r="L5" s="39"/>
    </row>
    <row r="6" spans="1:15" ht="13" x14ac:dyDescent="0.3">
      <c r="A6" s="343" t="s">
        <v>466</v>
      </c>
      <c r="B6" s="343"/>
      <c r="C6" s="343"/>
      <c r="D6" s="343"/>
      <c r="E6" s="343"/>
      <c r="F6" s="343"/>
      <c r="G6" s="39"/>
      <c r="H6" s="39"/>
      <c r="I6" s="39"/>
      <c r="J6" s="39"/>
      <c r="K6" s="39"/>
      <c r="L6" s="39"/>
    </row>
    <row r="7" spans="1:15" ht="13" x14ac:dyDescent="0.3">
      <c r="A7" s="38"/>
      <c r="B7" s="38"/>
      <c r="C7" s="38"/>
      <c r="D7" s="38"/>
      <c r="E7" s="38"/>
      <c r="F7" s="38"/>
      <c r="G7" s="39"/>
      <c r="H7" s="39"/>
      <c r="I7" s="39"/>
      <c r="J7" s="39"/>
      <c r="K7" s="39"/>
      <c r="L7" s="39"/>
    </row>
    <row r="8" spans="1:15" ht="13" x14ac:dyDescent="0.3">
      <c r="A8" s="38"/>
      <c r="B8" s="38"/>
      <c r="C8" s="38"/>
      <c r="D8" s="38"/>
      <c r="E8" s="38"/>
      <c r="F8" s="38"/>
      <c r="G8" s="39"/>
      <c r="H8" s="39"/>
      <c r="I8" s="39"/>
      <c r="J8" s="39"/>
      <c r="K8" s="39"/>
      <c r="L8" s="39"/>
    </row>
    <row r="9" spans="1:15" ht="13" x14ac:dyDescent="0.3">
      <c r="A9" s="38"/>
      <c r="B9" s="38"/>
      <c r="C9" s="38"/>
      <c r="D9" s="38"/>
      <c r="E9" s="38"/>
      <c r="F9" s="38"/>
      <c r="G9" s="38"/>
      <c r="H9" s="38"/>
      <c r="I9" s="38"/>
      <c r="J9" s="38"/>
      <c r="K9" s="39"/>
      <c r="L9" s="39"/>
    </row>
    <row r="10" spans="1:15" ht="13" x14ac:dyDescent="0.3">
      <c r="A10" s="343" t="s">
        <v>181</v>
      </c>
      <c r="B10" s="343"/>
      <c r="C10" s="343"/>
      <c r="D10" s="343"/>
      <c r="E10" s="343">
        <v>2011</v>
      </c>
      <c r="F10" s="343">
        <v>2010</v>
      </c>
      <c r="G10" s="343">
        <v>2010</v>
      </c>
      <c r="H10" s="343"/>
      <c r="I10" s="343"/>
      <c r="J10" s="343">
        <v>2011</v>
      </c>
      <c r="K10" s="343"/>
      <c r="L10" s="343"/>
      <c r="M10" s="54"/>
      <c r="N10" s="54"/>
      <c r="O10" s="54"/>
    </row>
    <row r="11" spans="1:15" ht="13" x14ac:dyDescent="0.3">
      <c r="A11" s="39" t="s">
        <v>182</v>
      </c>
      <c r="B11" s="39"/>
      <c r="C11" s="39"/>
      <c r="D11" s="38"/>
      <c r="E11" s="343"/>
      <c r="F11" s="343"/>
      <c r="G11" s="38" t="s">
        <v>467</v>
      </c>
      <c r="H11" s="38" t="s">
        <v>144</v>
      </c>
      <c r="I11" s="38" t="s">
        <v>110</v>
      </c>
      <c r="J11" s="38" t="s">
        <v>467</v>
      </c>
      <c r="K11" s="38" t="s">
        <v>144</v>
      </c>
      <c r="L11" s="38" t="s">
        <v>110</v>
      </c>
      <c r="M11" s="54"/>
      <c r="N11" s="54"/>
      <c r="O11" s="54"/>
    </row>
    <row r="12" spans="1:15" ht="13" x14ac:dyDescent="0.3">
      <c r="B12" s="39" t="s">
        <v>183</v>
      </c>
      <c r="D12" s="54"/>
      <c r="E12" s="54"/>
      <c r="F12" s="54"/>
      <c r="G12" s="54"/>
      <c r="H12" s="54"/>
      <c r="I12" s="54"/>
      <c r="J12" s="54"/>
      <c r="K12" s="54"/>
      <c r="L12" s="54"/>
      <c r="M12" s="54"/>
      <c r="N12" s="54"/>
      <c r="O12" s="54"/>
    </row>
    <row r="13" spans="1:15" x14ac:dyDescent="0.25">
      <c r="C13" s="5" t="s">
        <v>184</v>
      </c>
      <c r="D13" s="54"/>
      <c r="E13" s="54"/>
      <c r="F13" s="54"/>
      <c r="G13" s="54"/>
      <c r="H13" s="54"/>
      <c r="I13" s="54"/>
      <c r="J13" s="54"/>
      <c r="K13" s="54"/>
      <c r="L13" s="54"/>
      <c r="M13" s="54"/>
      <c r="N13" s="34"/>
      <c r="O13" s="54"/>
    </row>
    <row r="14" spans="1:15" x14ac:dyDescent="0.25">
      <c r="D14" s="5" t="s">
        <v>9</v>
      </c>
      <c r="E14" s="40">
        <f t="shared" ref="E14:E19" si="0">J14+K14+L14</f>
        <v>257252.42</v>
      </c>
      <c r="F14" s="40">
        <v>194059.18</v>
      </c>
      <c r="G14" s="34">
        <v>11693900.439999999</v>
      </c>
      <c r="I14" s="34">
        <f>31545.45+125000</f>
        <v>156545.45000000001</v>
      </c>
      <c r="J14" s="34">
        <v>83764.28</v>
      </c>
      <c r="K14" s="34"/>
      <c r="L14" s="34">
        <v>173488.14</v>
      </c>
      <c r="M14" s="34">
        <f>SUM(G14:I14)</f>
        <v>11850445.889999999</v>
      </c>
      <c r="N14" s="34"/>
      <c r="O14" s="34"/>
    </row>
    <row r="15" spans="1:15" x14ac:dyDescent="0.25">
      <c r="D15" s="5" t="s">
        <v>8</v>
      </c>
      <c r="E15" s="40">
        <f t="shared" si="0"/>
        <v>512733.87</v>
      </c>
      <c r="F15" s="40">
        <v>6482.28</v>
      </c>
      <c r="G15" s="34">
        <v>3940.1</v>
      </c>
      <c r="H15" s="34">
        <v>2505.44</v>
      </c>
      <c r="I15" s="34">
        <v>36.74</v>
      </c>
      <c r="J15" s="34">
        <v>104840.55</v>
      </c>
      <c r="K15" s="34">
        <v>5603.59</v>
      </c>
      <c r="L15" s="34">
        <v>402289.73</v>
      </c>
      <c r="M15" s="34">
        <f t="shared" ref="M15:M78" si="1">SUM(G15:I15)</f>
        <v>6482.28</v>
      </c>
      <c r="N15" s="34"/>
      <c r="O15" s="34"/>
    </row>
    <row r="16" spans="1:15" x14ac:dyDescent="0.25">
      <c r="D16" s="5" t="s">
        <v>193</v>
      </c>
      <c r="E16" s="40">
        <f t="shared" si="0"/>
        <v>0</v>
      </c>
      <c r="F16" s="40">
        <f>G16+H16+I16</f>
        <v>0</v>
      </c>
      <c r="G16" s="34"/>
      <c r="H16" s="34"/>
      <c r="I16" s="34"/>
      <c r="J16" s="34"/>
      <c r="K16" s="34"/>
      <c r="L16" s="34"/>
      <c r="M16" s="34">
        <f t="shared" si="1"/>
        <v>0</v>
      </c>
      <c r="N16" s="34"/>
      <c r="O16" s="34"/>
    </row>
    <row r="17" spans="2:15" x14ac:dyDescent="0.25">
      <c r="D17" s="5" t="s">
        <v>149</v>
      </c>
      <c r="E17" s="40">
        <f t="shared" si="0"/>
        <v>9528.5499999999993</v>
      </c>
      <c r="F17" s="40">
        <v>14403.26</v>
      </c>
      <c r="G17" s="34">
        <v>14403.26</v>
      </c>
      <c r="H17" s="34"/>
      <c r="I17" s="34"/>
      <c r="J17" s="34">
        <v>9528.5499999999993</v>
      </c>
      <c r="K17" s="34"/>
      <c r="L17" s="34"/>
      <c r="M17" s="34">
        <f t="shared" si="1"/>
        <v>14403.26</v>
      </c>
      <c r="N17" s="34"/>
      <c r="O17" s="34"/>
    </row>
    <row r="18" spans="2:15" x14ac:dyDescent="0.25">
      <c r="C18" s="5" t="s">
        <v>185</v>
      </c>
      <c r="E18" s="40">
        <f t="shared" si="0"/>
        <v>0</v>
      </c>
      <c r="F18" s="40"/>
      <c r="G18" s="34"/>
      <c r="H18" s="34"/>
      <c r="I18" s="34"/>
      <c r="J18" s="34"/>
      <c r="K18" s="34"/>
      <c r="L18" s="34"/>
      <c r="M18" s="34">
        <f t="shared" si="1"/>
        <v>0</v>
      </c>
      <c r="N18" s="34"/>
      <c r="O18" s="34"/>
    </row>
    <row r="19" spans="2:15" x14ac:dyDescent="0.25">
      <c r="D19" s="5" t="s">
        <v>7</v>
      </c>
      <c r="E19" s="40">
        <f t="shared" si="0"/>
        <v>15347755.550000001</v>
      </c>
      <c r="F19" s="40">
        <v>11478955.720000001</v>
      </c>
      <c r="G19" s="34"/>
      <c r="H19" s="34"/>
      <c r="I19" s="34">
        <f>SUM(I14:I18)</f>
        <v>156582.19</v>
      </c>
      <c r="J19" s="34">
        <v>5118458</v>
      </c>
      <c r="K19" s="34">
        <v>197202.17</v>
      </c>
      <c r="L19" s="34">
        <v>10032095.380000001</v>
      </c>
      <c r="M19" s="34">
        <f t="shared" si="1"/>
        <v>156582.19</v>
      </c>
      <c r="N19" s="34"/>
      <c r="O19" s="34"/>
    </row>
    <row r="20" spans="2:15" s="39" customFormat="1" ht="13" x14ac:dyDescent="0.3">
      <c r="C20" s="39" t="s">
        <v>194</v>
      </c>
      <c r="E20" s="69">
        <f>SUM(E14:E19)</f>
        <v>16127270.390000001</v>
      </c>
      <c r="F20" s="69">
        <f>SUM(F14:F19)</f>
        <v>11693900.440000001</v>
      </c>
      <c r="G20" s="75">
        <f t="shared" ref="G20:L20" si="2">SUM(G13:G19)</f>
        <v>11712243.799999999</v>
      </c>
      <c r="H20" s="75">
        <f t="shared" si="2"/>
        <v>2505.44</v>
      </c>
      <c r="I20" s="75">
        <f t="shared" si="2"/>
        <v>313164.38</v>
      </c>
      <c r="J20" s="75">
        <f t="shared" si="2"/>
        <v>5316591.38</v>
      </c>
      <c r="K20" s="75">
        <f t="shared" si="2"/>
        <v>202805.76000000001</v>
      </c>
      <c r="L20" s="75">
        <f t="shared" si="2"/>
        <v>10607873.25</v>
      </c>
      <c r="M20" s="34">
        <f t="shared" si="1"/>
        <v>12027913.619999999</v>
      </c>
      <c r="N20" s="34"/>
      <c r="O20" s="75"/>
    </row>
    <row r="21" spans="2:15" ht="13" x14ac:dyDescent="0.3">
      <c r="B21" s="39" t="s">
        <v>186</v>
      </c>
      <c r="E21" s="40"/>
      <c r="F21" s="40"/>
      <c r="G21" s="34"/>
      <c r="H21" s="34"/>
      <c r="I21" s="34"/>
      <c r="J21" s="34"/>
      <c r="K21" s="34"/>
      <c r="L21" s="34"/>
      <c r="M21" s="34">
        <f t="shared" si="1"/>
        <v>0</v>
      </c>
      <c r="N21" s="34"/>
      <c r="O21" s="34"/>
    </row>
    <row r="22" spans="2:15" x14ac:dyDescent="0.25">
      <c r="C22" s="5" t="s">
        <v>195</v>
      </c>
      <c r="E22" s="40"/>
      <c r="F22" s="40"/>
      <c r="G22" s="34"/>
      <c r="H22" s="34"/>
      <c r="I22" s="34"/>
      <c r="J22" s="34"/>
      <c r="K22" s="34"/>
      <c r="L22" s="34"/>
      <c r="M22" s="34">
        <f t="shared" si="1"/>
        <v>0</v>
      </c>
      <c r="N22" s="34"/>
      <c r="O22" s="34"/>
    </row>
    <row r="23" spans="2:15" x14ac:dyDescent="0.25">
      <c r="D23" s="5" t="s">
        <v>470</v>
      </c>
      <c r="E23" s="40">
        <f>J23+K23+L23</f>
        <v>12388.55</v>
      </c>
      <c r="F23" s="40"/>
      <c r="G23" s="34"/>
      <c r="H23" s="34"/>
      <c r="I23" s="34"/>
      <c r="J23" s="34">
        <v>12388.55</v>
      </c>
      <c r="K23" s="34"/>
      <c r="L23" s="34"/>
      <c r="M23" s="34">
        <f t="shared" si="1"/>
        <v>0</v>
      </c>
      <c r="N23" s="34"/>
      <c r="O23" s="34"/>
    </row>
    <row r="24" spans="2:15" x14ac:dyDescent="0.25">
      <c r="D24" s="5" t="s">
        <v>157</v>
      </c>
      <c r="E24" s="40">
        <f t="shared" ref="E24:E31" si="3">J24+K24+L24</f>
        <v>2910075.05</v>
      </c>
      <c r="F24" s="40">
        <f t="shared" ref="F24:F31" si="4">G24+H24+I24</f>
        <v>2279978.1599999997</v>
      </c>
      <c r="G24" s="34">
        <f>2249537.61+30440.55</f>
        <v>2279978.1599999997</v>
      </c>
      <c r="H24" s="34"/>
      <c r="I24" s="34"/>
      <c r="J24" s="34">
        <v>2910075.05</v>
      </c>
      <c r="K24" s="34"/>
      <c r="L24" s="34"/>
      <c r="M24" s="34">
        <f t="shared" si="1"/>
        <v>2279978.1599999997</v>
      </c>
      <c r="N24" s="34"/>
      <c r="O24" s="34"/>
    </row>
    <row r="25" spans="2:15" x14ac:dyDescent="0.25">
      <c r="D25" s="5" t="s">
        <v>11</v>
      </c>
      <c r="E25" s="40">
        <f t="shared" si="3"/>
        <v>15190711.75</v>
      </c>
      <c r="F25" s="40">
        <f t="shared" si="4"/>
        <v>14742267.380000001</v>
      </c>
      <c r="G25" s="34">
        <v>14742267.380000001</v>
      </c>
      <c r="H25" s="34"/>
      <c r="I25" s="34"/>
      <c r="J25" s="34">
        <v>15190711.75</v>
      </c>
      <c r="K25" s="34"/>
      <c r="L25" s="34"/>
      <c r="M25" s="34">
        <f t="shared" si="1"/>
        <v>14742267.380000001</v>
      </c>
      <c r="N25" s="34"/>
      <c r="O25" s="34"/>
    </row>
    <row r="26" spans="2:15" x14ac:dyDescent="0.25">
      <c r="D26" s="5" t="s">
        <v>114</v>
      </c>
      <c r="E26" s="40">
        <f t="shared" si="3"/>
        <v>15190711.75</v>
      </c>
      <c r="F26" s="40">
        <f t="shared" si="4"/>
        <v>14742267.380000001</v>
      </c>
      <c r="G26" s="34">
        <v>14742267.380000001</v>
      </c>
      <c r="H26" s="34"/>
      <c r="I26" s="34"/>
      <c r="J26" s="34">
        <v>15190711.75</v>
      </c>
      <c r="K26" s="34"/>
      <c r="L26" s="34"/>
      <c r="M26" s="34">
        <f t="shared" si="1"/>
        <v>14742267.380000001</v>
      </c>
      <c r="N26" s="34"/>
      <c r="O26" s="34"/>
    </row>
    <row r="27" spans="2:15" x14ac:dyDescent="0.25">
      <c r="D27" s="5" t="s">
        <v>175</v>
      </c>
      <c r="E27" s="40">
        <f t="shared" si="3"/>
        <v>1247.04</v>
      </c>
      <c r="F27" s="40">
        <f t="shared" si="4"/>
        <v>1247.04</v>
      </c>
      <c r="G27" s="34">
        <v>1247.04</v>
      </c>
      <c r="H27" s="34"/>
      <c r="I27" s="34"/>
      <c r="J27" s="34">
        <v>1247.04</v>
      </c>
      <c r="K27" s="34"/>
      <c r="L27" s="34"/>
      <c r="M27" s="34">
        <f t="shared" si="1"/>
        <v>1247.04</v>
      </c>
      <c r="N27" s="34"/>
      <c r="O27" s="34"/>
    </row>
    <row r="28" spans="2:15" x14ac:dyDescent="0.25">
      <c r="D28" s="5" t="s">
        <v>141</v>
      </c>
      <c r="E28" s="40">
        <f t="shared" si="3"/>
        <v>439354.7</v>
      </c>
      <c r="F28" s="40">
        <f t="shared" si="4"/>
        <v>28357.7</v>
      </c>
      <c r="G28" s="34">
        <v>28357.7</v>
      </c>
      <c r="H28" s="34"/>
      <c r="I28" s="34"/>
      <c r="J28" s="34">
        <v>439354.7</v>
      </c>
      <c r="K28" s="34"/>
      <c r="L28" s="34"/>
      <c r="M28" s="34">
        <f t="shared" si="1"/>
        <v>28357.7</v>
      </c>
      <c r="N28" s="34"/>
      <c r="O28" s="34"/>
    </row>
    <row r="29" spans="2:15" x14ac:dyDescent="0.25">
      <c r="D29" s="5" t="s">
        <v>10</v>
      </c>
      <c r="E29" s="40">
        <f t="shared" si="3"/>
        <v>72272.160000000003</v>
      </c>
      <c r="F29" s="40">
        <f t="shared" si="4"/>
        <v>72272.160000000003</v>
      </c>
      <c r="G29" s="34">
        <v>72272.160000000003</v>
      </c>
      <c r="H29" s="34"/>
      <c r="I29" s="34"/>
      <c r="J29" s="34">
        <v>72272.160000000003</v>
      </c>
      <c r="K29" s="34"/>
      <c r="L29" s="34"/>
      <c r="M29" s="34">
        <f t="shared" si="1"/>
        <v>72272.160000000003</v>
      </c>
      <c r="N29" s="34"/>
      <c r="O29" s="34"/>
    </row>
    <row r="30" spans="2:15" x14ac:dyDescent="0.25">
      <c r="D30" s="5" t="s">
        <v>482</v>
      </c>
      <c r="E30" s="40">
        <f t="shared" si="3"/>
        <v>105463</v>
      </c>
      <c r="F30" s="40">
        <f t="shared" si="4"/>
        <v>0</v>
      </c>
      <c r="G30" s="34"/>
      <c r="H30" s="34"/>
      <c r="I30" s="34"/>
      <c r="J30" s="34">
        <v>105463</v>
      </c>
      <c r="K30" s="34"/>
      <c r="L30" s="34"/>
      <c r="M30" s="34">
        <f t="shared" si="1"/>
        <v>0</v>
      </c>
      <c r="N30" s="34"/>
      <c r="O30" s="34"/>
    </row>
    <row r="31" spans="2:15" x14ac:dyDescent="0.25">
      <c r="D31" s="5" t="s">
        <v>115</v>
      </c>
      <c r="E31" s="40">
        <f t="shared" si="3"/>
        <v>1000000</v>
      </c>
      <c r="F31" s="40">
        <f t="shared" si="4"/>
        <v>500000</v>
      </c>
      <c r="G31" s="34">
        <v>500000</v>
      </c>
      <c r="H31" s="34"/>
      <c r="I31" s="34"/>
      <c r="J31" s="34">
        <v>1000000</v>
      </c>
      <c r="K31" s="34"/>
      <c r="L31" s="34"/>
      <c r="M31" s="34">
        <f t="shared" si="1"/>
        <v>500000</v>
      </c>
      <c r="N31" s="34"/>
      <c r="O31" s="34"/>
    </row>
    <row r="32" spans="2:15" s="39" customFormat="1" ht="13" x14ac:dyDescent="0.3">
      <c r="D32" s="39" t="s">
        <v>410</v>
      </c>
      <c r="E32" s="69">
        <f>SUM(E23:E31)</f>
        <v>34922224</v>
      </c>
      <c r="F32" s="75">
        <f>SUM(F24:F31)</f>
        <v>32366389.82</v>
      </c>
      <c r="G32" s="75">
        <f t="shared" ref="G32:L32" si="5">SUM(G22:G31)</f>
        <v>32366389.82</v>
      </c>
      <c r="H32" s="75">
        <f t="shared" si="5"/>
        <v>0</v>
      </c>
      <c r="I32" s="75">
        <f t="shared" si="5"/>
        <v>0</v>
      </c>
      <c r="J32" s="75">
        <f t="shared" si="5"/>
        <v>34922224</v>
      </c>
      <c r="K32" s="75">
        <f t="shared" si="5"/>
        <v>0</v>
      </c>
      <c r="L32" s="75">
        <f t="shared" si="5"/>
        <v>0</v>
      </c>
      <c r="M32" s="34">
        <f t="shared" si="1"/>
        <v>32366389.82</v>
      </c>
      <c r="N32" s="34"/>
      <c r="O32" s="75"/>
    </row>
    <row r="33" spans="1:15" ht="13" x14ac:dyDescent="0.3">
      <c r="B33" s="39" t="s">
        <v>196</v>
      </c>
      <c r="E33" s="40"/>
      <c r="F33" s="40"/>
      <c r="G33" s="34"/>
      <c r="H33" s="34"/>
      <c r="I33" s="34"/>
      <c r="J33" s="34"/>
      <c r="K33" s="34"/>
      <c r="L33" s="34"/>
      <c r="M33" s="34">
        <f t="shared" si="1"/>
        <v>0</v>
      </c>
      <c r="N33" s="34"/>
      <c r="O33" s="34"/>
    </row>
    <row r="34" spans="1:15" x14ac:dyDescent="0.25">
      <c r="C34" s="5" t="s">
        <v>197</v>
      </c>
      <c r="E34" s="40"/>
      <c r="F34" s="40"/>
      <c r="G34" s="34"/>
      <c r="H34" s="34"/>
      <c r="I34" s="34"/>
      <c r="J34" s="34"/>
      <c r="K34" s="34"/>
      <c r="L34" s="34"/>
      <c r="M34" s="34">
        <f t="shared" si="1"/>
        <v>0</v>
      </c>
      <c r="N34" s="34"/>
      <c r="O34" s="34"/>
    </row>
    <row r="35" spans="1:15" x14ac:dyDescent="0.25">
      <c r="D35" s="5" t="s">
        <v>172</v>
      </c>
      <c r="E35" s="40">
        <f>J35+K35+L35</f>
        <v>0</v>
      </c>
      <c r="F35" s="40">
        <f>G35+H35+I35</f>
        <v>39280</v>
      </c>
      <c r="G35" s="34">
        <v>39280</v>
      </c>
      <c r="H35" s="34"/>
      <c r="I35" s="34"/>
      <c r="J35" s="34"/>
      <c r="K35" s="34"/>
      <c r="L35" s="34"/>
      <c r="M35" s="34">
        <f t="shared" si="1"/>
        <v>39280</v>
      </c>
      <c r="N35" s="34"/>
      <c r="O35" s="34"/>
    </row>
    <row r="36" spans="1:15" x14ac:dyDescent="0.25">
      <c r="D36" s="5" t="s">
        <v>198</v>
      </c>
      <c r="E36" s="40">
        <f>J36+K36+L36</f>
        <v>0</v>
      </c>
      <c r="F36" s="40">
        <f>G36+H36+I36</f>
        <v>0</v>
      </c>
      <c r="G36" s="34"/>
      <c r="H36" s="34"/>
      <c r="I36" s="34"/>
      <c r="J36" s="34"/>
      <c r="K36" s="34"/>
      <c r="L36" s="34"/>
      <c r="M36" s="34">
        <f t="shared" si="1"/>
        <v>0</v>
      </c>
      <c r="N36" s="34"/>
      <c r="O36" s="34"/>
    </row>
    <row r="37" spans="1:15" x14ac:dyDescent="0.25">
      <c r="D37" s="5" t="s">
        <v>199</v>
      </c>
      <c r="E37" s="40">
        <f>J37+K37+L37</f>
        <v>0</v>
      </c>
      <c r="F37" s="40">
        <f>G37+H37+I37</f>
        <v>71134</v>
      </c>
      <c r="G37" s="34">
        <v>71134</v>
      </c>
      <c r="H37" s="34"/>
      <c r="I37" s="34"/>
      <c r="J37" s="34"/>
      <c r="K37" s="34"/>
      <c r="L37" s="34"/>
      <c r="M37" s="34">
        <f t="shared" si="1"/>
        <v>71134</v>
      </c>
      <c r="N37" s="34"/>
      <c r="O37" s="34"/>
    </row>
    <row r="38" spans="1:15" x14ac:dyDescent="0.25">
      <c r="D38" s="5" t="s">
        <v>200</v>
      </c>
      <c r="E38" s="40">
        <f>J38+K38+L38</f>
        <v>0</v>
      </c>
      <c r="F38" s="40">
        <f>G38+H38+I38</f>
        <v>0</v>
      </c>
      <c r="G38" s="34"/>
      <c r="H38" s="34"/>
      <c r="I38" s="34"/>
      <c r="J38" s="34"/>
      <c r="K38" s="34"/>
      <c r="L38" s="34"/>
      <c r="M38" s="34">
        <f t="shared" si="1"/>
        <v>0</v>
      </c>
      <c r="N38" s="34"/>
      <c r="O38" s="34"/>
    </row>
    <row r="39" spans="1:15" s="39" customFormat="1" ht="13" x14ac:dyDescent="0.3">
      <c r="C39" s="39" t="s">
        <v>201</v>
      </c>
      <c r="E39" s="69">
        <f>SUM(E35:E38)</f>
        <v>0</v>
      </c>
      <c r="F39" s="69">
        <f>SUM(F35:F38)</f>
        <v>110414</v>
      </c>
      <c r="G39" s="75">
        <f t="shared" ref="G39:L39" si="6">SUM(G34:G38)</f>
        <v>110414</v>
      </c>
      <c r="H39" s="75">
        <f t="shared" si="6"/>
        <v>0</v>
      </c>
      <c r="I39" s="75">
        <f t="shared" si="6"/>
        <v>0</v>
      </c>
      <c r="J39" s="75">
        <f t="shared" si="6"/>
        <v>0</v>
      </c>
      <c r="K39" s="75">
        <f t="shared" si="6"/>
        <v>0</v>
      </c>
      <c r="L39" s="75">
        <f t="shared" si="6"/>
        <v>0</v>
      </c>
      <c r="M39" s="34">
        <f t="shared" si="1"/>
        <v>110414</v>
      </c>
      <c r="N39" s="34"/>
      <c r="O39" s="75"/>
    </row>
    <row r="40" spans="1:15" ht="13" x14ac:dyDescent="0.3">
      <c r="B40" s="39" t="s">
        <v>202</v>
      </c>
      <c r="E40" s="40">
        <f>G40+H40+I40</f>
        <v>0</v>
      </c>
      <c r="F40" s="40"/>
      <c r="G40" s="34"/>
      <c r="H40" s="34"/>
      <c r="I40" s="34"/>
      <c r="J40" s="34"/>
      <c r="K40" s="34"/>
      <c r="L40" s="34"/>
      <c r="M40" s="34">
        <f t="shared" si="1"/>
        <v>0</v>
      </c>
      <c r="N40" s="34"/>
      <c r="O40" s="34"/>
    </row>
    <row r="41" spans="1:15" x14ac:dyDescent="0.25">
      <c r="D41" s="5" t="s">
        <v>116</v>
      </c>
      <c r="E41" s="40">
        <f>J41+K41+L41</f>
        <v>0</v>
      </c>
      <c r="F41" s="40">
        <f>G41+H41+I41</f>
        <v>0</v>
      </c>
      <c r="G41" s="34"/>
      <c r="H41" s="34"/>
      <c r="I41" s="34"/>
      <c r="J41" s="34"/>
      <c r="K41" s="34"/>
      <c r="L41" s="34"/>
      <c r="M41" s="34">
        <f t="shared" si="1"/>
        <v>0</v>
      </c>
      <c r="N41" s="34"/>
      <c r="O41" s="34"/>
    </row>
    <row r="42" spans="1:15" x14ac:dyDescent="0.25">
      <c r="D42" s="5" t="s">
        <v>203</v>
      </c>
      <c r="E42" s="40">
        <f>G42+H42+I42</f>
        <v>0</v>
      </c>
      <c r="F42" s="40">
        <f>G42+H42+I42</f>
        <v>0</v>
      </c>
      <c r="G42" s="34"/>
      <c r="H42" s="34"/>
      <c r="I42" s="34"/>
      <c r="J42" s="34"/>
      <c r="K42" s="34"/>
      <c r="L42" s="34">
        <f>SUM(L41)</f>
        <v>0</v>
      </c>
      <c r="M42" s="34">
        <f t="shared" si="1"/>
        <v>0</v>
      </c>
      <c r="N42" s="34"/>
      <c r="O42" s="34"/>
    </row>
    <row r="43" spans="1:15" ht="13" x14ac:dyDescent="0.3">
      <c r="B43" s="39" t="s">
        <v>204</v>
      </c>
      <c r="E43" s="40">
        <f>G43+H43+I43</f>
        <v>0</v>
      </c>
      <c r="F43" s="40"/>
      <c r="G43" s="34"/>
      <c r="H43" s="34"/>
      <c r="I43" s="34"/>
      <c r="J43" s="34"/>
      <c r="K43" s="34"/>
      <c r="L43" s="34"/>
      <c r="M43" s="34">
        <f t="shared" si="1"/>
        <v>0</v>
      </c>
      <c r="N43" s="34"/>
      <c r="O43" s="34"/>
    </row>
    <row r="44" spans="1:15" x14ac:dyDescent="0.25">
      <c r="D44" s="5" t="s">
        <v>205</v>
      </c>
      <c r="E44" s="40">
        <f>G44+H44+I44</f>
        <v>0</v>
      </c>
      <c r="F44" s="40"/>
      <c r="G44" s="34"/>
      <c r="H44" s="34"/>
      <c r="I44" s="34"/>
      <c r="J44" s="34"/>
      <c r="K44" s="34"/>
      <c r="L44" s="34"/>
      <c r="M44" s="34">
        <f t="shared" si="1"/>
        <v>0</v>
      </c>
      <c r="N44" s="34"/>
      <c r="O44" s="34"/>
    </row>
    <row r="45" spans="1:15" s="39" customFormat="1" ht="13" x14ac:dyDescent="0.3">
      <c r="B45" s="39" t="s">
        <v>206</v>
      </c>
      <c r="E45" s="80">
        <f>E20+E32+E39</f>
        <v>51049494.390000001</v>
      </c>
      <c r="F45" s="80">
        <f>F20+F32+F39</f>
        <v>44170704.260000005</v>
      </c>
      <c r="G45" s="49">
        <f t="shared" ref="G45:L45" si="7">-G39+G32+G20</f>
        <v>43968219.619999997</v>
      </c>
      <c r="H45" s="49">
        <f t="shared" si="7"/>
        <v>2505.44</v>
      </c>
      <c r="I45" s="49">
        <f t="shared" si="7"/>
        <v>313164.38</v>
      </c>
      <c r="J45" s="49">
        <f t="shared" si="7"/>
        <v>40238815.380000003</v>
      </c>
      <c r="K45" s="49">
        <f t="shared" si="7"/>
        <v>202805.76000000001</v>
      </c>
      <c r="L45" s="49">
        <f t="shared" si="7"/>
        <v>10607873.25</v>
      </c>
      <c r="M45" s="34">
        <f t="shared" si="1"/>
        <v>44283889.439999998</v>
      </c>
      <c r="N45" s="34"/>
      <c r="O45" s="75"/>
    </row>
    <row r="46" spans="1:15" ht="13" x14ac:dyDescent="0.3">
      <c r="A46" s="344" t="s">
        <v>207</v>
      </c>
      <c r="B46" s="344"/>
      <c r="C46" s="344"/>
      <c r="D46" s="344"/>
      <c r="E46" s="40"/>
      <c r="F46" s="40"/>
      <c r="G46" s="34"/>
      <c r="H46" s="34"/>
      <c r="I46" s="34"/>
      <c r="J46" s="34"/>
      <c r="K46" s="34"/>
      <c r="L46" s="34"/>
      <c r="M46" s="34">
        <f t="shared" si="1"/>
        <v>0</v>
      </c>
      <c r="N46" s="34"/>
      <c r="O46" s="34"/>
    </row>
    <row r="47" spans="1:15" ht="13" x14ac:dyDescent="0.3">
      <c r="B47" s="39" t="s">
        <v>208</v>
      </c>
      <c r="E47" s="40"/>
      <c r="F47" s="40"/>
      <c r="G47" s="34"/>
      <c r="H47" s="34"/>
      <c r="I47" s="34"/>
      <c r="J47" s="34"/>
      <c r="K47" s="34"/>
      <c r="L47" s="34"/>
      <c r="M47" s="34">
        <f t="shared" si="1"/>
        <v>0</v>
      </c>
      <c r="N47" s="34"/>
      <c r="O47" s="34"/>
    </row>
    <row r="48" spans="1:15" x14ac:dyDescent="0.25">
      <c r="C48" s="5" t="s">
        <v>12</v>
      </c>
      <c r="E48" s="40">
        <f>J48+K48+L48</f>
        <v>1912026.15</v>
      </c>
      <c r="F48" s="40">
        <f>G48+H48+I48</f>
        <v>1812026.15</v>
      </c>
      <c r="G48" s="34">
        <v>1812026.15</v>
      </c>
      <c r="H48" s="34"/>
      <c r="I48" s="34"/>
      <c r="J48" s="34">
        <v>1912026.15</v>
      </c>
      <c r="K48" s="34"/>
      <c r="L48" s="34"/>
      <c r="M48" s="34">
        <f t="shared" si="1"/>
        <v>1812026.15</v>
      </c>
      <c r="N48" s="34"/>
      <c r="O48" s="34"/>
    </row>
    <row r="49" spans="2:15" x14ac:dyDescent="0.25">
      <c r="C49" s="5" t="s">
        <v>13</v>
      </c>
      <c r="E49" s="40">
        <f>J49+K49+L49</f>
        <v>59772.5</v>
      </c>
      <c r="F49" s="40">
        <f>G49+H49+I49</f>
        <v>85843.17</v>
      </c>
      <c r="G49" s="34">
        <v>85843.17</v>
      </c>
      <c r="H49" s="34"/>
      <c r="I49" s="34"/>
      <c r="J49" s="34">
        <v>59772.5</v>
      </c>
      <c r="K49" s="34"/>
      <c r="L49" s="34"/>
      <c r="M49" s="34">
        <f t="shared" si="1"/>
        <v>85843.17</v>
      </c>
      <c r="N49" s="34"/>
      <c r="O49" s="34"/>
    </row>
    <row r="50" spans="2:15" x14ac:dyDescent="0.25">
      <c r="C50" s="5" t="s">
        <v>14</v>
      </c>
      <c r="E50" s="40">
        <f>J50+K50+L50</f>
        <v>508198.86</v>
      </c>
      <c r="F50" s="40">
        <f>G50+H50+I50</f>
        <v>545790.39</v>
      </c>
      <c r="G50" s="34">
        <v>545790.39</v>
      </c>
      <c r="H50" s="34"/>
      <c r="I50" s="34"/>
      <c r="J50" s="34">
        <v>508198.86</v>
      </c>
      <c r="K50" s="34"/>
      <c r="L50" s="34"/>
      <c r="M50" s="34">
        <f t="shared" si="1"/>
        <v>545790.39</v>
      </c>
      <c r="N50" s="34"/>
      <c r="O50" s="34"/>
    </row>
    <row r="51" spans="2:15" s="39" customFormat="1" ht="13" x14ac:dyDescent="0.3">
      <c r="C51" s="39" t="s">
        <v>209</v>
      </c>
      <c r="E51" s="69">
        <f t="shared" ref="E51:L51" si="8">SUM(E48:E50)</f>
        <v>2479997.5099999998</v>
      </c>
      <c r="F51" s="69">
        <f t="shared" si="8"/>
        <v>2443659.71</v>
      </c>
      <c r="G51" s="75">
        <f t="shared" si="8"/>
        <v>2443659.71</v>
      </c>
      <c r="H51" s="75">
        <f t="shared" si="8"/>
        <v>0</v>
      </c>
      <c r="I51" s="75">
        <f t="shared" si="8"/>
        <v>0</v>
      </c>
      <c r="J51" s="75">
        <f t="shared" si="8"/>
        <v>2479997.5099999998</v>
      </c>
      <c r="K51" s="75">
        <f t="shared" si="8"/>
        <v>0</v>
      </c>
      <c r="L51" s="75">
        <f t="shared" si="8"/>
        <v>0</v>
      </c>
      <c r="M51" s="34">
        <f t="shared" si="1"/>
        <v>2443659.71</v>
      </c>
      <c r="N51" s="34"/>
      <c r="O51" s="75"/>
    </row>
    <row r="52" spans="2:15" ht="13" x14ac:dyDescent="0.3">
      <c r="B52" s="39" t="s">
        <v>210</v>
      </c>
      <c r="E52" s="40"/>
      <c r="F52" s="40"/>
      <c r="G52" s="34"/>
      <c r="H52" s="34"/>
      <c r="I52" s="34"/>
      <c r="J52" s="34"/>
      <c r="K52" s="34"/>
      <c r="L52" s="34"/>
      <c r="M52" s="34">
        <f t="shared" si="1"/>
        <v>0</v>
      </c>
      <c r="N52" s="34"/>
      <c r="O52" s="34"/>
    </row>
    <row r="53" spans="2:15" x14ac:dyDescent="0.25">
      <c r="C53" s="5" t="s">
        <v>15</v>
      </c>
      <c r="E53" s="40">
        <f>J53+K53+L53</f>
        <v>9559291.0700000003</v>
      </c>
      <c r="F53" s="40">
        <f>G53+H53+I53</f>
        <v>9767206.4800000004</v>
      </c>
      <c r="G53" s="34">
        <v>9767206.4800000004</v>
      </c>
      <c r="H53" s="34"/>
      <c r="I53" s="34"/>
      <c r="J53" s="34">
        <v>9559291.0700000003</v>
      </c>
      <c r="K53" s="34"/>
      <c r="L53" s="34"/>
      <c r="M53" s="34">
        <f t="shared" si="1"/>
        <v>9767206.4800000004</v>
      </c>
      <c r="N53" s="34"/>
      <c r="O53" s="34"/>
    </row>
    <row r="54" spans="2:15" x14ac:dyDescent="0.25">
      <c r="C54" s="5" t="s">
        <v>16</v>
      </c>
      <c r="E54" s="40">
        <f>J54+K54+L54</f>
        <v>304502.21999999997</v>
      </c>
      <c r="F54" s="40">
        <f>G54+H54+I54</f>
        <v>310848.09999999998</v>
      </c>
      <c r="G54" s="34">
        <v>310848.09999999998</v>
      </c>
      <c r="H54" s="34"/>
      <c r="I54" s="34"/>
      <c r="J54" s="34">
        <v>304502.21999999997</v>
      </c>
      <c r="K54" s="34"/>
      <c r="L54" s="34"/>
      <c r="M54" s="34">
        <f t="shared" si="1"/>
        <v>310848.09999999998</v>
      </c>
      <c r="N54" s="34"/>
      <c r="O54" s="34"/>
    </row>
    <row r="55" spans="2:15" x14ac:dyDescent="0.25">
      <c r="C55" s="5" t="s">
        <v>17</v>
      </c>
      <c r="E55" s="40">
        <f>J55+K55+L55</f>
        <v>0</v>
      </c>
      <c r="F55" s="40">
        <f>G55+H55+I55</f>
        <v>0</v>
      </c>
      <c r="G55" s="34"/>
      <c r="H55" s="34"/>
      <c r="I55" s="34"/>
      <c r="J55" s="34"/>
      <c r="K55" s="34"/>
      <c r="L55" s="34"/>
      <c r="M55" s="34">
        <f t="shared" si="1"/>
        <v>0</v>
      </c>
      <c r="N55" s="34"/>
      <c r="O55" s="34"/>
    </row>
    <row r="56" spans="2:15" x14ac:dyDescent="0.25">
      <c r="C56" s="5" t="s">
        <v>18</v>
      </c>
      <c r="E56" s="40">
        <f>J56+K56+L56</f>
        <v>1956381.73</v>
      </c>
      <c r="F56" s="40">
        <f>G56+H56+I56</f>
        <v>2433790.81</v>
      </c>
      <c r="G56" s="34">
        <v>2433790.81</v>
      </c>
      <c r="H56" s="34"/>
      <c r="I56" s="34"/>
      <c r="J56" s="34">
        <v>1956381.73</v>
      </c>
      <c r="K56" s="34"/>
      <c r="L56" s="34"/>
      <c r="M56" s="34">
        <f t="shared" si="1"/>
        <v>2433790.81</v>
      </c>
      <c r="N56" s="34"/>
      <c r="O56" s="34"/>
    </row>
    <row r="57" spans="2:15" x14ac:dyDescent="0.25">
      <c r="C57" s="5" t="s">
        <v>19</v>
      </c>
      <c r="E57" s="40">
        <f>J57+K57+L57</f>
        <v>40108.339999999997</v>
      </c>
      <c r="F57" s="40">
        <f>G57+H57+I57</f>
        <v>40108.339999999997</v>
      </c>
      <c r="G57" s="34">
        <v>40108.339999999997</v>
      </c>
      <c r="H57" s="34"/>
      <c r="I57" s="34"/>
      <c r="J57" s="34">
        <v>40108.339999999997</v>
      </c>
      <c r="K57" s="34"/>
      <c r="L57" s="34"/>
      <c r="M57" s="34">
        <f t="shared" si="1"/>
        <v>40108.339999999997</v>
      </c>
      <c r="N57" s="34"/>
      <c r="O57" s="34"/>
    </row>
    <row r="58" spans="2:15" s="39" customFormat="1" ht="13" x14ac:dyDescent="0.3">
      <c r="C58" s="39" t="s">
        <v>211</v>
      </c>
      <c r="E58" s="69">
        <f>SUM(E53:E57)</f>
        <v>11860283.360000001</v>
      </c>
      <c r="F58" s="69">
        <f>SUM(F53:F57)</f>
        <v>12551953.73</v>
      </c>
      <c r="G58" s="69">
        <f t="shared" ref="G58:L58" si="9">SUM(G52:G57)</f>
        <v>12551953.73</v>
      </c>
      <c r="H58" s="69">
        <f t="shared" si="9"/>
        <v>0</v>
      </c>
      <c r="I58" s="69">
        <f t="shared" si="9"/>
        <v>0</v>
      </c>
      <c r="J58" s="69">
        <f t="shared" si="9"/>
        <v>11860283.360000001</v>
      </c>
      <c r="K58" s="69">
        <f t="shared" si="9"/>
        <v>0</v>
      </c>
      <c r="L58" s="69">
        <f t="shared" si="9"/>
        <v>0</v>
      </c>
      <c r="M58" s="34">
        <f t="shared" si="1"/>
        <v>12551953.73</v>
      </c>
      <c r="N58" s="34"/>
      <c r="O58" s="75"/>
    </row>
    <row r="59" spans="2:15" ht="13" x14ac:dyDescent="0.3">
      <c r="B59" s="39" t="s">
        <v>212</v>
      </c>
      <c r="E59" s="40"/>
      <c r="F59" s="40"/>
      <c r="G59" s="34"/>
      <c r="H59" s="34"/>
      <c r="I59" s="34"/>
      <c r="J59" s="34"/>
      <c r="K59" s="34"/>
      <c r="L59" s="34"/>
      <c r="M59" s="34">
        <f t="shared" si="1"/>
        <v>0</v>
      </c>
      <c r="N59" s="34"/>
      <c r="O59" s="34"/>
    </row>
    <row r="60" spans="2:15" x14ac:dyDescent="0.25">
      <c r="C60" s="5" t="s">
        <v>20</v>
      </c>
      <c r="E60" s="40">
        <f>J60+K60+L60</f>
        <v>743669.01</v>
      </c>
      <c r="F60" s="40">
        <f>G60+H60+I60</f>
        <v>519978.14</v>
      </c>
      <c r="G60" s="34">
        <v>519978.14</v>
      </c>
      <c r="H60" s="34"/>
      <c r="I60" s="34"/>
      <c r="J60" s="34">
        <v>743669.01</v>
      </c>
      <c r="K60" s="34"/>
      <c r="L60" s="34"/>
      <c r="M60" s="34">
        <f t="shared" si="1"/>
        <v>519978.14</v>
      </c>
      <c r="N60" s="34"/>
      <c r="O60" s="34"/>
    </row>
    <row r="61" spans="2:15" x14ac:dyDescent="0.25">
      <c r="C61" s="5" t="s">
        <v>21</v>
      </c>
      <c r="E61" s="40">
        <f>J61+K61+L61</f>
        <v>433781.5</v>
      </c>
      <c r="F61" s="40">
        <f>G61+H61+I61</f>
        <v>247250.2</v>
      </c>
      <c r="G61" s="34">
        <v>247250.2</v>
      </c>
      <c r="H61" s="34"/>
      <c r="I61" s="34"/>
      <c r="J61" s="34">
        <v>433781.5</v>
      </c>
      <c r="K61" s="34"/>
      <c r="L61" s="34"/>
      <c r="M61" s="34">
        <f t="shared" si="1"/>
        <v>247250.2</v>
      </c>
      <c r="N61" s="34"/>
      <c r="O61" s="34"/>
    </row>
    <row r="62" spans="2:15" x14ac:dyDescent="0.25">
      <c r="C62" s="5" t="s">
        <v>22</v>
      </c>
      <c r="E62" s="40">
        <f>J62+K62+L62</f>
        <v>795881.56</v>
      </c>
      <c r="F62" s="40">
        <f>G62+H62+I62</f>
        <v>672893.15</v>
      </c>
      <c r="G62" s="34">
        <v>672893.15</v>
      </c>
      <c r="H62" s="34"/>
      <c r="I62" s="34"/>
      <c r="J62" s="34">
        <v>779079.56</v>
      </c>
      <c r="K62" s="34">
        <v>16802</v>
      </c>
      <c r="L62" s="34"/>
      <c r="M62" s="34">
        <f t="shared" si="1"/>
        <v>672893.15</v>
      </c>
      <c r="N62" s="34"/>
      <c r="O62" s="34"/>
    </row>
    <row r="63" spans="2:15" x14ac:dyDescent="0.25">
      <c r="C63" s="5" t="s">
        <v>23</v>
      </c>
      <c r="E63" s="40">
        <f>J63+K63+L63</f>
        <v>49189.32</v>
      </c>
      <c r="F63" s="40">
        <f>G63+H63+I63</f>
        <v>63699.75</v>
      </c>
      <c r="G63" s="34">
        <v>36465</v>
      </c>
      <c r="H63" s="34">
        <v>27234.75</v>
      </c>
      <c r="I63" s="34"/>
      <c r="J63" s="34">
        <v>27401.52</v>
      </c>
      <c r="K63" s="34">
        <v>21787.8</v>
      </c>
      <c r="L63" s="34"/>
      <c r="M63" s="34">
        <f t="shared" si="1"/>
        <v>63699.75</v>
      </c>
      <c r="N63" s="34"/>
      <c r="O63" s="34"/>
    </row>
    <row r="64" spans="2:15" s="39" customFormat="1" ht="13" x14ac:dyDescent="0.3">
      <c r="C64" s="39" t="s">
        <v>213</v>
      </c>
      <c r="E64" s="69">
        <f>SUM(E60:E63)</f>
        <v>2022521.3900000001</v>
      </c>
      <c r="F64" s="69">
        <f>SUM(F60:F63)</f>
        <v>1503821.2400000002</v>
      </c>
      <c r="G64" s="69">
        <f t="shared" ref="G64:L64" si="10">SUM(G59:G63)</f>
        <v>1476586.4900000002</v>
      </c>
      <c r="H64" s="69">
        <f t="shared" si="10"/>
        <v>27234.75</v>
      </c>
      <c r="I64" s="69">
        <f t="shared" si="10"/>
        <v>0</v>
      </c>
      <c r="J64" s="69">
        <f t="shared" si="10"/>
        <v>1983931.59</v>
      </c>
      <c r="K64" s="69">
        <f t="shared" si="10"/>
        <v>38589.800000000003</v>
      </c>
      <c r="L64" s="69">
        <f t="shared" si="10"/>
        <v>0</v>
      </c>
      <c r="M64" s="34">
        <f t="shared" si="1"/>
        <v>1503821.2400000002</v>
      </c>
      <c r="N64" s="34"/>
      <c r="O64" s="75"/>
    </row>
    <row r="65" spans="2:15" ht="13" x14ac:dyDescent="0.3">
      <c r="B65" s="39" t="s">
        <v>214</v>
      </c>
      <c r="E65" s="40"/>
      <c r="F65" s="40"/>
      <c r="G65" s="34"/>
      <c r="H65" s="34"/>
      <c r="I65" s="34"/>
      <c r="J65" s="34"/>
      <c r="K65" s="34"/>
      <c r="L65" s="34"/>
      <c r="M65" s="34">
        <f t="shared" si="1"/>
        <v>0</v>
      </c>
      <c r="N65" s="34"/>
      <c r="O65" s="34"/>
    </row>
    <row r="66" spans="2:15" x14ac:dyDescent="0.25">
      <c r="C66" s="5" t="s">
        <v>215</v>
      </c>
      <c r="E66" s="40">
        <f>G66+H66+I66</f>
        <v>0</v>
      </c>
      <c r="F66" s="40">
        <f>J66+K66+L66</f>
        <v>0</v>
      </c>
      <c r="G66" s="34"/>
      <c r="H66" s="34"/>
      <c r="I66" s="34"/>
      <c r="J66" s="34"/>
      <c r="K66" s="34"/>
      <c r="L66" s="34"/>
      <c r="M66" s="34">
        <f t="shared" si="1"/>
        <v>0</v>
      </c>
      <c r="N66" s="34"/>
      <c r="O66" s="34"/>
    </row>
    <row r="67" spans="2:15" x14ac:dyDescent="0.25">
      <c r="C67" s="5" t="s">
        <v>24</v>
      </c>
      <c r="E67" s="40">
        <f>J67+K67+L67</f>
        <v>46917.9</v>
      </c>
      <c r="F67" s="40">
        <f>G67+H67+I67</f>
        <v>105012.5</v>
      </c>
      <c r="G67" s="34">
        <v>105012.5</v>
      </c>
      <c r="H67" s="34"/>
      <c r="I67" s="34"/>
      <c r="J67" s="34">
        <v>46917.9</v>
      </c>
      <c r="K67" s="34"/>
      <c r="L67" s="34"/>
      <c r="M67" s="34">
        <f t="shared" si="1"/>
        <v>105012.5</v>
      </c>
      <c r="N67" s="34"/>
      <c r="O67" s="34"/>
    </row>
    <row r="68" spans="2:15" x14ac:dyDescent="0.25">
      <c r="C68" s="5" t="s">
        <v>25</v>
      </c>
      <c r="E68" s="40">
        <f>J68+K68+L68</f>
        <v>926848.12</v>
      </c>
      <c r="F68" s="40">
        <f>G68+H68+I68</f>
        <v>1102818.1200000001</v>
      </c>
      <c r="G68" s="34">
        <v>1102818.1200000001</v>
      </c>
      <c r="H68" s="34"/>
      <c r="I68" s="34"/>
      <c r="J68" s="34">
        <v>926848.12</v>
      </c>
      <c r="K68" s="34"/>
      <c r="L68" s="34"/>
      <c r="M68" s="34">
        <f t="shared" si="1"/>
        <v>1102818.1200000001</v>
      </c>
      <c r="N68" s="34"/>
      <c r="O68" s="34"/>
    </row>
    <row r="69" spans="2:15" ht="12" customHeight="1" x14ac:dyDescent="0.25">
      <c r="C69" s="5" t="s">
        <v>154</v>
      </c>
      <c r="E69" s="40">
        <f>J69+K69+L69</f>
        <v>83600.399999999994</v>
      </c>
      <c r="F69" s="40">
        <f>G69+H69+I69</f>
        <v>109400</v>
      </c>
      <c r="G69" s="34">
        <v>109400</v>
      </c>
      <c r="H69" s="34"/>
      <c r="I69" s="34"/>
      <c r="J69" s="34">
        <v>83600.399999999994</v>
      </c>
      <c r="K69" s="34"/>
      <c r="L69" s="34"/>
      <c r="M69" s="34">
        <f t="shared" si="1"/>
        <v>109400</v>
      </c>
      <c r="N69" s="34"/>
      <c r="O69" s="34"/>
    </row>
    <row r="70" spans="2:15" ht="12" customHeight="1" x14ac:dyDescent="0.25">
      <c r="C70" s="5" t="s">
        <v>424</v>
      </c>
      <c r="E70" s="40">
        <f>J70+K70+L70</f>
        <v>47280.800000000003</v>
      </c>
      <c r="F70" s="40">
        <f>G70+H70+I70</f>
        <v>78800</v>
      </c>
      <c r="G70" s="34">
        <v>78800</v>
      </c>
      <c r="H70" s="34"/>
      <c r="I70" s="34"/>
      <c r="J70" s="34">
        <v>47280.800000000003</v>
      </c>
      <c r="K70" s="34"/>
      <c r="L70" s="34"/>
      <c r="M70" s="34">
        <f t="shared" si="1"/>
        <v>78800</v>
      </c>
      <c r="N70" s="34"/>
      <c r="O70" s="34"/>
    </row>
    <row r="71" spans="2:15" x14ac:dyDescent="0.25">
      <c r="C71" s="5" t="s">
        <v>26</v>
      </c>
      <c r="E71" s="40">
        <f>J71+K71+L71</f>
        <v>0</v>
      </c>
      <c r="F71" s="40">
        <f>G71+H71+I71</f>
        <v>168924.86</v>
      </c>
      <c r="G71" s="34">
        <v>168924.86</v>
      </c>
      <c r="H71" s="34"/>
      <c r="I71" s="34"/>
      <c r="J71" s="34"/>
      <c r="K71" s="34"/>
      <c r="L71" s="34"/>
      <c r="M71" s="34">
        <f t="shared" si="1"/>
        <v>168924.86</v>
      </c>
      <c r="N71" s="34"/>
      <c r="O71" s="34"/>
    </row>
    <row r="72" spans="2:15" s="39" customFormat="1" ht="13" x14ac:dyDescent="0.3">
      <c r="C72" s="39" t="s">
        <v>216</v>
      </c>
      <c r="E72" s="69">
        <f t="shared" ref="E72:L72" si="11">SUM(E66:E71)</f>
        <v>1104647.22</v>
      </c>
      <c r="F72" s="69">
        <f t="shared" si="11"/>
        <v>1564955.48</v>
      </c>
      <c r="G72" s="69">
        <f t="shared" si="11"/>
        <v>1564955.48</v>
      </c>
      <c r="H72" s="69">
        <f t="shared" si="11"/>
        <v>0</v>
      </c>
      <c r="I72" s="69">
        <f t="shared" si="11"/>
        <v>0</v>
      </c>
      <c r="J72" s="69">
        <f t="shared" si="11"/>
        <v>1104647.22</v>
      </c>
      <c r="K72" s="69">
        <f t="shared" si="11"/>
        <v>0</v>
      </c>
      <c r="L72" s="69">
        <f t="shared" si="11"/>
        <v>0</v>
      </c>
      <c r="M72" s="34">
        <f t="shared" si="1"/>
        <v>1564955.48</v>
      </c>
      <c r="N72" s="34"/>
      <c r="O72" s="75"/>
    </row>
    <row r="73" spans="2:15" ht="13" x14ac:dyDescent="0.3">
      <c r="B73" s="39" t="s">
        <v>217</v>
      </c>
      <c r="E73" s="40">
        <f>G73+H73+I73</f>
        <v>0</v>
      </c>
      <c r="F73" s="40"/>
      <c r="G73" s="34"/>
      <c r="H73" s="34"/>
      <c r="I73" s="34"/>
      <c r="J73" s="34"/>
      <c r="K73" s="34"/>
      <c r="L73" s="34"/>
      <c r="M73" s="34">
        <f t="shared" si="1"/>
        <v>0</v>
      </c>
      <c r="N73" s="34"/>
      <c r="O73" s="34"/>
    </row>
    <row r="74" spans="2:15" x14ac:dyDescent="0.25">
      <c r="C74" s="5" t="s">
        <v>27</v>
      </c>
      <c r="E74" s="40">
        <f>J74+K74+L74</f>
        <v>9921265.5</v>
      </c>
      <c r="F74" s="40">
        <f>G74+H74+I74</f>
        <v>2314140.5099999998</v>
      </c>
      <c r="G74" s="34">
        <v>2314140.5099999998</v>
      </c>
      <c r="H74" s="34"/>
      <c r="I74" s="34"/>
      <c r="J74" s="34">
        <v>9921265.5</v>
      </c>
      <c r="K74" s="34"/>
      <c r="L74" s="34"/>
      <c r="M74" s="34">
        <f t="shared" si="1"/>
        <v>2314140.5099999998</v>
      </c>
      <c r="N74" s="34"/>
      <c r="O74" s="34"/>
    </row>
    <row r="75" spans="2:15" x14ac:dyDescent="0.25">
      <c r="C75" s="5" t="s">
        <v>28</v>
      </c>
      <c r="E75" s="40">
        <f>J75+K75+L75</f>
        <v>129034.86</v>
      </c>
      <c r="F75" s="40">
        <f>G75+H75+I75</f>
        <v>0</v>
      </c>
      <c r="G75" s="34">
        <v>0</v>
      </c>
      <c r="H75" s="34"/>
      <c r="I75" s="34"/>
      <c r="J75" s="34">
        <v>129034.86</v>
      </c>
      <c r="K75" s="34"/>
      <c r="L75" s="34"/>
      <c r="M75" s="34">
        <f t="shared" si="1"/>
        <v>0</v>
      </c>
      <c r="N75" s="34"/>
      <c r="O75" s="34"/>
    </row>
    <row r="76" spans="2:15" s="39" customFormat="1" ht="13" x14ac:dyDescent="0.3">
      <c r="C76" s="39" t="s">
        <v>411</v>
      </c>
      <c r="E76" s="69">
        <f>SUM(E74:E75)</f>
        <v>10050300.359999999</v>
      </c>
      <c r="F76" s="69">
        <f>SUM(F74:F75)</f>
        <v>2314140.5099999998</v>
      </c>
      <c r="G76" s="69">
        <f t="shared" ref="G76:L76" si="12">SUM(G73:G75)</f>
        <v>2314140.5099999998</v>
      </c>
      <c r="H76" s="69">
        <f t="shared" si="12"/>
        <v>0</v>
      </c>
      <c r="I76" s="69">
        <f t="shared" si="12"/>
        <v>0</v>
      </c>
      <c r="J76" s="69">
        <f t="shared" si="12"/>
        <v>10050300.359999999</v>
      </c>
      <c r="K76" s="69">
        <f t="shared" si="12"/>
        <v>0</v>
      </c>
      <c r="L76" s="69">
        <f t="shared" si="12"/>
        <v>0</v>
      </c>
      <c r="M76" s="34">
        <f t="shared" si="1"/>
        <v>2314140.5099999998</v>
      </c>
      <c r="N76" s="34"/>
      <c r="O76" s="75"/>
    </row>
    <row r="77" spans="2:15" ht="13" x14ac:dyDescent="0.3">
      <c r="B77" s="39" t="s">
        <v>218</v>
      </c>
      <c r="E77" s="40">
        <f>G77+H77+I77</f>
        <v>0</v>
      </c>
      <c r="F77" s="40"/>
      <c r="G77" s="34"/>
      <c r="H77" s="34"/>
      <c r="I77" s="34"/>
      <c r="J77" s="34"/>
      <c r="K77" s="34"/>
      <c r="L77" s="34"/>
      <c r="M77" s="34">
        <f t="shared" si="1"/>
        <v>0</v>
      </c>
      <c r="N77" s="34"/>
      <c r="O77" s="34"/>
    </row>
    <row r="78" spans="2:15" x14ac:dyDescent="0.25">
      <c r="C78" s="5" t="s">
        <v>219</v>
      </c>
      <c r="E78" s="40">
        <f>J78+K78+L78</f>
        <v>0</v>
      </c>
      <c r="F78" s="40">
        <f>J78+K78+L78</f>
        <v>0</v>
      </c>
      <c r="G78" s="34"/>
      <c r="H78" s="34"/>
      <c r="I78" s="34"/>
      <c r="J78" s="34"/>
      <c r="K78" s="34"/>
      <c r="L78" s="34"/>
      <c r="M78" s="34">
        <f t="shared" si="1"/>
        <v>0</v>
      </c>
      <c r="N78" s="34"/>
      <c r="O78" s="34"/>
    </row>
    <row r="79" spans="2:15" s="39" customFormat="1" ht="13" x14ac:dyDescent="0.3">
      <c r="C79" s="39" t="s">
        <v>220</v>
      </c>
      <c r="E79" s="69">
        <f>G79+H79+I79</f>
        <v>0</v>
      </c>
      <c r="F79" s="69">
        <f>J79+K79+L79</f>
        <v>0</v>
      </c>
      <c r="G79" s="75">
        <f t="shared" ref="G79:L79" si="13">SUM(G77:G78)</f>
        <v>0</v>
      </c>
      <c r="H79" s="75">
        <f t="shared" si="13"/>
        <v>0</v>
      </c>
      <c r="I79" s="75">
        <f t="shared" si="13"/>
        <v>0</v>
      </c>
      <c r="J79" s="75">
        <f t="shared" si="13"/>
        <v>0</v>
      </c>
      <c r="K79" s="75">
        <f t="shared" si="13"/>
        <v>0</v>
      </c>
      <c r="L79" s="75">
        <f t="shared" si="13"/>
        <v>0</v>
      </c>
      <c r="M79" s="34">
        <f t="shared" ref="M79:M136" si="14">SUM(G79:I79)</f>
        <v>0</v>
      </c>
      <c r="N79" s="34"/>
      <c r="O79" s="75"/>
    </row>
    <row r="80" spans="2:15" ht="13" x14ac:dyDescent="0.3">
      <c r="B80" s="39" t="s">
        <v>221</v>
      </c>
      <c r="E80" s="40">
        <f>G80+H80+I80</f>
        <v>0</v>
      </c>
      <c r="F80" s="40"/>
      <c r="G80" s="34"/>
      <c r="H80" s="34"/>
      <c r="I80" s="34"/>
      <c r="J80" s="34"/>
      <c r="K80" s="34"/>
      <c r="L80" s="34"/>
      <c r="M80" s="34">
        <f t="shared" si="14"/>
        <v>0</v>
      </c>
      <c r="N80" s="34"/>
      <c r="O80" s="34"/>
    </row>
    <row r="81" spans="1:15" x14ac:dyDescent="0.25">
      <c r="C81" s="5" t="s">
        <v>222</v>
      </c>
      <c r="E81" s="40">
        <f>G81+H81+I81</f>
        <v>0</v>
      </c>
      <c r="F81" s="40">
        <f>J81+K81+L81</f>
        <v>0</v>
      </c>
      <c r="G81" s="34"/>
      <c r="H81" s="34"/>
      <c r="I81" s="34"/>
      <c r="J81" s="34"/>
      <c r="K81" s="34"/>
      <c r="L81" s="34"/>
      <c r="M81" s="34">
        <f t="shared" si="14"/>
        <v>0</v>
      </c>
      <c r="N81" s="34"/>
      <c r="O81" s="34"/>
    </row>
    <row r="82" spans="1:15" x14ac:dyDescent="0.25">
      <c r="C82" s="5" t="s">
        <v>150</v>
      </c>
      <c r="E82" s="40">
        <f>J82+K82+L82</f>
        <v>11552030</v>
      </c>
      <c r="F82" s="40">
        <f>G82+H82+I82</f>
        <v>11552030</v>
      </c>
      <c r="G82" s="34">
        <v>11552030</v>
      </c>
      <c r="H82" s="34"/>
      <c r="I82" s="34"/>
      <c r="J82" s="34">
        <v>11552030</v>
      </c>
      <c r="K82" s="34"/>
      <c r="L82" s="34"/>
      <c r="M82" s="34">
        <f t="shared" si="14"/>
        <v>11552030</v>
      </c>
      <c r="N82" s="34"/>
      <c r="O82" s="34"/>
    </row>
    <row r="83" spans="1:15" x14ac:dyDescent="0.25">
      <c r="C83" s="5" t="s">
        <v>223</v>
      </c>
      <c r="E83" s="40">
        <f>G83+H83+I83</f>
        <v>0</v>
      </c>
      <c r="F83" s="40">
        <f>J83+K83+L83</f>
        <v>0</v>
      </c>
      <c r="G83" s="34"/>
      <c r="H83" s="34"/>
      <c r="I83" s="34"/>
      <c r="J83" s="34"/>
      <c r="K83" s="34"/>
      <c r="L83" s="34"/>
      <c r="M83" s="34">
        <f t="shared" si="14"/>
        <v>0</v>
      </c>
      <c r="N83" s="34"/>
      <c r="O83" s="34"/>
    </row>
    <row r="84" spans="1:15" s="39" customFormat="1" ht="13" x14ac:dyDescent="0.3">
      <c r="B84" s="39" t="s">
        <v>422</v>
      </c>
      <c r="E84" s="75">
        <f t="shared" ref="E84:L84" si="15">SUM(E81:E83)</f>
        <v>11552030</v>
      </c>
      <c r="F84" s="75">
        <f t="shared" si="15"/>
        <v>11552030</v>
      </c>
      <c r="G84" s="75">
        <f t="shared" si="15"/>
        <v>11552030</v>
      </c>
      <c r="H84" s="75">
        <f t="shared" si="15"/>
        <v>0</v>
      </c>
      <c r="I84" s="75">
        <f t="shared" si="15"/>
        <v>0</v>
      </c>
      <c r="J84" s="75">
        <f t="shared" si="15"/>
        <v>11552030</v>
      </c>
      <c r="K84" s="75">
        <f t="shared" si="15"/>
        <v>0</v>
      </c>
      <c r="L84" s="75">
        <f t="shared" si="15"/>
        <v>0</v>
      </c>
      <c r="M84" s="34">
        <f t="shared" si="14"/>
        <v>11552030</v>
      </c>
      <c r="N84" s="34"/>
      <c r="O84" s="75"/>
    </row>
    <row r="85" spans="1:15" ht="13" x14ac:dyDescent="0.3">
      <c r="B85" s="39" t="s">
        <v>224</v>
      </c>
      <c r="E85" s="40">
        <f>G85+H85+I85</f>
        <v>0</v>
      </c>
      <c r="F85" s="40"/>
      <c r="G85" s="34"/>
      <c r="H85" s="34"/>
      <c r="I85" s="34"/>
      <c r="J85" s="34"/>
      <c r="K85" s="34"/>
      <c r="L85" s="34"/>
      <c r="M85" s="34">
        <f t="shared" si="14"/>
        <v>0</v>
      </c>
      <c r="N85" s="34"/>
      <c r="O85" s="34"/>
    </row>
    <row r="86" spans="1:15" x14ac:dyDescent="0.25">
      <c r="C86" s="5" t="s">
        <v>29</v>
      </c>
      <c r="E86" s="40">
        <f>J86+K86+L86</f>
        <v>3071469.97</v>
      </c>
      <c r="F86" s="40">
        <f>G86+H86+I86</f>
        <v>2513594.9700000002</v>
      </c>
      <c r="G86" s="34">
        <v>2513594.9700000002</v>
      </c>
      <c r="H86" s="34"/>
      <c r="I86" s="34"/>
      <c r="J86" s="34">
        <v>3071469.97</v>
      </c>
      <c r="K86" s="34"/>
      <c r="L86" s="34"/>
      <c r="M86" s="34">
        <f t="shared" si="14"/>
        <v>2513594.9700000002</v>
      </c>
      <c r="N86" s="34"/>
      <c r="O86" s="34"/>
    </row>
    <row r="87" spans="1:15" x14ac:dyDescent="0.25">
      <c r="C87" s="5" t="s">
        <v>142</v>
      </c>
      <c r="E87" s="40">
        <f>J87+K87+L87</f>
        <v>0</v>
      </c>
      <c r="F87" s="40">
        <f>G87+H87+I87</f>
        <v>0</v>
      </c>
      <c r="G87" s="34"/>
      <c r="H87" s="34"/>
      <c r="I87" s="34"/>
      <c r="J87" s="34"/>
      <c r="K87" s="34"/>
      <c r="L87" s="34">
        <v>0</v>
      </c>
      <c r="M87" s="34">
        <f t="shared" si="14"/>
        <v>0</v>
      </c>
      <c r="N87" s="34"/>
      <c r="O87" s="34"/>
    </row>
    <row r="88" spans="1:15" s="39" customFormat="1" ht="13" x14ac:dyDescent="0.3">
      <c r="C88" s="39" t="s">
        <v>225</v>
      </c>
      <c r="E88" s="69">
        <f>SUM(E86:E87)</f>
        <v>3071469.97</v>
      </c>
      <c r="F88" s="69">
        <f>SUM(F86:F87)</f>
        <v>2513594.9700000002</v>
      </c>
      <c r="G88" s="69">
        <f t="shared" ref="G88:L88" si="16">SUM(G85:G87)</f>
        <v>2513594.9700000002</v>
      </c>
      <c r="H88" s="69">
        <f t="shared" si="16"/>
        <v>0</v>
      </c>
      <c r="I88" s="69">
        <f t="shared" si="16"/>
        <v>0</v>
      </c>
      <c r="J88" s="69">
        <f t="shared" si="16"/>
        <v>3071469.97</v>
      </c>
      <c r="K88" s="69">
        <f t="shared" si="16"/>
        <v>0</v>
      </c>
      <c r="L88" s="69">
        <f t="shared" si="16"/>
        <v>0</v>
      </c>
      <c r="M88" s="34">
        <f t="shared" si="14"/>
        <v>2513594.9700000002</v>
      </c>
      <c r="N88" s="34"/>
      <c r="O88" s="75"/>
    </row>
    <row r="89" spans="1:15" s="39" customFormat="1" ht="13" x14ac:dyDescent="0.3">
      <c r="B89" s="39" t="s">
        <v>421</v>
      </c>
      <c r="E89" s="80">
        <f>J89+K89+L89</f>
        <v>42141249.809999995</v>
      </c>
      <c r="F89" s="80">
        <f>F51+F58+F64+F72+F76+F79+F84+F88</f>
        <v>34444155.640000001</v>
      </c>
      <c r="G89" s="80">
        <f t="shared" ref="G89:L89" si="17">G88+G84+G76+G72+G64+G58+G51</f>
        <v>34416920.890000001</v>
      </c>
      <c r="H89" s="80">
        <f t="shared" si="17"/>
        <v>27234.75</v>
      </c>
      <c r="I89" s="80">
        <f t="shared" si="17"/>
        <v>0</v>
      </c>
      <c r="J89" s="80">
        <f t="shared" si="17"/>
        <v>42102660.009999998</v>
      </c>
      <c r="K89" s="80">
        <f t="shared" si="17"/>
        <v>38589.800000000003</v>
      </c>
      <c r="L89" s="80">
        <f t="shared" si="17"/>
        <v>0</v>
      </c>
      <c r="M89" s="34">
        <f t="shared" si="14"/>
        <v>34444155.640000001</v>
      </c>
      <c r="N89" s="34"/>
      <c r="O89" s="75"/>
    </row>
    <row r="90" spans="1:15" ht="13" x14ac:dyDescent="0.3">
      <c r="A90" s="39" t="s">
        <v>226</v>
      </c>
      <c r="E90" s="40"/>
      <c r="F90" s="40"/>
      <c r="G90" s="34"/>
      <c r="H90" s="34"/>
      <c r="I90" s="34"/>
      <c r="J90" s="34"/>
      <c r="K90" s="34"/>
      <c r="L90" s="34"/>
      <c r="M90" s="34">
        <f t="shared" si="14"/>
        <v>0</v>
      </c>
      <c r="N90" s="34"/>
      <c r="O90" s="34"/>
    </row>
    <row r="91" spans="1:15" x14ac:dyDescent="0.25">
      <c r="C91" s="5" t="s">
        <v>30</v>
      </c>
      <c r="E91" s="40">
        <f>J91+K91+L91</f>
        <v>0</v>
      </c>
      <c r="F91" s="40">
        <f>J91+K91+L91</f>
        <v>0</v>
      </c>
      <c r="G91" s="34"/>
      <c r="H91" s="34"/>
      <c r="I91" s="34"/>
      <c r="J91" s="34">
        <v>0</v>
      </c>
      <c r="K91" s="34"/>
      <c r="L91" s="34"/>
      <c r="M91" s="34">
        <f t="shared" si="14"/>
        <v>0</v>
      </c>
      <c r="N91" s="34"/>
      <c r="O91" s="34"/>
    </row>
    <row r="92" spans="1:15" x14ac:dyDescent="0.25">
      <c r="C92" s="5" t="s">
        <v>145</v>
      </c>
      <c r="E92" s="40">
        <f>J92+K92+L92</f>
        <v>474648.43</v>
      </c>
      <c r="F92" s="40">
        <f>G92+H92+I92</f>
        <v>449648.43</v>
      </c>
      <c r="G92" s="34">
        <v>449648.43</v>
      </c>
      <c r="H92" s="34"/>
      <c r="I92" s="34"/>
      <c r="J92" s="34">
        <f>449648.43+25000</f>
        <v>474648.43</v>
      </c>
      <c r="K92" s="34"/>
      <c r="L92" s="34"/>
      <c r="M92" s="34">
        <f t="shared" si="14"/>
        <v>449648.43</v>
      </c>
      <c r="N92" s="34"/>
      <c r="O92" s="34"/>
    </row>
    <row r="93" spans="1:15" s="39" customFormat="1" ht="13" x14ac:dyDescent="0.3">
      <c r="C93" s="39" t="s">
        <v>227</v>
      </c>
      <c r="E93" s="49">
        <f t="shared" ref="E93:L93" si="18">SUM(E91:E92)</f>
        <v>474648.43</v>
      </c>
      <c r="F93" s="49">
        <f t="shared" si="18"/>
        <v>449648.43</v>
      </c>
      <c r="G93" s="49">
        <f t="shared" si="18"/>
        <v>449648.43</v>
      </c>
      <c r="H93" s="49">
        <f t="shared" si="18"/>
        <v>0</v>
      </c>
      <c r="I93" s="49">
        <f t="shared" si="18"/>
        <v>0</v>
      </c>
      <c r="J93" s="49">
        <f t="shared" si="18"/>
        <v>474648.43</v>
      </c>
      <c r="K93" s="49">
        <f t="shared" si="18"/>
        <v>0</v>
      </c>
      <c r="L93" s="49">
        <f t="shared" si="18"/>
        <v>0</v>
      </c>
      <c r="M93" s="34">
        <f t="shared" si="14"/>
        <v>449648.43</v>
      </c>
      <c r="N93" s="34"/>
      <c r="O93" s="75"/>
    </row>
    <row r="94" spans="1:15" s="39" customFormat="1" ht="13" x14ac:dyDescent="0.3">
      <c r="A94" s="39" t="s">
        <v>484</v>
      </c>
      <c r="E94" s="69">
        <f>E93+E89+E45</f>
        <v>93665392.629999995</v>
      </c>
      <c r="F94" s="69">
        <f>F45+F89+F93</f>
        <v>79064508.330000013</v>
      </c>
      <c r="G94" s="69">
        <f t="shared" ref="G94:L94" si="19">G93+G89+G45</f>
        <v>78834788.939999998</v>
      </c>
      <c r="H94" s="69">
        <f t="shared" si="19"/>
        <v>29740.19</v>
      </c>
      <c r="I94" s="69">
        <f t="shared" si="19"/>
        <v>313164.38</v>
      </c>
      <c r="J94" s="69">
        <f t="shared" si="19"/>
        <v>82816123.819999993</v>
      </c>
      <c r="K94" s="69">
        <f t="shared" si="19"/>
        <v>241395.56</v>
      </c>
      <c r="L94" s="69">
        <f t="shared" si="19"/>
        <v>10607873.25</v>
      </c>
      <c r="M94" s="34">
        <f t="shared" si="14"/>
        <v>79177693.50999999</v>
      </c>
      <c r="N94" s="34"/>
      <c r="O94" s="75"/>
    </row>
    <row r="95" spans="1:15" ht="13" x14ac:dyDescent="0.3">
      <c r="A95" s="343" t="s">
        <v>228</v>
      </c>
      <c r="B95" s="343"/>
      <c r="C95" s="343"/>
      <c r="D95" s="343"/>
      <c r="E95" s="40"/>
      <c r="F95" s="40"/>
      <c r="G95" s="34"/>
      <c r="H95" s="34"/>
      <c r="I95" s="34"/>
      <c r="J95" s="34"/>
      <c r="K95" s="34"/>
      <c r="L95" s="34"/>
      <c r="M95" s="34">
        <f t="shared" si="14"/>
        <v>0</v>
      </c>
      <c r="N95" s="34"/>
      <c r="O95" s="34"/>
    </row>
    <row r="96" spans="1:15" ht="13" x14ac:dyDescent="0.3">
      <c r="A96" s="39" t="s">
        <v>229</v>
      </c>
      <c r="E96" s="40"/>
      <c r="F96" s="40"/>
      <c r="G96" s="34"/>
      <c r="H96" s="34"/>
      <c r="I96" s="34"/>
      <c r="J96" s="34"/>
      <c r="K96" s="34"/>
      <c r="L96" s="34"/>
      <c r="M96" s="34">
        <f t="shared" si="14"/>
        <v>0</v>
      </c>
      <c r="N96" s="34"/>
      <c r="O96" s="34"/>
    </row>
    <row r="97" spans="2:15" ht="13" x14ac:dyDescent="0.3">
      <c r="B97" s="39" t="s">
        <v>230</v>
      </c>
      <c r="E97" s="40"/>
      <c r="F97" s="40"/>
      <c r="G97" s="34"/>
      <c r="H97" s="34"/>
      <c r="I97" s="34"/>
      <c r="J97" s="34"/>
      <c r="K97" s="34"/>
      <c r="L97" s="34"/>
      <c r="M97" s="34">
        <f t="shared" si="14"/>
        <v>0</v>
      </c>
      <c r="N97" s="34"/>
      <c r="O97" s="34"/>
    </row>
    <row r="98" spans="2:15" x14ac:dyDescent="0.25">
      <c r="D98" s="5" t="s">
        <v>31</v>
      </c>
      <c r="E98" s="40">
        <f>J98+K98+L98</f>
        <v>422844.73</v>
      </c>
      <c r="F98" s="40">
        <f t="shared" ref="F98:F109" si="20">G98+H98+I98</f>
        <v>536503.52</v>
      </c>
      <c r="G98" s="34">
        <v>536503.52</v>
      </c>
      <c r="H98" s="34"/>
      <c r="I98" s="34"/>
      <c r="J98" s="34">
        <v>396989.73</v>
      </c>
      <c r="K98" s="34">
        <v>25855</v>
      </c>
      <c r="L98" s="34"/>
      <c r="M98" s="34">
        <f t="shared" si="14"/>
        <v>536503.52</v>
      </c>
      <c r="N98" s="34"/>
      <c r="O98" s="34"/>
    </row>
    <row r="99" spans="2:15" x14ac:dyDescent="0.25">
      <c r="D99" s="5" t="s">
        <v>231</v>
      </c>
      <c r="E99" s="40">
        <f>J99+K99+L99</f>
        <v>0</v>
      </c>
      <c r="F99" s="40">
        <f t="shared" si="20"/>
        <v>0</v>
      </c>
      <c r="G99" s="34"/>
      <c r="H99" s="34"/>
      <c r="I99" s="34"/>
      <c r="J99" s="34"/>
      <c r="K99" s="34"/>
      <c r="L99" s="34"/>
      <c r="M99" s="34">
        <f t="shared" si="14"/>
        <v>0</v>
      </c>
      <c r="N99" s="34"/>
      <c r="O99" s="34"/>
    </row>
    <row r="100" spans="2:15" x14ac:dyDescent="0.25">
      <c r="D100" s="5" t="s">
        <v>232</v>
      </c>
      <c r="E100" s="40">
        <f>J100+K100+L100</f>
        <v>0</v>
      </c>
      <c r="F100" s="40">
        <f t="shared" si="20"/>
        <v>0</v>
      </c>
      <c r="G100" s="34"/>
      <c r="H100" s="34"/>
      <c r="I100" s="34"/>
      <c r="J100" s="34"/>
      <c r="K100" s="34"/>
      <c r="L100" s="34"/>
      <c r="M100" s="34">
        <f t="shared" si="14"/>
        <v>0</v>
      </c>
      <c r="N100" s="34"/>
      <c r="O100" s="34"/>
    </row>
    <row r="101" spans="2:15" x14ac:dyDescent="0.25">
      <c r="B101" s="5" t="s">
        <v>233</v>
      </c>
      <c r="E101" s="40"/>
      <c r="F101" s="40">
        <f t="shared" si="20"/>
        <v>0</v>
      </c>
      <c r="G101" s="34"/>
      <c r="H101" s="34"/>
      <c r="I101" s="34"/>
      <c r="J101" s="34"/>
      <c r="K101" s="34"/>
      <c r="L101" s="34"/>
      <c r="M101" s="34">
        <f t="shared" si="14"/>
        <v>0</v>
      </c>
      <c r="N101" s="34"/>
      <c r="O101" s="34"/>
    </row>
    <row r="102" spans="2:15" ht="12" customHeight="1" x14ac:dyDescent="0.25">
      <c r="D102" s="5" t="s">
        <v>32</v>
      </c>
      <c r="E102" s="40">
        <f t="shared" ref="E102:E108" si="21">J102+K102+L102</f>
        <v>6776.53</v>
      </c>
      <c r="F102" s="40">
        <f t="shared" si="20"/>
        <v>6776.53</v>
      </c>
      <c r="G102" s="34">
        <v>6776.53</v>
      </c>
      <c r="H102" s="34"/>
      <c r="I102" s="34"/>
      <c r="J102" s="34">
        <v>6776.53</v>
      </c>
      <c r="K102" s="34"/>
      <c r="L102" s="34"/>
      <c r="M102" s="34">
        <f t="shared" si="14"/>
        <v>6776.53</v>
      </c>
      <c r="N102" s="34"/>
      <c r="O102" s="34"/>
    </row>
    <row r="103" spans="2:15" x14ac:dyDescent="0.25">
      <c r="D103" s="5" t="s">
        <v>33</v>
      </c>
      <c r="E103" s="40">
        <f t="shared" si="21"/>
        <v>430819.15</v>
      </c>
      <c r="F103" s="40">
        <f t="shared" si="20"/>
        <v>191647.77000000002</v>
      </c>
      <c r="G103" s="34">
        <v>183573.12</v>
      </c>
      <c r="H103" s="34">
        <v>4210.7</v>
      </c>
      <c r="I103" s="34">
        <v>3863.95</v>
      </c>
      <c r="J103" s="34">
        <v>312358.65000000002</v>
      </c>
      <c r="K103" s="34">
        <v>6122.02</v>
      </c>
      <c r="L103" s="34">
        <v>112338.48</v>
      </c>
      <c r="M103" s="34">
        <f t="shared" si="14"/>
        <v>191647.77000000002</v>
      </c>
      <c r="N103" s="34"/>
      <c r="O103" s="34"/>
    </row>
    <row r="104" spans="2:15" x14ac:dyDescent="0.25">
      <c r="D104" s="5" t="s">
        <v>34</v>
      </c>
      <c r="E104" s="40">
        <f t="shared" si="21"/>
        <v>121620.12</v>
      </c>
      <c r="F104" s="40">
        <f t="shared" si="20"/>
        <v>143793.45000000001</v>
      </c>
      <c r="G104" s="34">
        <v>120008.16</v>
      </c>
      <c r="H104" s="34">
        <v>23785.29</v>
      </c>
      <c r="I104" s="34"/>
      <c r="J104" s="34">
        <v>97834.83</v>
      </c>
      <c r="K104" s="34">
        <v>23785.29</v>
      </c>
      <c r="L104" s="34"/>
      <c r="M104" s="34">
        <f t="shared" si="14"/>
        <v>143793.45000000001</v>
      </c>
      <c r="N104" s="34"/>
      <c r="O104" s="34"/>
    </row>
    <row r="105" spans="2:15" x14ac:dyDescent="0.25">
      <c r="D105" s="5" t="s">
        <v>35</v>
      </c>
      <c r="E105" s="40">
        <f t="shared" si="21"/>
        <v>96101.49</v>
      </c>
      <c r="F105" s="40">
        <f t="shared" si="20"/>
        <v>13433.329999999998</v>
      </c>
      <c r="G105" s="34">
        <v>4845.8599999999997</v>
      </c>
      <c r="H105" s="34">
        <v>8587.4699999999993</v>
      </c>
      <c r="I105" s="34"/>
      <c r="J105" s="34">
        <v>87514.02</v>
      </c>
      <c r="K105" s="34">
        <v>8587.4699999999993</v>
      </c>
      <c r="L105" s="34"/>
      <c r="M105" s="34">
        <f t="shared" si="14"/>
        <v>13433.329999999998</v>
      </c>
      <c r="N105" s="34"/>
      <c r="O105" s="34"/>
    </row>
    <row r="106" spans="2:15" x14ac:dyDescent="0.25">
      <c r="D106" s="5" t="s">
        <v>36</v>
      </c>
      <c r="E106" s="40">
        <f t="shared" si="21"/>
        <v>8741.25</v>
      </c>
      <c r="F106" s="40">
        <f t="shared" si="20"/>
        <v>8010</v>
      </c>
      <c r="G106" s="34">
        <v>7910</v>
      </c>
      <c r="H106" s="34">
        <v>100</v>
      </c>
      <c r="I106" s="34"/>
      <c r="J106" s="34">
        <v>8641.25</v>
      </c>
      <c r="K106" s="34">
        <v>100</v>
      </c>
      <c r="L106" s="34"/>
      <c r="M106" s="34">
        <f t="shared" si="14"/>
        <v>8010</v>
      </c>
      <c r="N106" s="34"/>
      <c r="O106" s="34"/>
    </row>
    <row r="107" spans="2:15" x14ac:dyDescent="0.25">
      <c r="D107" s="5" t="s">
        <v>37</v>
      </c>
      <c r="E107" s="40">
        <f t="shared" si="21"/>
        <v>2628276.0499999998</v>
      </c>
      <c r="F107" s="40">
        <f t="shared" si="20"/>
        <v>66420.23</v>
      </c>
      <c r="G107" s="34"/>
      <c r="H107" s="34"/>
      <c r="I107" s="34">
        <v>66420.23</v>
      </c>
      <c r="J107" s="34">
        <v>1200000</v>
      </c>
      <c r="K107" s="34">
        <v>0</v>
      </c>
      <c r="L107" s="34">
        <v>1428276.05</v>
      </c>
      <c r="M107" s="34">
        <f t="shared" si="14"/>
        <v>66420.23</v>
      </c>
      <c r="N107" s="34"/>
      <c r="O107" s="34"/>
    </row>
    <row r="108" spans="2:15" x14ac:dyDescent="0.25">
      <c r="D108" s="5" t="s">
        <v>38</v>
      </c>
      <c r="E108" s="40">
        <f t="shared" si="21"/>
        <v>9592183.8200000003</v>
      </c>
      <c r="F108" s="40">
        <f t="shared" si="20"/>
        <v>6578140.6499999994</v>
      </c>
      <c r="G108" s="34">
        <v>6279941.3399999999</v>
      </c>
      <c r="H108" s="34"/>
      <c r="I108" s="34">
        <v>298199.31</v>
      </c>
      <c r="J108" s="34">
        <v>949745.8</v>
      </c>
      <c r="K108" s="34">
        <v>0</v>
      </c>
      <c r="L108" s="34">
        <v>8642438.0199999996</v>
      </c>
      <c r="M108" s="34">
        <f t="shared" si="14"/>
        <v>6578140.6499999994</v>
      </c>
      <c r="N108" s="34"/>
      <c r="O108" s="34"/>
    </row>
    <row r="109" spans="2:15" x14ac:dyDescent="0.25">
      <c r="B109" s="5" t="s">
        <v>234</v>
      </c>
      <c r="E109" s="40"/>
      <c r="F109" s="40">
        <f t="shared" si="20"/>
        <v>0</v>
      </c>
      <c r="G109" s="34"/>
      <c r="H109" s="34"/>
      <c r="I109" s="34"/>
      <c r="J109" s="34"/>
      <c r="K109" s="34"/>
      <c r="L109" s="34"/>
      <c r="M109" s="34">
        <f t="shared" si="14"/>
        <v>0</v>
      </c>
      <c r="N109" s="34"/>
      <c r="O109" s="34"/>
    </row>
    <row r="110" spans="2:15" x14ac:dyDescent="0.25">
      <c r="D110" s="5" t="s">
        <v>152</v>
      </c>
      <c r="E110" s="40">
        <f>J110+K110+L110</f>
        <v>424820.7</v>
      </c>
      <c r="F110" s="40">
        <f>G110+H110+I110</f>
        <v>13823.7</v>
      </c>
      <c r="G110" s="34"/>
      <c r="H110" s="34"/>
      <c r="I110" s="34">
        <v>13823.7</v>
      </c>
      <c r="J110" s="34"/>
      <c r="K110" s="34">
        <v>0</v>
      </c>
      <c r="L110" s="34">
        <v>424820.7</v>
      </c>
      <c r="M110" s="34">
        <f t="shared" si="14"/>
        <v>13823.7</v>
      </c>
      <c r="N110" s="34"/>
      <c r="O110" s="34"/>
    </row>
    <row r="111" spans="2:15" x14ac:dyDescent="0.25">
      <c r="B111" s="5" t="s">
        <v>235</v>
      </c>
      <c r="E111" s="40"/>
      <c r="F111" s="40">
        <f>G111+H111+I111</f>
        <v>0</v>
      </c>
      <c r="G111" s="34"/>
      <c r="H111" s="34"/>
      <c r="I111" s="34"/>
      <c r="J111" s="34"/>
      <c r="K111" s="34"/>
      <c r="L111" s="34"/>
      <c r="M111" s="34">
        <f t="shared" si="14"/>
        <v>0</v>
      </c>
      <c r="N111" s="34"/>
      <c r="O111" s="34"/>
    </row>
    <row r="112" spans="2:15" x14ac:dyDescent="0.25">
      <c r="D112" s="5" t="s">
        <v>39</v>
      </c>
      <c r="E112" s="40">
        <f>J112+K112+L112</f>
        <v>62525.1</v>
      </c>
      <c r="F112" s="40">
        <f>G112+H112+I112</f>
        <v>23796.720000000001</v>
      </c>
      <c r="G112" s="34">
        <v>23796.720000000001</v>
      </c>
      <c r="H112" s="34"/>
      <c r="I112" s="34"/>
      <c r="J112" s="34">
        <v>62447.07</v>
      </c>
      <c r="K112" s="34">
        <v>78.03</v>
      </c>
      <c r="L112" s="34"/>
      <c r="M112" s="34">
        <f t="shared" si="14"/>
        <v>23796.720000000001</v>
      </c>
      <c r="N112" s="34"/>
      <c r="O112" s="34"/>
    </row>
    <row r="113" spans="1:15" s="39" customFormat="1" ht="13" x14ac:dyDescent="0.3">
      <c r="B113" s="39" t="s">
        <v>236</v>
      </c>
      <c r="E113" s="49">
        <f>SUM(J113:L113)</f>
        <v>13794708.939999998</v>
      </c>
      <c r="F113" s="49">
        <f>SUM(F98:F112)</f>
        <v>7582345.8999999994</v>
      </c>
      <c r="G113" s="49">
        <f t="shared" ref="G113:L113" si="22">SUM(G96:G112)</f>
        <v>7163355.25</v>
      </c>
      <c r="H113" s="49">
        <f t="shared" si="22"/>
        <v>36683.46</v>
      </c>
      <c r="I113" s="49">
        <f t="shared" si="22"/>
        <v>382307.19</v>
      </c>
      <c r="J113" s="49">
        <f t="shared" si="22"/>
        <v>3122307.8799999994</v>
      </c>
      <c r="K113" s="49">
        <f t="shared" si="22"/>
        <v>64527.81</v>
      </c>
      <c r="L113" s="49">
        <f t="shared" si="22"/>
        <v>10607873.249999998</v>
      </c>
      <c r="M113" s="34">
        <f t="shared" si="14"/>
        <v>7582345.9000000004</v>
      </c>
      <c r="N113" s="34"/>
      <c r="O113" s="75"/>
    </row>
    <row r="114" spans="1:15" ht="13" x14ac:dyDescent="0.3">
      <c r="A114" s="39" t="s">
        <v>237</v>
      </c>
      <c r="E114" s="40"/>
      <c r="F114" s="40"/>
      <c r="G114" s="34"/>
      <c r="H114" s="34"/>
      <c r="I114" s="34"/>
      <c r="J114" s="34"/>
      <c r="K114" s="34"/>
      <c r="L114" s="34"/>
      <c r="M114" s="34">
        <f t="shared" si="14"/>
        <v>0</v>
      </c>
      <c r="N114" s="34"/>
      <c r="O114" s="34"/>
    </row>
    <row r="115" spans="1:15" x14ac:dyDescent="0.25">
      <c r="B115" s="5" t="s">
        <v>238</v>
      </c>
      <c r="E115" s="40"/>
      <c r="F115" s="40"/>
      <c r="G115" s="34"/>
      <c r="H115" s="34"/>
      <c r="I115" s="34"/>
      <c r="J115" s="34"/>
      <c r="K115" s="34"/>
      <c r="L115" s="34"/>
      <c r="M115" s="34">
        <f t="shared" si="14"/>
        <v>0</v>
      </c>
      <c r="N115" s="34"/>
      <c r="O115" s="34"/>
    </row>
    <row r="116" spans="1:15" x14ac:dyDescent="0.25">
      <c r="D116" s="5" t="s">
        <v>40</v>
      </c>
      <c r="E116" s="40">
        <f>J116+K116+L116</f>
        <v>13787124.15</v>
      </c>
      <c r="F116" s="40">
        <f>G116+H116+I116</f>
        <v>17108660.649999999</v>
      </c>
      <c r="G116" s="34">
        <v>17108660.649999999</v>
      </c>
      <c r="H116" s="34"/>
      <c r="I116" s="34"/>
      <c r="J116" s="34">
        <v>13787124.15</v>
      </c>
      <c r="K116" s="34"/>
      <c r="L116" s="34"/>
      <c r="M116" s="34">
        <f t="shared" si="14"/>
        <v>17108660.649999999</v>
      </c>
      <c r="N116" s="34"/>
      <c r="O116" s="34"/>
    </row>
    <row r="117" spans="1:15" s="39" customFormat="1" ht="13" x14ac:dyDescent="0.3">
      <c r="D117" s="39" t="s">
        <v>239</v>
      </c>
      <c r="E117" s="53">
        <f t="shared" ref="E117:L117" si="23">SUM(E116)</f>
        <v>13787124.15</v>
      </c>
      <c r="F117" s="53">
        <f t="shared" si="23"/>
        <v>17108660.649999999</v>
      </c>
      <c r="G117" s="53">
        <f t="shared" si="23"/>
        <v>17108660.649999999</v>
      </c>
      <c r="H117" s="53">
        <f t="shared" si="23"/>
        <v>0</v>
      </c>
      <c r="I117" s="53">
        <f t="shared" si="23"/>
        <v>0</v>
      </c>
      <c r="J117" s="53">
        <f t="shared" si="23"/>
        <v>13787124.15</v>
      </c>
      <c r="K117" s="53">
        <f t="shared" si="23"/>
        <v>0</v>
      </c>
      <c r="L117" s="53">
        <f t="shared" si="23"/>
        <v>0</v>
      </c>
      <c r="M117" s="34">
        <f t="shared" si="14"/>
        <v>17108660.649999999</v>
      </c>
      <c r="N117" s="34"/>
      <c r="O117" s="75"/>
    </row>
    <row r="118" spans="1:15" s="39" customFormat="1" ht="13" x14ac:dyDescent="0.3">
      <c r="D118" s="39" t="s">
        <v>240</v>
      </c>
      <c r="E118" s="49">
        <f>J118+K118+L118</f>
        <v>27581833.089999996</v>
      </c>
      <c r="F118" s="49">
        <f t="shared" ref="F118:L118" si="24">F117+F113</f>
        <v>24691006.549999997</v>
      </c>
      <c r="G118" s="49">
        <f t="shared" si="24"/>
        <v>24272015.899999999</v>
      </c>
      <c r="H118" s="49">
        <f t="shared" si="24"/>
        <v>36683.46</v>
      </c>
      <c r="I118" s="49">
        <f t="shared" si="24"/>
        <v>382307.19</v>
      </c>
      <c r="J118" s="82">
        <f t="shared" si="24"/>
        <v>16909432.030000001</v>
      </c>
      <c r="K118" s="82">
        <f t="shared" si="24"/>
        <v>64527.81</v>
      </c>
      <c r="L118" s="82">
        <f t="shared" si="24"/>
        <v>10607873.249999998</v>
      </c>
      <c r="M118" s="34">
        <f t="shared" si="14"/>
        <v>24691006.550000001</v>
      </c>
      <c r="N118" s="34"/>
      <c r="O118" s="75"/>
    </row>
    <row r="119" spans="1:15" x14ac:dyDescent="0.25">
      <c r="B119" s="5" t="s">
        <v>428</v>
      </c>
      <c r="E119" s="40"/>
      <c r="F119" s="40"/>
      <c r="G119" s="34"/>
      <c r="H119" s="34"/>
      <c r="I119" s="34"/>
      <c r="J119" s="34"/>
      <c r="K119" s="34"/>
      <c r="L119" s="34"/>
      <c r="M119" s="34">
        <f t="shared" si="14"/>
        <v>0</v>
      </c>
      <c r="N119" s="34"/>
      <c r="O119" s="34"/>
    </row>
    <row r="120" spans="1:15" x14ac:dyDescent="0.25">
      <c r="D120" s="5" t="s">
        <v>41</v>
      </c>
      <c r="E120" s="40">
        <f>J120+K120+L120</f>
        <v>30381423.5</v>
      </c>
      <c r="F120" s="40">
        <f>G120+H120+I120</f>
        <v>29484534.760000002</v>
      </c>
      <c r="G120" s="34">
        <v>29484534.760000002</v>
      </c>
      <c r="H120" s="34"/>
      <c r="I120" s="34"/>
      <c r="J120" s="34">
        <v>30381423.5</v>
      </c>
      <c r="K120" s="34">
        <v>0</v>
      </c>
      <c r="L120" s="34"/>
      <c r="M120" s="34">
        <f t="shared" si="14"/>
        <v>29484534.760000002</v>
      </c>
      <c r="N120" s="34"/>
      <c r="O120" s="34"/>
    </row>
    <row r="121" spans="1:15" x14ac:dyDescent="0.25">
      <c r="D121" s="5" t="s">
        <v>441</v>
      </c>
      <c r="E121" s="40">
        <f>J121+K121+L121</f>
        <v>0</v>
      </c>
      <c r="F121" s="40">
        <f>G121+H121+I121</f>
        <v>0</v>
      </c>
      <c r="G121" s="34"/>
      <c r="H121" s="34"/>
      <c r="I121" s="34"/>
      <c r="J121" s="34"/>
      <c r="K121" s="34"/>
      <c r="L121" s="34"/>
      <c r="M121" s="34">
        <f t="shared" si="14"/>
        <v>0</v>
      </c>
      <c r="N121" s="34"/>
      <c r="O121" s="34"/>
    </row>
    <row r="122" spans="1:15" x14ac:dyDescent="0.25">
      <c r="D122" s="5" t="s">
        <v>156</v>
      </c>
      <c r="E122" s="40">
        <f>J122+K122+L122</f>
        <v>605463</v>
      </c>
      <c r="F122" s="40">
        <f>G122+H122+I122</f>
        <v>500000</v>
      </c>
      <c r="G122" s="34">
        <v>500000</v>
      </c>
      <c r="H122" s="34"/>
      <c r="I122" s="34"/>
      <c r="J122" s="34">
        <v>605463</v>
      </c>
      <c r="K122" s="34"/>
      <c r="L122" s="34"/>
      <c r="M122" s="34">
        <f t="shared" si="14"/>
        <v>500000</v>
      </c>
      <c r="N122" s="34"/>
      <c r="O122" s="34"/>
    </row>
    <row r="123" spans="1:15" s="39" customFormat="1" ht="13" x14ac:dyDescent="0.3">
      <c r="D123" s="39" t="s">
        <v>241</v>
      </c>
      <c r="E123" s="80">
        <f>SUM(E120:E122)</f>
        <v>30986886.5</v>
      </c>
      <c r="F123" s="80">
        <f t="shared" ref="F123:L123" si="25">SUM(F120:F122)</f>
        <v>29984534.760000002</v>
      </c>
      <c r="G123" s="80">
        <f t="shared" si="25"/>
        <v>29984534.760000002</v>
      </c>
      <c r="H123" s="80">
        <f t="shared" si="25"/>
        <v>0</v>
      </c>
      <c r="I123" s="80">
        <f t="shared" si="25"/>
        <v>0</v>
      </c>
      <c r="J123" s="80">
        <f t="shared" si="25"/>
        <v>30986886.5</v>
      </c>
      <c r="K123" s="80">
        <f t="shared" si="25"/>
        <v>0</v>
      </c>
      <c r="L123" s="80">
        <f t="shared" si="25"/>
        <v>0</v>
      </c>
      <c r="M123" s="34">
        <f t="shared" si="14"/>
        <v>29984534.760000002</v>
      </c>
      <c r="N123" s="34"/>
      <c r="O123" s="75"/>
    </row>
    <row r="124" spans="1:15" ht="13" x14ac:dyDescent="0.3">
      <c r="A124" s="39" t="s">
        <v>242</v>
      </c>
      <c r="E124" s="40"/>
      <c r="F124" s="40"/>
      <c r="G124" s="34"/>
      <c r="H124" s="34"/>
      <c r="I124" s="34"/>
      <c r="J124" s="34"/>
      <c r="K124" s="34"/>
      <c r="L124" s="34"/>
      <c r="M124" s="34">
        <f t="shared" si="14"/>
        <v>0</v>
      </c>
      <c r="N124" s="34"/>
      <c r="O124" s="34"/>
    </row>
    <row r="125" spans="1:15" x14ac:dyDescent="0.25">
      <c r="B125" s="5" t="s">
        <v>243</v>
      </c>
      <c r="E125" s="40">
        <v>24388967.02</v>
      </c>
      <c r="F125" s="40">
        <f t="shared" ref="F125:F132" si="26">G125+H125+I125</f>
        <v>33323055.530000001</v>
      </c>
      <c r="G125" s="34">
        <v>24110342.5</v>
      </c>
      <c r="H125" s="34">
        <v>224109.32</v>
      </c>
      <c r="I125" s="34">
        <v>8988603.7100000009</v>
      </c>
      <c r="J125" s="34">
        <f>34919805.29</f>
        <v>34919805.289999999</v>
      </c>
      <c r="K125" s="34">
        <v>176867.75</v>
      </c>
      <c r="L125" s="34"/>
      <c r="M125" s="34">
        <f t="shared" si="14"/>
        <v>33323055.530000001</v>
      </c>
      <c r="N125" s="34"/>
      <c r="O125" s="34"/>
    </row>
    <row r="126" spans="1:15" x14ac:dyDescent="0.25">
      <c r="D126" s="5" t="s">
        <v>244</v>
      </c>
      <c r="E126" s="40"/>
      <c r="F126" s="40">
        <f t="shared" si="26"/>
        <v>24282.040000000008</v>
      </c>
      <c r="G126" s="34">
        <v>89919.77</v>
      </c>
      <c r="H126" s="34">
        <v>-65637.73</v>
      </c>
      <c r="I126" s="34"/>
      <c r="J126" s="34"/>
      <c r="K126" s="34"/>
      <c r="L126" s="34"/>
      <c r="M126" s="34">
        <f t="shared" si="14"/>
        <v>24282.040000000008</v>
      </c>
      <c r="N126" s="34"/>
      <c r="O126" s="34"/>
    </row>
    <row r="127" spans="1:15" x14ac:dyDescent="0.25">
      <c r="D127" s="5" t="s">
        <v>245</v>
      </c>
      <c r="E127" s="40">
        <f>6379959.42+4360638+2524227.89</f>
        <v>13264825.310000001</v>
      </c>
      <c r="F127" s="40">
        <f t="shared" si="26"/>
        <v>0</v>
      </c>
      <c r="G127" s="34"/>
      <c r="H127" s="34"/>
      <c r="I127" s="34"/>
      <c r="J127" s="34"/>
      <c r="K127" s="34"/>
      <c r="L127" s="34"/>
      <c r="M127" s="34">
        <f t="shared" si="14"/>
        <v>0</v>
      </c>
      <c r="N127" s="34"/>
      <c r="O127" s="34"/>
    </row>
    <row r="128" spans="1:15" x14ac:dyDescent="0.25">
      <c r="D128" s="5" t="s">
        <v>249</v>
      </c>
      <c r="E128" s="40">
        <f>J128+K128+L128</f>
        <v>0</v>
      </c>
      <c r="F128" s="40">
        <f t="shared" si="26"/>
        <v>30233.16</v>
      </c>
      <c r="G128" s="34">
        <v>30233.16</v>
      </c>
      <c r="H128" s="34"/>
      <c r="I128" s="34"/>
      <c r="J128" s="34"/>
      <c r="K128" s="34"/>
      <c r="L128" s="34"/>
      <c r="M128" s="34">
        <f t="shared" si="14"/>
        <v>30233.16</v>
      </c>
      <c r="N128" s="34"/>
      <c r="O128" s="34"/>
    </row>
    <row r="129" spans="1:15" x14ac:dyDescent="0.25">
      <c r="D129" s="5" t="s">
        <v>246</v>
      </c>
      <c r="E129" s="40">
        <f>J129+K129+L129</f>
        <v>0</v>
      </c>
      <c r="F129" s="40">
        <f t="shared" si="26"/>
        <v>0</v>
      </c>
      <c r="G129" s="34"/>
      <c r="H129" s="34"/>
      <c r="I129" s="34"/>
      <c r="J129" s="34"/>
      <c r="K129" s="34"/>
      <c r="L129" s="34"/>
      <c r="M129" s="34">
        <f t="shared" si="14"/>
        <v>0</v>
      </c>
      <c r="N129" s="34"/>
      <c r="O129" s="34"/>
    </row>
    <row r="130" spans="1:15" x14ac:dyDescent="0.25">
      <c r="D130" s="5" t="s">
        <v>247</v>
      </c>
      <c r="E130" s="40">
        <v>-2557119.29</v>
      </c>
      <c r="F130" s="40">
        <f t="shared" si="26"/>
        <v>-8988603.7100000009</v>
      </c>
      <c r="G130" s="34"/>
      <c r="H130" s="34"/>
      <c r="I130" s="34">
        <v>-8988603.7100000009</v>
      </c>
      <c r="J130" s="34"/>
      <c r="K130" s="34"/>
      <c r="L130" s="34"/>
      <c r="M130" s="34">
        <f t="shared" si="14"/>
        <v>-8988603.7100000009</v>
      </c>
      <c r="N130" s="34"/>
      <c r="O130" s="34"/>
    </row>
    <row r="131" spans="1:15" x14ac:dyDescent="0.25">
      <c r="D131" s="5" t="s">
        <v>248</v>
      </c>
      <c r="E131" s="40">
        <f>J131+K131+L131</f>
        <v>0</v>
      </c>
      <c r="F131" s="40">
        <f t="shared" si="26"/>
        <v>0</v>
      </c>
      <c r="G131" s="34"/>
      <c r="H131" s="34"/>
      <c r="I131" s="34"/>
      <c r="J131" s="34"/>
      <c r="K131" s="34"/>
      <c r="L131" s="34"/>
      <c r="M131" s="34">
        <f t="shared" si="14"/>
        <v>0</v>
      </c>
      <c r="N131" s="34"/>
      <c r="O131" s="34"/>
    </row>
    <row r="132" spans="1:15" x14ac:dyDescent="0.25">
      <c r="D132" s="5" t="s">
        <v>249</v>
      </c>
      <c r="E132" s="40">
        <f>J132+K132+L132</f>
        <v>0</v>
      </c>
      <c r="F132" s="40">
        <f t="shared" si="26"/>
        <v>0</v>
      </c>
      <c r="G132" s="34"/>
      <c r="H132" s="34"/>
      <c r="I132" s="34"/>
      <c r="J132" s="34"/>
      <c r="K132" s="34"/>
      <c r="L132" s="34"/>
      <c r="M132" s="34">
        <f t="shared" si="14"/>
        <v>0</v>
      </c>
      <c r="N132" s="34"/>
      <c r="O132" s="34"/>
    </row>
    <row r="133" spans="1:15" s="39" customFormat="1" ht="13" x14ac:dyDescent="0.3">
      <c r="C133" s="39" t="s">
        <v>250</v>
      </c>
      <c r="E133" s="49">
        <f>J133+K133</f>
        <v>35096673.039999999</v>
      </c>
      <c r="F133" s="49">
        <f t="shared" ref="F133:L133" si="27">SUM(F125:F132)</f>
        <v>24388967.02</v>
      </c>
      <c r="G133" s="49">
        <f t="shared" si="27"/>
        <v>24230495.43</v>
      </c>
      <c r="H133" s="49">
        <f t="shared" si="27"/>
        <v>158471.59000000003</v>
      </c>
      <c r="I133" s="49">
        <f t="shared" si="27"/>
        <v>0</v>
      </c>
      <c r="J133" s="49">
        <f t="shared" si="27"/>
        <v>34919805.289999999</v>
      </c>
      <c r="K133" s="49">
        <f t="shared" si="27"/>
        <v>176867.75</v>
      </c>
      <c r="L133" s="49">
        <f t="shared" si="27"/>
        <v>0</v>
      </c>
      <c r="M133" s="34">
        <f t="shared" si="14"/>
        <v>24388967.02</v>
      </c>
      <c r="N133" s="34"/>
      <c r="O133" s="75"/>
    </row>
    <row r="134" spans="1:15" s="39" customFormat="1" ht="13.5" thickBot="1" x14ac:dyDescent="0.35">
      <c r="A134" s="39" t="s">
        <v>251</v>
      </c>
      <c r="E134" s="47">
        <f>+E133+E123+E118</f>
        <v>93665392.629999995</v>
      </c>
      <c r="F134" s="47">
        <f t="shared" ref="F134:L134" si="28">+F133+F123+F118</f>
        <v>79064508.329999998</v>
      </c>
      <c r="G134" s="47">
        <f t="shared" si="28"/>
        <v>78487046.090000004</v>
      </c>
      <c r="H134" s="47">
        <f t="shared" si="28"/>
        <v>195155.05000000002</v>
      </c>
      <c r="I134" s="47">
        <f t="shared" si="28"/>
        <v>382307.19</v>
      </c>
      <c r="J134" s="47">
        <f t="shared" si="28"/>
        <v>82816123.819999993</v>
      </c>
      <c r="K134" s="47">
        <f t="shared" si="28"/>
        <v>241395.56</v>
      </c>
      <c r="L134" s="47">
        <f t="shared" si="28"/>
        <v>10607873.249999998</v>
      </c>
      <c r="M134" s="34">
        <f t="shared" si="14"/>
        <v>79064508.329999998</v>
      </c>
      <c r="N134" s="34"/>
      <c r="O134" s="46"/>
    </row>
    <row r="135" spans="1:15" ht="13.5" thickTop="1" x14ac:dyDescent="0.3">
      <c r="A135" s="39"/>
      <c r="E135" s="46"/>
      <c r="F135" s="46"/>
      <c r="G135" s="33"/>
      <c r="H135" s="33"/>
      <c r="I135" s="33"/>
      <c r="J135" s="33"/>
      <c r="K135" s="33"/>
      <c r="L135" s="33"/>
      <c r="M135" s="34">
        <f t="shared" si="14"/>
        <v>0</v>
      </c>
      <c r="N135" s="34"/>
      <c r="O135" s="33"/>
    </row>
    <row r="136" spans="1:15" ht="13" x14ac:dyDescent="0.3">
      <c r="A136" s="39" t="s">
        <v>251</v>
      </c>
      <c r="E136" s="46">
        <v>93665392.629999995</v>
      </c>
      <c r="F136" s="46">
        <v>79064508.329999998</v>
      </c>
      <c r="G136" s="33">
        <v>78487046.090000004</v>
      </c>
      <c r="H136" s="33">
        <v>195155.05000000002</v>
      </c>
      <c r="I136" s="33">
        <v>382307.19</v>
      </c>
      <c r="J136" s="33">
        <v>82816123.819999993</v>
      </c>
      <c r="K136" s="33">
        <v>241395.56</v>
      </c>
      <c r="L136" s="33">
        <v>10607873.249999998</v>
      </c>
      <c r="M136" s="34">
        <f t="shared" si="14"/>
        <v>79064508.329999998</v>
      </c>
      <c r="N136" s="34"/>
      <c r="O136" s="33"/>
    </row>
    <row r="137" spans="1:15" ht="13" x14ac:dyDescent="0.3">
      <c r="A137" s="39"/>
      <c r="E137" s="46">
        <f>E134-E136</f>
        <v>0</v>
      </c>
      <c r="F137" s="46">
        <f t="shared" ref="F137:L137" si="29">F134-F136</f>
        <v>0</v>
      </c>
      <c r="G137" s="46">
        <f t="shared" si="29"/>
        <v>0</v>
      </c>
      <c r="H137" s="46">
        <f t="shared" si="29"/>
        <v>0</v>
      </c>
      <c r="I137" s="46">
        <f t="shared" si="29"/>
        <v>0</v>
      </c>
      <c r="J137" s="46">
        <f t="shared" si="29"/>
        <v>0</v>
      </c>
      <c r="K137" s="46">
        <f t="shared" si="29"/>
        <v>0</v>
      </c>
      <c r="L137" s="46">
        <f t="shared" si="29"/>
        <v>0</v>
      </c>
      <c r="M137" s="33"/>
      <c r="N137" s="33"/>
      <c r="O137" s="33"/>
    </row>
    <row r="138" spans="1:15" ht="13" x14ac:dyDescent="0.3">
      <c r="A138" s="39"/>
      <c r="E138" s="46"/>
      <c r="F138" s="46"/>
      <c r="G138" s="33">
        <f>G94-G136</f>
        <v>347742.84999999404</v>
      </c>
      <c r="H138" s="33"/>
      <c r="I138" s="33"/>
      <c r="J138" s="33"/>
      <c r="K138" s="33"/>
      <c r="L138" s="33"/>
      <c r="M138" s="33"/>
      <c r="N138" s="33"/>
      <c r="O138" s="33"/>
    </row>
    <row r="139" spans="1:15" x14ac:dyDescent="0.25">
      <c r="E139" s="70"/>
      <c r="F139" s="70"/>
      <c r="G139" s="33"/>
    </row>
    <row r="140" spans="1:15" ht="13" x14ac:dyDescent="0.3">
      <c r="C140" s="56" t="s">
        <v>488</v>
      </c>
      <c r="E140" s="56" t="s">
        <v>5</v>
      </c>
      <c r="F140" s="34"/>
    </row>
    <row r="141" spans="1:15" ht="13" x14ac:dyDescent="0.3">
      <c r="D141" s="39"/>
      <c r="J141" s="33"/>
    </row>
    <row r="142" spans="1:15" ht="13" x14ac:dyDescent="0.3">
      <c r="D142" s="39"/>
    </row>
    <row r="143" spans="1:15" ht="13" x14ac:dyDescent="0.3">
      <c r="C143" s="345" t="s">
        <v>489</v>
      </c>
      <c r="D143" s="345"/>
      <c r="E143" s="346" t="s">
        <v>105</v>
      </c>
      <c r="F143" s="346"/>
      <c r="G143" s="81" t="s">
        <v>105</v>
      </c>
      <c r="H143" s="81"/>
    </row>
    <row r="144" spans="1:15" ht="13" x14ac:dyDescent="0.3">
      <c r="C144" s="344" t="s">
        <v>490</v>
      </c>
      <c r="D144" s="344"/>
      <c r="E144" s="341" t="s">
        <v>6</v>
      </c>
      <c r="F144" s="341"/>
      <c r="G144" s="343" t="s">
        <v>6</v>
      </c>
      <c r="H144" s="343"/>
    </row>
  </sheetData>
  <mergeCells count="17">
    <mergeCell ref="J10:L10"/>
    <mergeCell ref="A1:F1"/>
    <mergeCell ref="A2:F2"/>
    <mergeCell ref="E143:F143"/>
    <mergeCell ref="F10:F11"/>
    <mergeCell ref="A3:F3"/>
    <mergeCell ref="A5:F5"/>
    <mergeCell ref="A6:F6"/>
    <mergeCell ref="G144:H144"/>
    <mergeCell ref="G10:I10"/>
    <mergeCell ref="E144:F144"/>
    <mergeCell ref="A10:D10"/>
    <mergeCell ref="A95:D95"/>
    <mergeCell ref="A46:D46"/>
    <mergeCell ref="E10:E11"/>
    <mergeCell ref="C144:D144"/>
    <mergeCell ref="C143:D143"/>
  </mergeCells>
  <phoneticPr fontId="0" type="noConversion"/>
  <printOptions horizontalCentered="1"/>
  <pageMargins left="0.5" right="0.5" top="1.143700787" bottom="1.37795275590551" header="0.31496062992126" footer="0.31496062992126"/>
  <pageSetup paperSize="5" orientation="portrait" horizontalDpi="180" verticalDpi="18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17"/>
  <sheetViews>
    <sheetView view="pageBreakPreview" topLeftCell="A184" zoomScale="85" zoomScaleSheetLayoutView="85" workbookViewId="0">
      <selection activeCell="F60" activeCellId="1" sqref="J53 F60"/>
    </sheetView>
  </sheetViews>
  <sheetFormatPr defaultColWidth="9.1796875" defaultRowHeight="12.5" x14ac:dyDescent="0.25"/>
  <cols>
    <col min="1" max="1" width="3.81640625" customWidth="1"/>
    <col min="2" max="2" width="2.81640625" customWidth="1"/>
    <col min="3" max="3" width="51.453125" customWidth="1"/>
    <col min="4" max="4" width="16.54296875" customWidth="1"/>
    <col min="5" max="5" width="17.1796875" customWidth="1"/>
    <col min="6" max="6" width="17.1796875" style="71" hidden="1" customWidth="1"/>
    <col min="7" max="7" width="13.453125" style="71" hidden="1" customWidth="1"/>
    <col min="8" max="8" width="14.54296875" hidden="1" customWidth="1"/>
    <col min="9" max="9" width="15" hidden="1" customWidth="1"/>
    <col min="10" max="10" width="18.453125" style="21" hidden="1" customWidth="1"/>
    <col min="11" max="11" width="16" hidden="1" customWidth="1"/>
    <col min="12" max="12" width="15.54296875" customWidth="1"/>
    <col min="13" max="13" width="17.54296875" customWidth="1"/>
    <col min="14" max="14" width="18.453125" customWidth="1"/>
    <col min="15" max="15" width="23.54296875" customWidth="1"/>
    <col min="16" max="16" width="17.54296875" customWidth="1"/>
  </cols>
  <sheetData>
    <row r="1" spans="1:16" ht="15.5" x14ac:dyDescent="0.35">
      <c r="A1" s="349" t="s">
        <v>112</v>
      </c>
      <c r="B1" s="349"/>
      <c r="C1" s="349"/>
      <c r="D1" s="349"/>
      <c r="E1" s="349"/>
      <c r="F1" s="349"/>
      <c r="G1" s="349"/>
      <c r="H1" s="2"/>
      <c r="I1" s="2"/>
      <c r="K1" s="347"/>
      <c r="L1" s="347"/>
      <c r="M1" s="347"/>
      <c r="N1" s="347"/>
      <c r="O1" s="347"/>
      <c r="P1" s="347"/>
    </row>
    <row r="2" spans="1:16" ht="15.5" x14ac:dyDescent="0.35">
      <c r="A2" s="349" t="s">
        <v>0</v>
      </c>
      <c r="B2" s="349"/>
      <c r="C2" s="349"/>
      <c r="D2" s="349"/>
      <c r="E2" s="349"/>
      <c r="F2" s="349"/>
      <c r="G2" s="349"/>
      <c r="H2" s="2"/>
      <c r="I2" s="2"/>
      <c r="K2" s="347"/>
      <c r="L2" s="347"/>
      <c r="M2" s="347"/>
      <c r="N2" s="347"/>
      <c r="O2" s="347"/>
      <c r="P2" s="347"/>
    </row>
    <row r="3" spans="1:16" ht="16.5" customHeight="1" x14ac:dyDescent="0.3">
      <c r="A3" s="347" t="s">
        <v>461</v>
      </c>
      <c r="B3" s="347"/>
      <c r="C3" s="347"/>
      <c r="D3" s="347"/>
      <c r="E3" s="347"/>
      <c r="F3" s="347"/>
      <c r="G3" s="347"/>
      <c r="H3" s="42"/>
      <c r="I3" s="42"/>
      <c r="K3" s="348"/>
      <c r="L3" s="348"/>
      <c r="M3" s="348"/>
      <c r="N3" s="348"/>
      <c r="O3" s="348"/>
      <c r="P3" s="348"/>
    </row>
    <row r="4" spans="1:16" ht="15.75" customHeight="1" x14ac:dyDescent="0.35">
      <c r="A4" s="343" t="s">
        <v>465</v>
      </c>
      <c r="B4" s="343"/>
      <c r="C4" s="343"/>
      <c r="D4" s="343"/>
      <c r="E4" s="343"/>
      <c r="F4" s="343"/>
      <c r="G4" s="343"/>
      <c r="H4" s="5"/>
      <c r="I4" s="5"/>
      <c r="K4" s="349"/>
      <c r="L4" s="349"/>
      <c r="M4" s="349"/>
      <c r="N4" s="349"/>
      <c r="O4" s="349"/>
      <c r="P4" s="349"/>
    </row>
    <row r="5" spans="1:16" ht="15.75" customHeight="1" x14ac:dyDescent="0.3">
      <c r="A5" s="343" t="s">
        <v>466</v>
      </c>
      <c r="B5" s="343"/>
      <c r="C5" s="343"/>
      <c r="D5" s="343"/>
      <c r="E5" s="343"/>
      <c r="F5" s="343"/>
      <c r="G5" s="343"/>
      <c r="H5" s="5"/>
      <c r="I5" s="5"/>
      <c r="K5" s="347"/>
      <c r="L5" s="347"/>
      <c r="M5" s="347"/>
      <c r="N5" s="347"/>
      <c r="O5" s="347"/>
      <c r="P5" s="347"/>
    </row>
    <row r="6" spans="1:16" ht="15.75" customHeight="1" x14ac:dyDescent="0.3">
      <c r="A6" s="38"/>
      <c r="B6" s="38"/>
      <c r="C6" s="38"/>
      <c r="D6" s="38"/>
      <c r="E6" s="38"/>
      <c r="H6" s="5"/>
      <c r="I6" s="5"/>
      <c r="K6" s="42"/>
      <c r="L6" s="42"/>
      <c r="M6" s="42"/>
      <c r="N6" s="42"/>
      <c r="O6" s="42"/>
      <c r="P6" s="42"/>
    </row>
    <row r="7" spans="1:16" ht="15.75" customHeight="1" x14ac:dyDescent="0.3">
      <c r="A7" s="38"/>
      <c r="B7" s="38"/>
      <c r="C7" s="38"/>
      <c r="D7" s="38"/>
      <c r="E7" s="38"/>
      <c r="H7" s="5"/>
      <c r="I7" s="5"/>
      <c r="K7" s="42"/>
      <c r="L7" s="42"/>
      <c r="M7" s="42"/>
      <c r="N7" s="42"/>
      <c r="O7" s="42"/>
      <c r="P7" s="42"/>
    </row>
    <row r="8" spans="1:16" ht="15.75" customHeight="1" x14ac:dyDescent="0.3">
      <c r="A8" s="38"/>
      <c r="B8" s="38"/>
      <c r="C8" s="38"/>
      <c r="D8" s="38"/>
      <c r="E8" s="38"/>
      <c r="H8" s="5"/>
      <c r="I8" s="5"/>
      <c r="K8" s="42"/>
      <c r="L8" s="42"/>
      <c r="M8" s="42"/>
      <c r="N8" s="42"/>
      <c r="O8" s="42"/>
      <c r="P8" s="42"/>
    </row>
    <row r="9" spans="1:16" ht="15" customHeight="1" x14ac:dyDescent="0.3">
      <c r="A9" s="39"/>
      <c r="B9" s="39"/>
      <c r="C9" s="39"/>
      <c r="D9" s="39"/>
      <c r="K9" s="347"/>
      <c r="L9" s="347"/>
      <c r="M9" s="347"/>
      <c r="N9" s="347"/>
      <c r="O9" s="347"/>
      <c r="P9" s="347"/>
    </row>
    <row r="10" spans="1:16" ht="14" x14ac:dyDescent="0.3">
      <c r="A10" s="5"/>
      <c r="B10" s="54"/>
      <c r="C10" s="54"/>
      <c r="D10" s="38">
        <v>2011</v>
      </c>
      <c r="E10" s="38">
        <v>2010</v>
      </c>
      <c r="F10" s="341">
        <v>2011</v>
      </c>
      <c r="G10" s="341"/>
      <c r="H10" s="341">
        <v>2010</v>
      </c>
      <c r="I10" s="341"/>
      <c r="J10" s="341">
        <v>2009</v>
      </c>
      <c r="K10" s="341"/>
      <c r="L10" s="17"/>
      <c r="M10" s="17"/>
      <c r="N10" s="17"/>
      <c r="O10" s="17"/>
      <c r="P10" s="17"/>
    </row>
    <row r="11" spans="1:16" ht="14" x14ac:dyDescent="0.3">
      <c r="A11" s="39" t="s">
        <v>187</v>
      </c>
      <c r="B11" s="39"/>
      <c r="C11" s="39"/>
      <c r="D11" s="5"/>
      <c r="E11" s="5"/>
      <c r="F11" s="5" t="s">
        <v>457</v>
      </c>
      <c r="G11" s="5" t="s">
        <v>144</v>
      </c>
      <c r="H11" s="5" t="s">
        <v>457</v>
      </c>
      <c r="I11" s="5" t="s">
        <v>144</v>
      </c>
      <c r="J11" s="34" t="s">
        <v>457</v>
      </c>
      <c r="K11" s="34" t="s">
        <v>144</v>
      </c>
      <c r="L11" s="17"/>
      <c r="M11" s="22"/>
      <c r="N11" s="18"/>
      <c r="O11" s="18"/>
      <c r="P11" s="22"/>
    </row>
    <row r="12" spans="1:16" ht="14" x14ac:dyDescent="0.3">
      <c r="A12" s="5"/>
      <c r="B12" s="5" t="s">
        <v>188</v>
      </c>
      <c r="C12" s="5"/>
      <c r="D12" s="5"/>
      <c r="E12" s="5"/>
      <c r="F12" s="5"/>
      <c r="G12" s="5"/>
      <c r="H12" s="5"/>
      <c r="I12" s="5"/>
      <c r="J12" s="34"/>
      <c r="K12" s="34"/>
      <c r="L12" s="17"/>
      <c r="M12" s="17"/>
      <c r="N12" s="18"/>
      <c r="O12" s="18"/>
      <c r="P12" s="7"/>
    </row>
    <row r="13" spans="1:16" ht="14" x14ac:dyDescent="0.3">
      <c r="A13" s="5"/>
      <c r="B13" s="5"/>
      <c r="C13" s="5" t="s">
        <v>43</v>
      </c>
      <c r="D13" s="79">
        <f t="shared" ref="D13:D21" si="0">F13+G13</f>
        <v>756908.5</v>
      </c>
      <c r="E13" s="79">
        <f>H13+I13</f>
        <v>706126.7</v>
      </c>
      <c r="F13" s="79">
        <v>756908.5</v>
      </c>
      <c r="G13" s="79"/>
      <c r="H13" s="40">
        <v>706126.7</v>
      </c>
      <c r="I13" s="79"/>
      <c r="J13" s="79">
        <v>647456.81000000006</v>
      </c>
      <c r="K13" s="34"/>
      <c r="L13" s="17"/>
      <c r="M13" s="17"/>
      <c r="N13" s="18"/>
      <c r="O13" s="18"/>
      <c r="P13" s="7"/>
    </row>
    <row r="14" spans="1:16" ht="14" x14ac:dyDescent="0.3">
      <c r="A14" s="5"/>
      <c r="B14" s="5"/>
      <c r="C14" s="5" t="s">
        <v>44</v>
      </c>
      <c r="D14" s="79">
        <f t="shared" si="0"/>
        <v>249900.18</v>
      </c>
      <c r="E14" s="79">
        <f t="shared" ref="E14:E21" si="1">H14+I14</f>
        <v>222214.13</v>
      </c>
      <c r="F14" s="79">
        <v>249900.18</v>
      </c>
      <c r="G14" s="79"/>
      <c r="H14" s="40">
        <v>222214.13</v>
      </c>
      <c r="I14" s="79"/>
      <c r="J14" s="79">
        <v>212891.42</v>
      </c>
      <c r="K14" s="34"/>
      <c r="L14" s="17"/>
      <c r="M14" s="17"/>
      <c r="N14" s="18"/>
      <c r="O14" s="18"/>
      <c r="P14" s="7"/>
    </row>
    <row r="15" spans="1:16" ht="14" x14ac:dyDescent="0.3">
      <c r="A15" s="5"/>
      <c r="B15" s="5"/>
      <c r="C15" s="5" t="s">
        <v>161</v>
      </c>
      <c r="D15" s="79">
        <f t="shared" si="0"/>
        <v>89925</v>
      </c>
      <c r="E15" s="79">
        <f t="shared" si="1"/>
        <v>78100</v>
      </c>
      <c r="F15" s="79">
        <v>89925</v>
      </c>
      <c r="G15" s="79"/>
      <c r="H15" s="40">
        <v>78100</v>
      </c>
      <c r="I15" s="79"/>
      <c r="J15" s="79">
        <v>85050</v>
      </c>
      <c r="K15" s="34"/>
      <c r="L15" s="17"/>
      <c r="M15" s="17"/>
      <c r="N15" s="7"/>
      <c r="O15" s="7"/>
      <c r="P15" s="22"/>
    </row>
    <row r="16" spans="1:16" ht="14" x14ac:dyDescent="0.3">
      <c r="A16" s="5"/>
      <c r="B16" s="5"/>
      <c r="C16" s="5" t="s">
        <v>45</v>
      </c>
      <c r="D16" s="79">
        <f t="shared" si="0"/>
        <v>30720</v>
      </c>
      <c r="E16" s="79">
        <f t="shared" si="1"/>
        <v>16990</v>
      </c>
      <c r="F16" s="79">
        <v>30720</v>
      </c>
      <c r="G16" s="79"/>
      <c r="H16" s="40">
        <v>16990</v>
      </c>
      <c r="I16" s="79"/>
      <c r="J16" s="79">
        <v>15840</v>
      </c>
      <c r="K16" s="34"/>
      <c r="L16" s="22"/>
      <c r="M16" s="17"/>
      <c r="N16" s="7"/>
      <c r="O16" s="7"/>
      <c r="P16" s="22"/>
    </row>
    <row r="17" spans="1:16" ht="14" x14ac:dyDescent="0.3">
      <c r="A17" s="5"/>
      <c r="B17" s="5"/>
      <c r="C17" s="5" t="s">
        <v>46</v>
      </c>
      <c r="D17" s="79">
        <f t="shared" si="0"/>
        <v>683192.44</v>
      </c>
      <c r="E17" s="79">
        <f t="shared" si="1"/>
        <v>466980.02</v>
      </c>
      <c r="F17" s="79">
        <v>683192.44</v>
      </c>
      <c r="G17" s="79"/>
      <c r="H17" s="40">
        <v>466980.02</v>
      </c>
      <c r="I17" s="79"/>
      <c r="J17" s="79">
        <v>497144.65</v>
      </c>
      <c r="K17" s="34"/>
      <c r="L17" s="22"/>
      <c r="M17" s="17"/>
      <c r="N17" s="7"/>
      <c r="O17" s="7"/>
      <c r="P17" s="22"/>
    </row>
    <row r="18" spans="1:16" ht="14" x14ac:dyDescent="0.3">
      <c r="A18" s="5"/>
      <c r="B18" s="5"/>
      <c r="C18" s="5" t="s">
        <v>252</v>
      </c>
      <c r="D18" s="79">
        <f t="shared" si="0"/>
        <v>-16256.91</v>
      </c>
      <c r="E18" s="79">
        <f t="shared" si="1"/>
        <v>-15602.37</v>
      </c>
      <c r="F18" s="34">
        <v>-16256.91</v>
      </c>
      <c r="G18" s="34"/>
      <c r="H18" s="40">
        <v>-15602.37</v>
      </c>
      <c r="I18" s="34"/>
      <c r="J18" s="34">
        <v>-16343.5</v>
      </c>
      <c r="K18" s="34"/>
      <c r="L18" s="22"/>
      <c r="M18" s="17"/>
      <c r="N18" s="7"/>
      <c r="O18" s="7"/>
      <c r="P18" s="22"/>
    </row>
    <row r="19" spans="1:16" ht="14" x14ac:dyDescent="0.3">
      <c r="A19" s="5"/>
      <c r="B19" s="5"/>
      <c r="C19" s="5" t="s">
        <v>176</v>
      </c>
      <c r="D19" s="79">
        <f t="shared" si="0"/>
        <v>680651.49</v>
      </c>
      <c r="E19" s="79">
        <f t="shared" si="1"/>
        <v>589285.49</v>
      </c>
      <c r="F19" s="79"/>
      <c r="G19" s="79">
        <v>680651.49</v>
      </c>
      <c r="H19" s="40"/>
      <c r="I19" s="34">
        <v>589285.49</v>
      </c>
      <c r="J19" s="34"/>
      <c r="K19" s="34">
        <v>533430.35</v>
      </c>
      <c r="L19" s="22"/>
      <c r="M19" s="17"/>
      <c r="N19" s="7"/>
      <c r="O19" s="7"/>
      <c r="P19" s="22"/>
    </row>
    <row r="20" spans="1:16" ht="14" x14ac:dyDescent="0.3">
      <c r="A20" s="5"/>
      <c r="B20" s="5"/>
      <c r="C20" s="5" t="s">
        <v>253</v>
      </c>
      <c r="D20" s="79">
        <f t="shared" si="0"/>
        <v>0</v>
      </c>
      <c r="E20" s="79">
        <f t="shared" si="1"/>
        <v>0</v>
      </c>
      <c r="F20" s="79"/>
      <c r="G20" s="79"/>
      <c r="H20" s="40"/>
      <c r="I20" s="79"/>
      <c r="J20" s="34"/>
      <c r="K20" s="34"/>
      <c r="L20" s="17"/>
      <c r="M20" s="17"/>
      <c r="N20" s="7"/>
      <c r="O20" s="7"/>
      <c r="P20" s="22"/>
    </row>
    <row r="21" spans="1:16" ht="14" x14ac:dyDescent="0.3">
      <c r="A21" s="5"/>
      <c r="B21" s="5"/>
      <c r="C21" s="5" t="s">
        <v>254</v>
      </c>
      <c r="D21" s="79">
        <f t="shared" si="0"/>
        <v>0</v>
      </c>
      <c r="E21" s="79">
        <f t="shared" si="1"/>
        <v>0</v>
      </c>
      <c r="F21" s="33"/>
      <c r="G21" s="79"/>
      <c r="H21" s="40"/>
      <c r="I21" s="79"/>
      <c r="J21" s="34"/>
      <c r="K21" s="34"/>
      <c r="L21" s="17"/>
      <c r="M21" s="17"/>
      <c r="N21" s="7"/>
      <c r="O21" s="7"/>
      <c r="P21" s="22"/>
    </row>
    <row r="22" spans="1:16" s="39" customFormat="1" ht="14" x14ac:dyDescent="0.3">
      <c r="C22" s="39" t="s">
        <v>255</v>
      </c>
      <c r="D22" s="59">
        <f>SUM(D13:D21)</f>
        <v>2475040.7000000002</v>
      </c>
      <c r="E22" s="59">
        <f>SUM(E13:E21)</f>
        <v>2064093.97</v>
      </c>
      <c r="F22" s="59">
        <f t="shared" ref="F22:K22" si="2">SUM(F13:F21)</f>
        <v>1794389.21</v>
      </c>
      <c r="G22" s="59">
        <f t="shared" si="2"/>
        <v>680651.49</v>
      </c>
      <c r="H22" s="59">
        <f t="shared" si="2"/>
        <v>1474808.48</v>
      </c>
      <c r="I22" s="59">
        <f t="shared" si="2"/>
        <v>589285.49</v>
      </c>
      <c r="J22" s="59">
        <f t="shared" si="2"/>
        <v>1442039.3800000001</v>
      </c>
      <c r="K22" s="59">
        <f t="shared" si="2"/>
        <v>533430.35</v>
      </c>
      <c r="L22" s="77"/>
      <c r="M22" s="37"/>
      <c r="N22" s="78"/>
      <c r="O22" s="78"/>
      <c r="P22" s="77"/>
    </row>
    <row r="23" spans="1:16" ht="14" x14ac:dyDescent="0.3">
      <c r="A23" s="39" t="s">
        <v>189</v>
      </c>
      <c r="B23" s="39"/>
      <c r="C23" s="39"/>
      <c r="D23" s="79"/>
      <c r="E23" s="40"/>
      <c r="F23" s="40"/>
      <c r="G23" s="40"/>
      <c r="H23" s="40"/>
      <c r="I23" s="79"/>
      <c r="J23" s="34"/>
      <c r="K23" s="34"/>
      <c r="L23" s="22"/>
      <c r="M23" s="17"/>
      <c r="N23" s="7"/>
      <c r="O23" s="7"/>
      <c r="P23" s="22"/>
    </row>
    <row r="24" spans="1:16" s="39" customFormat="1" ht="14" x14ac:dyDescent="0.3">
      <c r="B24" s="39" t="s">
        <v>58</v>
      </c>
      <c r="D24" s="59">
        <f t="shared" ref="D24:D31" si="3">F24+G24</f>
        <v>50948117</v>
      </c>
      <c r="E24" s="59">
        <f t="shared" ref="E24:E30" si="4">H24+I24</f>
        <v>47101164</v>
      </c>
      <c r="F24" s="59">
        <v>50948117</v>
      </c>
      <c r="G24" s="59"/>
      <c r="H24" s="69">
        <v>47101164</v>
      </c>
      <c r="I24" s="59"/>
      <c r="J24" s="59">
        <v>44411417</v>
      </c>
      <c r="K24" s="75"/>
      <c r="L24" s="37"/>
      <c r="M24" s="37"/>
      <c r="N24" s="78"/>
      <c r="O24" s="78"/>
      <c r="P24" s="77"/>
    </row>
    <row r="25" spans="1:16" ht="14" x14ac:dyDescent="0.3">
      <c r="A25" s="5"/>
      <c r="B25" s="5" t="s">
        <v>190</v>
      </c>
      <c r="C25" s="5"/>
      <c r="D25" s="79">
        <f t="shared" si="3"/>
        <v>0</v>
      </c>
      <c r="E25" s="79">
        <f t="shared" si="4"/>
        <v>0</v>
      </c>
      <c r="F25" s="40"/>
      <c r="G25" s="40"/>
      <c r="H25" s="40"/>
      <c r="I25" s="5"/>
      <c r="J25" s="5"/>
      <c r="K25" s="34"/>
      <c r="L25" s="17"/>
      <c r="M25" s="17"/>
      <c r="N25" s="7"/>
      <c r="O25" s="7"/>
      <c r="P25" s="22"/>
    </row>
    <row r="26" spans="1:16" ht="14" x14ac:dyDescent="0.3">
      <c r="A26" s="5"/>
      <c r="B26" s="5"/>
      <c r="C26" s="5" t="s">
        <v>256</v>
      </c>
      <c r="D26" s="79">
        <f t="shared" si="3"/>
        <v>11800</v>
      </c>
      <c r="E26" s="79">
        <f t="shared" si="4"/>
        <v>0</v>
      </c>
      <c r="F26" s="40">
        <v>11800</v>
      </c>
      <c r="G26" s="40"/>
      <c r="H26" s="40"/>
      <c r="I26" s="79"/>
      <c r="J26" s="79"/>
      <c r="K26" s="34"/>
      <c r="L26" s="17"/>
      <c r="M26" s="17"/>
      <c r="N26" s="7"/>
      <c r="O26" s="7"/>
      <c r="P26" s="22"/>
    </row>
    <row r="27" spans="1:16" ht="14" x14ac:dyDescent="0.3">
      <c r="A27" s="5"/>
      <c r="B27" s="5"/>
      <c r="C27" s="5" t="s">
        <v>257</v>
      </c>
      <c r="D27" s="79">
        <f t="shared" si="3"/>
        <v>0</v>
      </c>
      <c r="E27" s="79">
        <f t="shared" si="4"/>
        <v>0</v>
      </c>
      <c r="F27" s="40"/>
      <c r="G27" s="40"/>
      <c r="H27" s="40"/>
      <c r="I27" s="79"/>
      <c r="J27" s="79"/>
      <c r="K27" s="34"/>
      <c r="L27" s="17"/>
      <c r="M27" s="17"/>
      <c r="N27" s="7"/>
      <c r="O27" s="7"/>
      <c r="P27" s="22"/>
    </row>
    <row r="28" spans="1:16" ht="14" x14ac:dyDescent="0.3">
      <c r="A28" s="5"/>
      <c r="B28" s="5"/>
      <c r="C28" s="5" t="s">
        <v>48</v>
      </c>
      <c r="D28" s="79">
        <f t="shared" si="3"/>
        <v>472180.53</v>
      </c>
      <c r="E28" s="79">
        <f t="shared" si="4"/>
        <v>262324.44</v>
      </c>
      <c r="F28" s="40">
        <v>472180.53</v>
      </c>
      <c r="G28" s="40"/>
      <c r="H28" s="40">
        <v>262324.44</v>
      </c>
      <c r="I28" s="79"/>
      <c r="J28" s="79">
        <v>444060.52</v>
      </c>
      <c r="K28" s="34"/>
      <c r="L28" s="17"/>
      <c r="M28" s="17"/>
      <c r="N28" s="17"/>
      <c r="O28" s="17"/>
      <c r="P28" s="20"/>
    </row>
    <row r="29" spans="1:16" ht="14" x14ac:dyDescent="0.3">
      <c r="A29" s="5"/>
      <c r="B29" s="5"/>
      <c r="C29" s="5" t="s">
        <v>49</v>
      </c>
      <c r="D29" s="79">
        <f t="shared" si="3"/>
        <v>55531</v>
      </c>
      <c r="E29" s="79">
        <f t="shared" si="4"/>
        <v>26425</v>
      </c>
      <c r="F29" s="40">
        <v>55531</v>
      </c>
      <c r="G29" s="40"/>
      <c r="H29" s="40">
        <v>26425</v>
      </c>
      <c r="I29" s="79"/>
      <c r="J29" s="79">
        <v>22509</v>
      </c>
      <c r="K29" s="34"/>
      <c r="L29" s="17"/>
      <c r="M29" s="17"/>
      <c r="N29" s="17"/>
      <c r="O29" s="17"/>
      <c r="P29" s="20"/>
    </row>
    <row r="30" spans="1:16" ht="14" x14ac:dyDescent="0.3">
      <c r="A30" s="5"/>
      <c r="B30" s="5"/>
      <c r="C30" s="5" t="s">
        <v>258</v>
      </c>
      <c r="D30" s="79">
        <f t="shared" si="3"/>
        <v>0</v>
      </c>
      <c r="E30" s="79">
        <f t="shared" si="4"/>
        <v>0</v>
      </c>
      <c r="F30" s="40"/>
      <c r="G30" s="40"/>
      <c r="H30" s="40"/>
      <c r="I30" s="79"/>
      <c r="J30" s="79"/>
      <c r="K30" s="34"/>
      <c r="L30" s="17"/>
      <c r="M30" s="17"/>
      <c r="N30" s="17"/>
      <c r="O30" s="17"/>
      <c r="P30" s="17"/>
    </row>
    <row r="31" spans="1:16" s="39" customFormat="1" ht="14" x14ac:dyDescent="0.3">
      <c r="C31" s="39" t="s">
        <v>459</v>
      </c>
      <c r="D31" s="59">
        <f t="shared" si="3"/>
        <v>539511.53</v>
      </c>
      <c r="E31" s="59">
        <f t="shared" ref="E31:K31" si="5">SUM(E26:E30)</f>
        <v>288749.44</v>
      </c>
      <c r="F31" s="59">
        <f>SUM(F26:F30)</f>
        <v>539511.53</v>
      </c>
      <c r="G31" s="59">
        <f t="shared" si="5"/>
        <v>0</v>
      </c>
      <c r="H31" s="59">
        <f t="shared" si="5"/>
        <v>288749.44</v>
      </c>
      <c r="I31" s="59">
        <f t="shared" si="5"/>
        <v>0</v>
      </c>
      <c r="J31" s="59">
        <f t="shared" si="5"/>
        <v>466569.52</v>
      </c>
      <c r="K31" s="59">
        <f t="shared" si="5"/>
        <v>0</v>
      </c>
      <c r="L31" s="37"/>
      <c r="M31" s="37"/>
      <c r="N31" s="37"/>
      <c r="O31" s="37"/>
      <c r="P31" s="37"/>
    </row>
    <row r="32" spans="1:16" ht="14" x14ac:dyDescent="0.3">
      <c r="A32" s="5"/>
      <c r="B32" s="5" t="s">
        <v>259</v>
      </c>
      <c r="C32" s="5"/>
      <c r="D32" s="79"/>
      <c r="E32" s="40"/>
      <c r="F32" s="40"/>
      <c r="G32" s="40"/>
      <c r="H32" s="40"/>
      <c r="I32" s="79"/>
      <c r="J32" s="79"/>
      <c r="K32" s="34"/>
      <c r="L32" s="17"/>
      <c r="M32" s="17"/>
      <c r="N32" s="17"/>
      <c r="O32" s="17"/>
      <c r="P32" s="17"/>
    </row>
    <row r="33" spans="1:16" ht="14" x14ac:dyDescent="0.3">
      <c r="A33" s="5"/>
      <c r="B33" s="5"/>
      <c r="C33" s="5" t="s">
        <v>50</v>
      </c>
      <c r="D33" s="79">
        <f>F33+G33</f>
        <v>79615</v>
      </c>
      <c r="E33" s="79">
        <f>H33+I33</f>
        <v>82675</v>
      </c>
      <c r="F33" s="40">
        <v>79615</v>
      </c>
      <c r="G33" s="40"/>
      <c r="H33" s="40">
        <v>82675</v>
      </c>
      <c r="I33" s="79"/>
      <c r="J33" s="79">
        <v>83970</v>
      </c>
      <c r="K33" s="34"/>
      <c r="L33" s="17"/>
      <c r="M33" s="17"/>
      <c r="N33" s="17"/>
      <c r="O33" s="17"/>
      <c r="P33" s="17"/>
    </row>
    <row r="34" spans="1:16" ht="14" x14ac:dyDescent="0.3">
      <c r="A34" s="5"/>
      <c r="B34" s="5"/>
      <c r="C34" s="5" t="s">
        <v>174</v>
      </c>
      <c r="D34" s="79">
        <f>F34+G34</f>
        <v>32020</v>
      </c>
      <c r="E34" s="79">
        <f>H34+I34</f>
        <v>27200</v>
      </c>
      <c r="F34" s="40">
        <v>32020</v>
      </c>
      <c r="G34" s="40"/>
      <c r="H34" s="40">
        <v>27200</v>
      </c>
      <c r="I34" s="79"/>
      <c r="J34" s="79">
        <v>27231</v>
      </c>
      <c r="K34" s="34"/>
      <c r="L34" s="17"/>
      <c r="M34" s="17"/>
      <c r="N34" s="17"/>
      <c r="O34" s="17"/>
      <c r="P34" s="17"/>
    </row>
    <row r="35" spans="1:16" ht="14" x14ac:dyDescent="0.3">
      <c r="A35" s="5"/>
      <c r="B35" s="5"/>
      <c r="C35" s="5" t="s">
        <v>52</v>
      </c>
      <c r="D35" s="79">
        <f>F35+G35</f>
        <v>1881.3</v>
      </c>
      <c r="E35" s="79">
        <f>H35+I35</f>
        <v>2122</v>
      </c>
      <c r="F35" s="40">
        <v>1881.3</v>
      </c>
      <c r="G35" s="40"/>
      <c r="H35" s="40">
        <v>2122</v>
      </c>
      <c r="I35" s="79"/>
      <c r="J35" s="79">
        <v>2258.5</v>
      </c>
      <c r="K35" s="34"/>
      <c r="L35" s="17"/>
      <c r="M35" s="17"/>
      <c r="N35" s="17"/>
      <c r="O35" s="17"/>
      <c r="P35" s="17"/>
    </row>
    <row r="36" spans="1:16" s="39" customFormat="1" ht="13" x14ac:dyDescent="0.3">
      <c r="C36" s="39" t="s">
        <v>260</v>
      </c>
      <c r="D36" s="59">
        <f>F36+G36</f>
        <v>113516.3</v>
      </c>
      <c r="E36" s="59">
        <f t="shared" ref="E36:K36" si="6">SUM(E33:E35)</f>
        <v>111997</v>
      </c>
      <c r="F36" s="59">
        <f>SUM(F33:F35)</f>
        <v>113516.3</v>
      </c>
      <c r="G36" s="59">
        <f t="shared" si="6"/>
        <v>0</v>
      </c>
      <c r="H36" s="59">
        <f t="shared" si="6"/>
        <v>111997</v>
      </c>
      <c r="I36" s="59">
        <f t="shared" si="6"/>
        <v>0</v>
      </c>
      <c r="J36" s="59">
        <f t="shared" si="6"/>
        <v>113459.5</v>
      </c>
      <c r="K36" s="59">
        <f t="shared" si="6"/>
        <v>0</v>
      </c>
    </row>
    <row r="37" spans="1:16" x14ac:dyDescent="0.25">
      <c r="A37" s="5"/>
      <c r="B37" s="5" t="s">
        <v>261</v>
      </c>
      <c r="C37" s="5"/>
      <c r="D37" s="79"/>
      <c r="E37" s="40"/>
      <c r="F37" s="40"/>
      <c r="G37" s="40"/>
      <c r="H37" s="40"/>
      <c r="I37" s="79"/>
      <c r="J37" s="79"/>
      <c r="K37" s="34"/>
    </row>
    <row r="38" spans="1:16" x14ac:dyDescent="0.25">
      <c r="A38" s="5"/>
      <c r="B38" s="5"/>
      <c r="C38" s="5" t="s">
        <v>262</v>
      </c>
      <c r="D38" s="79">
        <f t="shared" ref="D38:D44" si="7">F38+G38</f>
        <v>0</v>
      </c>
      <c r="E38" s="79">
        <f t="shared" ref="E38:E43" si="8">H38+I38</f>
        <v>0</v>
      </c>
      <c r="F38" s="40"/>
      <c r="G38" s="40"/>
      <c r="H38" s="40"/>
      <c r="I38" s="79"/>
      <c r="J38" s="79"/>
      <c r="K38" s="34"/>
    </row>
    <row r="39" spans="1:16" x14ac:dyDescent="0.25">
      <c r="A39" s="5"/>
      <c r="B39" s="5"/>
      <c r="C39" s="5" t="s">
        <v>53</v>
      </c>
      <c r="D39" s="79">
        <f t="shared" si="7"/>
        <v>126020</v>
      </c>
      <c r="E39" s="79">
        <f t="shared" si="8"/>
        <v>129170</v>
      </c>
      <c r="F39" s="40">
        <v>126020</v>
      </c>
      <c r="G39" s="40"/>
      <c r="H39" s="40">
        <v>129170</v>
      </c>
      <c r="I39" s="79"/>
      <c r="J39" s="79">
        <v>123000</v>
      </c>
      <c r="K39" s="34"/>
    </row>
    <row r="40" spans="1:16" x14ac:dyDescent="0.25">
      <c r="A40" s="5"/>
      <c r="B40" s="5"/>
      <c r="C40" s="5" t="s">
        <v>54</v>
      </c>
      <c r="D40" s="79">
        <f t="shared" si="7"/>
        <v>40669.1</v>
      </c>
      <c r="E40" s="79">
        <f t="shared" si="8"/>
        <v>36134.400000000001</v>
      </c>
      <c r="F40" s="40">
        <v>40669.1</v>
      </c>
      <c r="G40" s="40"/>
      <c r="H40" s="40">
        <v>36134.400000000001</v>
      </c>
      <c r="I40" s="79"/>
      <c r="J40" s="79">
        <v>42173.9</v>
      </c>
      <c r="K40" s="34"/>
    </row>
    <row r="41" spans="1:16" x14ac:dyDescent="0.25">
      <c r="A41" s="5"/>
      <c r="B41" s="5"/>
      <c r="C41" s="5" t="s">
        <v>55</v>
      </c>
      <c r="D41" s="79">
        <f t="shared" si="7"/>
        <v>579757</v>
      </c>
      <c r="E41" s="79">
        <f t="shared" si="8"/>
        <v>630983.9</v>
      </c>
      <c r="F41" s="40">
        <v>579757</v>
      </c>
      <c r="G41" s="40"/>
      <c r="H41" s="40">
        <v>630983.9</v>
      </c>
      <c r="I41" s="79"/>
      <c r="J41" s="79">
        <v>375414.4</v>
      </c>
      <c r="K41" s="34"/>
    </row>
    <row r="42" spans="1:16" x14ac:dyDescent="0.25">
      <c r="A42" s="5"/>
      <c r="B42" s="5"/>
      <c r="C42" s="5" t="s">
        <v>56</v>
      </c>
      <c r="D42" s="79">
        <f t="shared" si="7"/>
        <v>135100</v>
      </c>
      <c r="E42" s="79">
        <f t="shared" si="8"/>
        <v>69947.199999999997</v>
      </c>
      <c r="F42" s="40">
        <v>135100</v>
      </c>
      <c r="G42" s="40"/>
      <c r="H42" s="40">
        <v>69947.199999999997</v>
      </c>
      <c r="I42" s="79"/>
      <c r="J42" s="79">
        <v>90600</v>
      </c>
      <c r="K42" s="34"/>
    </row>
    <row r="43" spans="1:16" x14ac:dyDescent="0.25">
      <c r="A43" s="5"/>
      <c r="B43" s="5"/>
      <c r="C43" s="5" t="s">
        <v>263</v>
      </c>
      <c r="D43" s="79">
        <f t="shared" si="7"/>
        <v>0</v>
      </c>
      <c r="E43" s="79">
        <f t="shared" si="8"/>
        <v>0</v>
      </c>
      <c r="F43" s="40"/>
      <c r="G43" s="40"/>
      <c r="H43" s="40"/>
      <c r="I43" s="79"/>
      <c r="J43" s="79"/>
      <c r="K43" s="34"/>
    </row>
    <row r="44" spans="1:16" s="39" customFormat="1" ht="13" x14ac:dyDescent="0.3">
      <c r="C44" s="39" t="s">
        <v>458</v>
      </c>
      <c r="D44" s="59">
        <f t="shared" si="7"/>
        <v>881546.1</v>
      </c>
      <c r="E44" s="59">
        <f t="shared" ref="E44:K44" si="9">SUM(E38:E43)</f>
        <v>866235.5</v>
      </c>
      <c r="F44" s="59">
        <f>SUM(F39:F43)</f>
        <v>881546.1</v>
      </c>
      <c r="G44" s="59">
        <f t="shared" si="9"/>
        <v>0</v>
      </c>
      <c r="H44" s="59">
        <f t="shared" si="9"/>
        <v>866235.5</v>
      </c>
      <c r="I44" s="59">
        <f t="shared" si="9"/>
        <v>0</v>
      </c>
      <c r="J44" s="59">
        <f t="shared" si="9"/>
        <v>631188.30000000005</v>
      </c>
      <c r="K44" s="59">
        <f t="shared" si="9"/>
        <v>0</v>
      </c>
    </row>
    <row r="45" spans="1:16" x14ac:dyDescent="0.25">
      <c r="A45" s="5"/>
      <c r="B45" s="5" t="s">
        <v>264</v>
      </c>
      <c r="C45" s="5"/>
      <c r="D45" s="79"/>
      <c r="E45" s="40"/>
      <c r="F45" s="40"/>
      <c r="G45" s="40"/>
      <c r="H45" s="40"/>
      <c r="I45" s="79"/>
      <c r="J45" s="79"/>
      <c r="K45" s="34"/>
    </row>
    <row r="46" spans="1:16" x14ac:dyDescent="0.25">
      <c r="A46" s="5"/>
      <c r="B46" s="5"/>
      <c r="C46" s="5" t="s">
        <v>265</v>
      </c>
      <c r="D46" s="79">
        <f>F46+G46</f>
        <v>0</v>
      </c>
      <c r="E46" s="79">
        <f>H46+I46</f>
        <v>0</v>
      </c>
      <c r="F46" s="40"/>
      <c r="G46" s="40"/>
      <c r="H46" s="40"/>
      <c r="I46" s="79"/>
      <c r="J46" s="79"/>
      <c r="K46" s="34"/>
    </row>
    <row r="47" spans="1:16" x14ac:dyDescent="0.25">
      <c r="A47" s="5"/>
      <c r="B47" s="5"/>
      <c r="C47" s="5" t="s">
        <v>57</v>
      </c>
      <c r="D47" s="79">
        <f t="shared" ref="D47:D52" si="10">F47+G47</f>
        <v>33699.089999999997</v>
      </c>
      <c r="E47" s="79">
        <f>H47+I47</f>
        <v>107941.58</v>
      </c>
      <c r="F47" s="40">
        <v>32939.5</v>
      </c>
      <c r="G47" s="40">
        <v>759.59</v>
      </c>
      <c r="H47" s="40">
        <v>105867.73</v>
      </c>
      <c r="I47" s="34">
        <v>2073.85</v>
      </c>
      <c r="J47" s="79">
        <v>80425.3</v>
      </c>
      <c r="K47" s="34">
        <v>951.26</v>
      </c>
    </row>
    <row r="48" spans="1:16" x14ac:dyDescent="0.25">
      <c r="A48" s="5"/>
      <c r="B48" s="5"/>
      <c r="C48" s="5" t="s">
        <v>266</v>
      </c>
      <c r="D48" s="79">
        <f t="shared" si="10"/>
        <v>2229523</v>
      </c>
      <c r="E48" s="79">
        <f>H48+I48</f>
        <v>0</v>
      </c>
      <c r="F48" s="40">
        <v>2229523</v>
      </c>
      <c r="G48" s="40"/>
      <c r="H48" s="40"/>
      <c r="I48" s="79"/>
      <c r="J48" s="79"/>
      <c r="K48" s="34"/>
    </row>
    <row r="49" spans="1:12" x14ac:dyDescent="0.25">
      <c r="A49" s="5"/>
      <c r="B49" s="5"/>
      <c r="C49" s="5" t="s">
        <v>59</v>
      </c>
      <c r="D49" s="79">
        <f t="shared" si="10"/>
        <v>638500.96</v>
      </c>
      <c r="E49" s="79">
        <f>H49+I49</f>
        <v>311816.71000000002</v>
      </c>
      <c r="F49" s="40">
        <v>638500.96</v>
      </c>
      <c r="G49" s="40"/>
      <c r="H49" s="40">
        <v>311816.71000000002</v>
      </c>
      <c r="I49" s="79"/>
      <c r="J49" s="79">
        <v>308542.59999999998</v>
      </c>
      <c r="K49" s="34"/>
    </row>
    <row r="50" spans="1:12" x14ac:dyDescent="0.25">
      <c r="A50" s="5"/>
      <c r="B50" s="5"/>
      <c r="C50" s="5" t="s">
        <v>494</v>
      </c>
      <c r="D50" s="79">
        <f t="shared" si="10"/>
        <v>436060</v>
      </c>
      <c r="E50" s="79">
        <f>H50+I50</f>
        <v>0</v>
      </c>
      <c r="F50" s="40">
        <v>436060</v>
      </c>
      <c r="G50" s="40"/>
      <c r="H50" s="40"/>
      <c r="I50" s="79"/>
      <c r="J50" s="79"/>
      <c r="K50" s="34"/>
    </row>
    <row r="51" spans="1:12" s="39" customFormat="1" ht="13" x14ac:dyDescent="0.3">
      <c r="C51" s="39" t="s">
        <v>267</v>
      </c>
      <c r="D51" s="59">
        <f t="shared" si="10"/>
        <v>3337783.05</v>
      </c>
      <c r="E51" s="59">
        <f t="shared" ref="E51:K51" si="11">SUM(E46:E50)</f>
        <v>419758.29000000004</v>
      </c>
      <c r="F51" s="59">
        <f t="shared" si="11"/>
        <v>3337023.46</v>
      </c>
      <c r="G51" s="59">
        <f t="shared" si="11"/>
        <v>759.59</v>
      </c>
      <c r="H51" s="59">
        <f t="shared" si="11"/>
        <v>417684.44</v>
      </c>
      <c r="I51" s="59">
        <f t="shared" si="11"/>
        <v>2073.85</v>
      </c>
      <c r="J51" s="59">
        <f t="shared" si="11"/>
        <v>388967.89999999997</v>
      </c>
      <c r="K51" s="59">
        <f t="shared" si="11"/>
        <v>951.26</v>
      </c>
      <c r="L51" s="59"/>
    </row>
    <row r="52" spans="1:12" s="39" customFormat="1" ht="13" x14ac:dyDescent="0.3">
      <c r="B52" s="39" t="s">
        <v>268</v>
      </c>
      <c r="D52" s="50">
        <f t="shared" si="10"/>
        <v>58295514.68</v>
      </c>
      <c r="E52" s="80">
        <f>E51+E44+E36+E31+E22+E24</f>
        <v>50851998.200000003</v>
      </c>
      <c r="F52" s="80">
        <f t="shared" ref="F52:K52" si="12">F51+F44+F36+F31+F24+F22</f>
        <v>57614103.600000001</v>
      </c>
      <c r="G52" s="80">
        <f t="shared" si="12"/>
        <v>681411.08</v>
      </c>
      <c r="H52" s="80">
        <f t="shared" si="12"/>
        <v>50260638.859999999</v>
      </c>
      <c r="I52" s="80">
        <f t="shared" si="12"/>
        <v>591359.34</v>
      </c>
      <c r="J52" s="80">
        <f t="shared" si="12"/>
        <v>47453641.600000001</v>
      </c>
      <c r="K52" s="80">
        <f t="shared" si="12"/>
        <v>534381.61</v>
      </c>
      <c r="L52" s="59"/>
    </row>
    <row r="53" spans="1:12" ht="13" x14ac:dyDescent="0.3">
      <c r="A53" s="39" t="s">
        <v>269</v>
      </c>
      <c r="B53" s="39"/>
      <c r="C53" s="39"/>
      <c r="D53" s="5"/>
      <c r="E53" s="40"/>
      <c r="F53" s="40"/>
      <c r="G53" s="40"/>
      <c r="H53" s="40"/>
      <c r="I53" s="34"/>
      <c r="J53" s="34">
        <f>47469985.1</f>
        <v>47469985.100000001</v>
      </c>
      <c r="K53" s="34"/>
      <c r="L53" s="74"/>
    </row>
    <row r="54" spans="1:12" ht="13" x14ac:dyDescent="0.3">
      <c r="A54" s="39"/>
      <c r="B54" s="39" t="s">
        <v>270</v>
      </c>
      <c r="C54" s="39"/>
      <c r="D54" s="5"/>
      <c r="E54" s="40"/>
      <c r="F54" s="40"/>
      <c r="G54" s="40"/>
      <c r="H54" s="40"/>
      <c r="I54" s="34"/>
      <c r="J54" s="34"/>
      <c r="K54" s="34"/>
      <c r="L54" s="23"/>
    </row>
    <row r="55" spans="1:12" x14ac:dyDescent="0.25">
      <c r="A55" s="5"/>
      <c r="B55" s="5"/>
      <c r="C55" s="5" t="s">
        <v>271</v>
      </c>
      <c r="D55" s="5"/>
      <c r="E55" s="40"/>
      <c r="F55" s="40"/>
      <c r="G55" s="40"/>
      <c r="H55" s="40"/>
      <c r="I55" s="34"/>
      <c r="J55" s="34"/>
      <c r="K55" s="34"/>
    </row>
    <row r="56" spans="1:12" x14ac:dyDescent="0.25">
      <c r="A56" s="5"/>
      <c r="B56" s="5"/>
      <c r="C56" s="5" t="s">
        <v>272</v>
      </c>
      <c r="D56" s="79">
        <f>F56+G56</f>
        <v>15351181.779999999</v>
      </c>
      <c r="E56" s="79">
        <f>H56+I56</f>
        <v>12645765.5</v>
      </c>
      <c r="F56" s="40">
        <v>15351181.779999999</v>
      </c>
      <c r="G56" s="40"/>
      <c r="H56" s="34">
        <v>12645765.5</v>
      </c>
      <c r="I56" s="34"/>
      <c r="J56" s="34">
        <v>10853937.289999999</v>
      </c>
      <c r="K56" s="34">
        <v>206397.1</v>
      </c>
    </row>
    <row r="57" spans="1:12" x14ac:dyDescent="0.25">
      <c r="A57" s="5"/>
      <c r="B57" s="5"/>
      <c r="C57" s="5" t="s">
        <v>273</v>
      </c>
      <c r="D57" s="79">
        <f t="shared" ref="D57:D81" si="13">F57+G57</f>
        <v>62635</v>
      </c>
      <c r="E57" s="79">
        <f>H57+I57</f>
        <v>43450</v>
      </c>
      <c r="F57" s="40">
        <v>62635</v>
      </c>
      <c r="G57" s="40"/>
      <c r="H57" s="34">
        <v>43450</v>
      </c>
      <c r="I57" s="34"/>
      <c r="J57" s="34"/>
      <c r="K57" s="34">
        <v>8400</v>
      </c>
    </row>
    <row r="58" spans="1:12" x14ac:dyDescent="0.25">
      <c r="A58" s="5"/>
      <c r="B58" s="5"/>
      <c r="C58" s="5" t="s">
        <v>274</v>
      </c>
      <c r="D58" s="79">
        <f t="shared" si="13"/>
        <v>70960.399999999994</v>
      </c>
      <c r="E58" s="79">
        <f>H58+I58</f>
        <v>0</v>
      </c>
      <c r="F58" s="40">
        <v>70960.399999999994</v>
      </c>
      <c r="G58" s="40"/>
      <c r="H58" s="34"/>
      <c r="I58" s="34"/>
      <c r="J58" s="34"/>
      <c r="K58" s="34"/>
    </row>
    <row r="59" spans="1:12" x14ac:dyDescent="0.25">
      <c r="A59" s="5"/>
      <c r="B59" s="5"/>
      <c r="C59" s="5" t="s">
        <v>276</v>
      </c>
      <c r="D59" s="79">
        <f t="shared" si="13"/>
        <v>0</v>
      </c>
      <c r="E59" s="40"/>
      <c r="F59" s="40"/>
      <c r="G59" s="40"/>
      <c r="H59" s="34"/>
      <c r="I59" s="34"/>
      <c r="J59" s="34"/>
      <c r="K59" s="34"/>
    </row>
    <row r="60" spans="1:12" x14ac:dyDescent="0.25">
      <c r="A60" s="5"/>
      <c r="B60" s="5"/>
      <c r="C60" s="5" t="s">
        <v>275</v>
      </c>
      <c r="D60" s="79">
        <f t="shared" si="13"/>
        <v>2022000</v>
      </c>
      <c r="E60" s="79">
        <f t="shared" ref="E60:E81" si="14">H60+I60</f>
        <v>1606000</v>
      </c>
      <c r="F60" s="40">
        <v>2022000</v>
      </c>
      <c r="G60" s="40"/>
      <c r="H60" s="34">
        <v>1606000</v>
      </c>
      <c r="I60" s="34"/>
      <c r="J60" s="34">
        <v>365000</v>
      </c>
      <c r="K60" s="34">
        <v>13650</v>
      </c>
    </row>
    <row r="61" spans="1:12" x14ac:dyDescent="0.25">
      <c r="A61" s="5"/>
      <c r="B61" s="5"/>
      <c r="C61" s="5" t="s">
        <v>277</v>
      </c>
      <c r="D61" s="79">
        <f t="shared" si="13"/>
        <v>0</v>
      </c>
      <c r="E61" s="79">
        <f t="shared" si="14"/>
        <v>225000</v>
      </c>
      <c r="F61" s="40"/>
      <c r="G61" s="40"/>
      <c r="H61" s="34">
        <v>225000</v>
      </c>
      <c r="I61" s="34"/>
      <c r="J61" s="34">
        <v>1344500</v>
      </c>
      <c r="K61" s="34">
        <v>19500</v>
      </c>
    </row>
    <row r="62" spans="1:12" x14ac:dyDescent="0.25">
      <c r="A62" s="5"/>
      <c r="B62" s="5"/>
      <c r="C62" s="5" t="s">
        <v>278</v>
      </c>
      <c r="D62" s="79">
        <f t="shared" si="13"/>
        <v>1228200</v>
      </c>
      <c r="E62" s="79">
        <f t="shared" si="14"/>
        <v>1252125</v>
      </c>
      <c r="F62" s="40">
        <v>1228200</v>
      </c>
      <c r="G62" s="40"/>
      <c r="H62" s="34">
        <v>1252125</v>
      </c>
      <c r="I62" s="34"/>
      <c r="J62" s="34">
        <v>1179825</v>
      </c>
      <c r="K62" s="34"/>
    </row>
    <row r="63" spans="1:12" x14ac:dyDescent="0.25">
      <c r="A63" s="5"/>
      <c r="B63" s="5"/>
      <c r="C63" s="5" t="s">
        <v>280</v>
      </c>
      <c r="D63" s="79">
        <f t="shared" si="13"/>
        <v>1165200</v>
      </c>
      <c r="E63" s="79">
        <f t="shared" si="14"/>
        <v>1156350</v>
      </c>
      <c r="F63" s="40">
        <v>1165200</v>
      </c>
      <c r="G63" s="40"/>
      <c r="H63" s="34">
        <v>1156350</v>
      </c>
      <c r="I63" s="34"/>
      <c r="J63" s="34">
        <v>1107950</v>
      </c>
      <c r="K63" s="34"/>
    </row>
    <row r="64" spans="1:12" x14ac:dyDescent="0.25">
      <c r="A64" s="5"/>
      <c r="B64" s="5"/>
      <c r="C64" s="5" t="s">
        <v>279</v>
      </c>
      <c r="D64" s="79">
        <f t="shared" si="13"/>
        <v>414878</v>
      </c>
      <c r="E64" s="79">
        <f t="shared" si="14"/>
        <v>380000</v>
      </c>
      <c r="F64" s="40">
        <v>414878</v>
      </c>
      <c r="G64" s="40"/>
      <c r="H64" s="34">
        <v>380000</v>
      </c>
      <c r="I64" s="34"/>
      <c r="J64" s="34">
        <v>388000</v>
      </c>
      <c r="K64" s="34">
        <v>16000</v>
      </c>
    </row>
    <row r="65" spans="1:11" x14ac:dyDescent="0.25">
      <c r="A65" s="5"/>
      <c r="B65" s="5"/>
      <c r="C65" s="5" t="s">
        <v>282</v>
      </c>
      <c r="D65" s="79">
        <f t="shared" si="13"/>
        <v>192906</v>
      </c>
      <c r="E65" s="79">
        <f t="shared" si="14"/>
        <v>161700</v>
      </c>
      <c r="F65" s="40">
        <v>192906</v>
      </c>
      <c r="G65" s="40"/>
      <c r="H65" s="34">
        <v>161700</v>
      </c>
      <c r="I65" s="34"/>
      <c r="J65" s="34">
        <v>158400</v>
      </c>
      <c r="K65" s="34"/>
    </row>
    <row r="66" spans="1:11" x14ac:dyDescent="0.25">
      <c r="A66" s="5"/>
      <c r="B66" s="5"/>
      <c r="C66" s="5" t="s">
        <v>281</v>
      </c>
      <c r="D66" s="79">
        <f t="shared" si="13"/>
        <v>165000</v>
      </c>
      <c r="E66" s="79">
        <f t="shared" si="14"/>
        <v>180000</v>
      </c>
      <c r="F66" s="40">
        <v>165000</v>
      </c>
      <c r="G66" s="40"/>
      <c r="H66" s="34">
        <v>180000</v>
      </c>
      <c r="I66" s="34"/>
      <c r="J66" s="34">
        <v>171000</v>
      </c>
      <c r="K66" s="34"/>
    </row>
    <row r="67" spans="1:11" x14ac:dyDescent="0.25">
      <c r="A67" s="5"/>
      <c r="B67" s="5"/>
      <c r="C67" s="5" t="s">
        <v>284</v>
      </c>
      <c r="D67" s="79">
        <f t="shared" si="13"/>
        <v>0</v>
      </c>
      <c r="E67" s="79">
        <f t="shared" si="14"/>
        <v>0</v>
      </c>
      <c r="F67" s="40"/>
      <c r="G67" s="40"/>
      <c r="H67" s="34"/>
      <c r="I67" s="34"/>
      <c r="J67" s="34"/>
      <c r="K67" s="34"/>
    </row>
    <row r="68" spans="1:11" x14ac:dyDescent="0.25">
      <c r="A68" s="5"/>
      <c r="B68" s="5"/>
      <c r="C68" s="5" t="s">
        <v>283</v>
      </c>
      <c r="D68" s="79">
        <f t="shared" si="13"/>
        <v>30400</v>
      </c>
      <c r="E68" s="79">
        <f t="shared" si="14"/>
        <v>31700</v>
      </c>
      <c r="F68" s="40">
        <v>30400</v>
      </c>
      <c r="G68" s="40"/>
      <c r="H68" s="34">
        <v>31700</v>
      </c>
      <c r="I68" s="34"/>
      <c r="J68" s="34">
        <v>21777.73</v>
      </c>
      <c r="K68" s="34"/>
    </row>
    <row r="69" spans="1:11" x14ac:dyDescent="0.25">
      <c r="A69" s="5"/>
      <c r="B69" s="5"/>
      <c r="C69" s="5" t="s">
        <v>285</v>
      </c>
      <c r="D69" s="79">
        <f t="shared" si="13"/>
        <v>73436.25</v>
      </c>
      <c r="E69" s="79">
        <f t="shared" si="14"/>
        <v>70205.75</v>
      </c>
      <c r="F69" s="40">
        <v>73436.25</v>
      </c>
      <c r="G69" s="40"/>
      <c r="H69" s="34">
        <v>70205.75</v>
      </c>
      <c r="I69" s="34"/>
      <c r="J69" s="34">
        <v>90074.4</v>
      </c>
      <c r="K69" s="34"/>
    </row>
    <row r="70" spans="1:11" x14ac:dyDescent="0.25">
      <c r="A70" s="5"/>
      <c r="B70" s="5"/>
      <c r="C70" s="5" t="s">
        <v>423</v>
      </c>
      <c r="D70" s="79">
        <f t="shared" si="13"/>
        <v>0</v>
      </c>
      <c r="E70" s="79">
        <f t="shared" si="14"/>
        <v>0</v>
      </c>
      <c r="F70" s="40"/>
      <c r="G70" s="40"/>
      <c r="H70" s="34"/>
      <c r="I70" s="34"/>
      <c r="J70" s="34">
        <v>55673.8</v>
      </c>
      <c r="K70" s="34"/>
    </row>
    <row r="71" spans="1:11" x14ac:dyDescent="0.25">
      <c r="A71" s="5"/>
      <c r="B71" s="5"/>
      <c r="C71" s="5" t="s">
        <v>286</v>
      </c>
      <c r="D71" s="79">
        <f t="shared" si="13"/>
        <v>54000</v>
      </c>
      <c r="E71" s="79">
        <f t="shared" si="14"/>
        <v>85507.8</v>
      </c>
      <c r="F71" s="40">
        <v>54000</v>
      </c>
      <c r="G71" s="40"/>
      <c r="H71" s="34">
        <v>85507.8</v>
      </c>
      <c r="I71" s="34"/>
      <c r="J71" s="34">
        <v>64000</v>
      </c>
      <c r="K71" s="34"/>
    </row>
    <row r="72" spans="1:11" x14ac:dyDescent="0.25">
      <c r="A72" s="5"/>
      <c r="B72" s="5"/>
      <c r="C72" s="5" t="s">
        <v>287</v>
      </c>
      <c r="D72" s="79">
        <f t="shared" si="13"/>
        <v>422916.67</v>
      </c>
      <c r="E72" s="79">
        <f t="shared" si="14"/>
        <v>377500</v>
      </c>
      <c r="F72" s="40">
        <v>422916.67</v>
      </c>
      <c r="G72" s="40"/>
      <c r="H72" s="34">
        <v>377500</v>
      </c>
      <c r="I72" s="34"/>
      <c r="J72" s="34">
        <v>372231.43</v>
      </c>
      <c r="K72" s="34">
        <v>15000</v>
      </c>
    </row>
    <row r="73" spans="1:11" x14ac:dyDescent="0.25">
      <c r="A73" s="5"/>
      <c r="B73" s="5"/>
      <c r="C73" s="5" t="s">
        <v>288</v>
      </c>
      <c r="D73" s="79">
        <f t="shared" si="13"/>
        <v>1281142.45</v>
      </c>
      <c r="E73" s="79">
        <f t="shared" si="14"/>
        <v>1047784.5</v>
      </c>
      <c r="F73" s="40">
        <v>1281142.45</v>
      </c>
      <c r="G73" s="40"/>
      <c r="H73" s="34">
        <v>1047784.5</v>
      </c>
      <c r="I73" s="34"/>
      <c r="J73" s="34">
        <v>891716.59</v>
      </c>
      <c r="K73" s="34">
        <v>13889.7</v>
      </c>
    </row>
    <row r="74" spans="1:11" x14ac:dyDescent="0.25">
      <c r="A74" s="5"/>
      <c r="B74" s="5"/>
      <c r="C74" s="5" t="s">
        <v>295</v>
      </c>
      <c r="D74" s="79">
        <f t="shared" si="13"/>
        <v>0</v>
      </c>
      <c r="E74" s="79"/>
      <c r="F74" s="40"/>
      <c r="G74" s="40"/>
      <c r="H74" s="34"/>
      <c r="I74" s="34"/>
      <c r="J74" s="34"/>
      <c r="K74" s="34"/>
    </row>
    <row r="75" spans="1:11" x14ac:dyDescent="0.25">
      <c r="A75" s="5"/>
      <c r="B75" s="5"/>
      <c r="C75" s="5" t="s">
        <v>289</v>
      </c>
      <c r="D75" s="79">
        <f t="shared" si="13"/>
        <v>1846496.76</v>
      </c>
      <c r="E75" s="79">
        <f t="shared" si="14"/>
        <v>1501634.25</v>
      </c>
      <c r="F75" s="40">
        <v>1846496.76</v>
      </c>
      <c r="G75" s="40"/>
      <c r="H75" s="34">
        <v>1501634.25</v>
      </c>
      <c r="I75" s="34"/>
      <c r="J75" s="34">
        <v>1258393.07</v>
      </c>
      <c r="K75" s="34">
        <v>21668.01</v>
      </c>
    </row>
    <row r="76" spans="1:11" x14ac:dyDescent="0.25">
      <c r="A76" s="5"/>
      <c r="B76" s="5"/>
      <c r="C76" s="5" t="s">
        <v>290</v>
      </c>
      <c r="D76" s="79">
        <f t="shared" si="13"/>
        <v>307913.28000000003</v>
      </c>
      <c r="E76" s="79">
        <f t="shared" si="14"/>
        <v>241300.29</v>
      </c>
      <c r="F76" s="40">
        <v>307913.28000000003</v>
      </c>
      <c r="G76" s="40"/>
      <c r="H76" s="34">
        <v>241300.29</v>
      </c>
      <c r="I76" s="34"/>
      <c r="J76" s="34">
        <v>205824.64000000001</v>
      </c>
      <c r="K76" s="34">
        <v>3611.4</v>
      </c>
    </row>
    <row r="77" spans="1:11" x14ac:dyDescent="0.25">
      <c r="A77" s="5"/>
      <c r="B77" s="5"/>
      <c r="C77" s="5" t="s">
        <v>291</v>
      </c>
      <c r="D77" s="79">
        <f t="shared" si="13"/>
        <v>191068.75</v>
      </c>
      <c r="E77" s="79">
        <f t="shared" si="14"/>
        <v>138480</v>
      </c>
      <c r="F77" s="40">
        <v>191068.75</v>
      </c>
      <c r="G77" s="40"/>
      <c r="H77" s="34">
        <v>138480</v>
      </c>
      <c r="I77" s="34"/>
      <c r="J77" s="34">
        <v>238172.5</v>
      </c>
      <c r="K77" s="34">
        <v>2000</v>
      </c>
    </row>
    <row r="78" spans="1:11" x14ac:dyDescent="0.25">
      <c r="A78" s="5"/>
      <c r="B78" s="5"/>
      <c r="C78" s="5" t="s">
        <v>292</v>
      </c>
      <c r="D78" s="79">
        <f t="shared" si="13"/>
        <v>89214.43</v>
      </c>
      <c r="E78" s="79">
        <f t="shared" si="14"/>
        <v>76771.87</v>
      </c>
      <c r="F78" s="40">
        <v>89214.43</v>
      </c>
      <c r="G78" s="40"/>
      <c r="H78" s="34">
        <v>76771.87</v>
      </c>
      <c r="I78" s="34"/>
      <c r="J78" s="34">
        <v>75661.48</v>
      </c>
      <c r="K78" s="34">
        <v>1620</v>
      </c>
    </row>
    <row r="79" spans="1:11" x14ac:dyDescent="0.25">
      <c r="A79" s="5"/>
      <c r="B79" s="5"/>
      <c r="C79" s="5" t="s">
        <v>164</v>
      </c>
      <c r="D79" s="79">
        <f t="shared" si="13"/>
        <v>0</v>
      </c>
      <c r="E79" s="79">
        <f t="shared" si="14"/>
        <v>0</v>
      </c>
      <c r="F79" s="40"/>
      <c r="G79" s="40"/>
      <c r="H79" s="34"/>
      <c r="I79" s="34"/>
      <c r="J79" s="34"/>
      <c r="K79" s="34"/>
    </row>
    <row r="80" spans="1:11" x14ac:dyDescent="0.25">
      <c r="A80" s="5"/>
      <c r="B80" s="5"/>
      <c r="C80" s="5" t="s">
        <v>293</v>
      </c>
      <c r="D80" s="79">
        <f t="shared" si="13"/>
        <v>100642.02</v>
      </c>
      <c r="E80" s="79">
        <f t="shared" si="14"/>
        <v>1549691.01</v>
      </c>
      <c r="F80" s="40">
        <v>100642.02</v>
      </c>
      <c r="G80" s="40"/>
      <c r="H80" s="34">
        <v>1549691.01</v>
      </c>
      <c r="I80" s="34"/>
      <c r="J80" s="34">
        <v>749865.01</v>
      </c>
      <c r="K80" s="34"/>
    </row>
    <row r="81" spans="1:11" x14ac:dyDescent="0.25">
      <c r="A81" s="5"/>
      <c r="B81" s="5"/>
      <c r="C81" s="5" t="s">
        <v>294</v>
      </c>
      <c r="D81" s="79">
        <f t="shared" si="13"/>
        <v>0</v>
      </c>
      <c r="E81" s="79">
        <f t="shared" si="14"/>
        <v>14700</v>
      </c>
      <c r="F81" s="40"/>
      <c r="G81" s="40"/>
      <c r="H81" s="34">
        <v>14700</v>
      </c>
      <c r="I81" s="34"/>
      <c r="J81" s="34">
        <v>103600</v>
      </c>
      <c r="K81" s="34"/>
    </row>
    <row r="82" spans="1:11" s="39" customFormat="1" ht="13" x14ac:dyDescent="0.3">
      <c r="C82" s="39" t="s">
        <v>296</v>
      </c>
      <c r="D82" s="69">
        <f t="shared" ref="D82:K82" si="15">SUM(D56:D81)</f>
        <v>25070191.790000003</v>
      </c>
      <c r="E82" s="69">
        <f t="shared" si="15"/>
        <v>22785665.970000003</v>
      </c>
      <c r="F82" s="75">
        <f t="shared" si="15"/>
        <v>25070191.790000003</v>
      </c>
      <c r="G82" s="75">
        <f t="shared" si="15"/>
        <v>0</v>
      </c>
      <c r="H82" s="75">
        <f t="shared" si="15"/>
        <v>22785665.970000003</v>
      </c>
      <c r="I82" s="75">
        <f t="shared" si="15"/>
        <v>0</v>
      </c>
      <c r="J82" s="75">
        <f t="shared" si="15"/>
        <v>19695602.940000005</v>
      </c>
      <c r="K82" s="75">
        <f t="shared" si="15"/>
        <v>321736.21000000002</v>
      </c>
    </row>
    <row r="83" spans="1:11" ht="13" x14ac:dyDescent="0.3">
      <c r="A83" s="5"/>
      <c r="B83" s="39" t="s">
        <v>297</v>
      </c>
      <c r="C83" s="39"/>
      <c r="D83" s="5"/>
      <c r="E83" s="34"/>
      <c r="F83" s="34"/>
      <c r="G83" s="34"/>
      <c r="H83" s="34"/>
      <c r="I83" s="34"/>
      <c r="J83" s="34"/>
      <c r="K83" s="34"/>
    </row>
    <row r="84" spans="1:11" x14ac:dyDescent="0.25">
      <c r="A84" s="5"/>
      <c r="B84" s="5"/>
      <c r="C84" s="5" t="s">
        <v>298</v>
      </c>
      <c r="D84" s="5"/>
      <c r="E84" s="34"/>
      <c r="F84" s="34"/>
      <c r="G84" s="34"/>
      <c r="H84" s="34"/>
      <c r="I84" s="34"/>
      <c r="J84" s="34"/>
      <c r="K84" s="34"/>
    </row>
    <row r="85" spans="1:11" x14ac:dyDescent="0.25">
      <c r="A85" s="5"/>
      <c r="B85" s="5"/>
      <c r="C85" s="5" t="s">
        <v>299</v>
      </c>
      <c r="D85" s="79">
        <f t="shared" ref="D85:D149" si="16">F85+G85</f>
        <v>1332349.95</v>
      </c>
      <c r="E85" s="79">
        <f t="shared" ref="E85:E149" si="17">H85+I85</f>
        <v>1858904.11</v>
      </c>
      <c r="F85" s="40">
        <v>1269372.95</v>
      </c>
      <c r="G85" s="40">
        <v>62977</v>
      </c>
      <c r="H85" s="34">
        <v>1853600.11</v>
      </c>
      <c r="I85" s="34">
        <v>5304</v>
      </c>
      <c r="J85" s="34">
        <v>1388584.46</v>
      </c>
      <c r="K85" s="34"/>
    </row>
    <row r="86" spans="1:11" x14ac:dyDescent="0.25">
      <c r="A86" s="5"/>
      <c r="B86" s="5"/>
      <c r="C86" s="5" t="s">
        <v>79</v>
      </c>
      <c r="D86" s="79">
        <f t="shared" si="16"/>
        <v>141277.07</v>
      </c>
      <c r="E86" s="79">
        <f t="shared" si="17"/>
        <v>100088.53</v>
      </c>
      <c r="F86" s="40">
        <v>141277.07</v>
      </c>
      <c r="G86" s="40"/>
      <c r="H86" s="34">
        <v>100088.53</v>
      </c>
      <c r="I86" s="34"/>
      <c r="J86" s="34">
        <v>126150</v>
      </c>
      <c r="K86" s="34"/>
    </row>
    <row r="87" spans="1:11" x14ac:dyDescent="0.25">
      <c r="A87" s="5"/>
      <c r="B87" s="5"/>
      <c r="C87" s="5" t="s">
        <v>300</v>
      </c>
      <c r="D87" s="79">
        <f t="shared" si="16"/>
        <v>0</v>
      </c>
      <c r="E87" s="79">
        <f t="shared" si="17"/>
        <v>0</v>
      </c>
      <c r="F87" s="40"/>
      <c r="G87" s="40"/>
      <c r="H87" s="34"/>
      <c r="I87" s="34"/>
      <c r="J87" s="34"/>
      <c r="K87" s="34"/>
    </row>
    <row r="88" spans="1:11" x14ac:dyDescent="0.25">
      <c r="A88" s="5"/>
      <c r="B88" s="5"/>
      <c r="C88" s="5" t="s">
        <v>301</v>
      </c>
      <c r="D88" s="79">
        <f t="shared" si="16"/>
        <v>763797.37</v>
      </c>
      <c r="E88" s="79">
        <f t="shared" si="17"/>
        <v>1111830.79</v>
      </c>
      <c r="F88" s="40">
        <v>751777.37</v>
      </c>
      <c r="G88" s="40">
        <v>12020</v>
      </c>
      <c r="H88" s="34">
        <v>1042739.79</v>
      </c>
      <c r="I88" s="34">
        <v>69091</v>
      </c>
      <c r="J88" s="34">
        <f>796587.7-192055.5</f>
        <v>604532.19999999995</v>
      </c>
      <c r="K88" s="34">
        <v>14407</v>
      </c>
    </row>
    <row r="89" spans="1:11" x14ac:dyDescent="0.25">
      <c r="A89" s="5"/>
      <c r="B89" s="5"/>
      <c r="C89" s="5" t="s">
        <v>302</v>
      </c>
      <c r="D89" s="79">
        <f t="shared" si="16"/>
        <v>47245</v>
      </c>
      <c r="E89" s="79">
        <f t="shared" si="17"/>
        <v>43916</v>
      </c>
      <c r="F89" s="40">
        <v>43622.5</v>
      </c>
      <c r="G89" s="40">
        <v>3622.5</v>
      </c>
      <c r="H89" s="34">
        <v>43916</v>
      </c>
      <c r="I89" s="34"/>
      <c r="J89" s="34">
        <v>44971.5</v>
      </c>
      <c r="K89" s="34"/>
    </row>
    <row r="90" spans="1:11" x14ac:dyDescent="0.25">
      <c r="A90" s="5"/>
      <c r="B90" s="5"/>
      <c r="C90" s="5" t="s">
        <v>303</v>
      </c>
      <c r="D90" s="79">
        <f t="shared" si="16"/>
        <v>34405</v>
      </c>
      <c r="E90" s="79">
        <f t="shared" si="17"/>
        <v>32604.720000000001</v>
      </c>
      <c r="F90" s="40">
        <v>34405</v>
      </c>
      <c r="G90" s="40"/>
      <c r="H90" s="34">
        <v>32604.720000000001</v>
      </c>
      <c r="I90" s="34"/>
      <c r="J90" s="34">
        <v>11218.9</v>
      </c>
      <c r="K90" s="34"/>
    </row>
    <row r="91" spans="1:11" x14ac:dyDescent="0.25">
      <c r="A91" s="5"/>
      <c r="B91" s="5"/>
      <c r="C91" s="5" t="s">
        <v>304</v>
      </c>
      <c r="D91" s="79">
        <f t="shared" si="16"/>
        <v>27018</v>
      </c>
      <c r="E91" s="79">
        <f t="shared" si="17"/>
        <v>216668.3</v>
      </c>
      <c r="F91" s="40">
        <v>27018</v>
      </c>
      <c r="G91" s="40"/>
      <c r="H91" s="34">
        <v>216668.3</v>
      </c>
      <c r="I91" s="34"/>
      <c r="J91" s="34">
        <v>136223</v>
      </c>
      <c r="K91" s="34"/>
    </row>
    <row r="92" spans="1:11" x14ac:dyDescent="0.25">
      <c r="A92" s="5"/>
      <c r="B92" s="5"/>
      <c r="C92" s="5" t="s">
        <v>305</v>
      </c>
      <c r="D92" s="79">
        <f t="shared" si="16"/>
        <v>679829.86</v>
      </c>
      <c r="E92" s="79">
        <f t="shared" si="17"/>
        <v>763290.31</v>
      </c>
      <c r="F92" s="40">
        <v>679829.86</v>
      </c>
      <c r="G92" s="40"/>
      <c r="H92" s="34">
        <v>763290.31</v>
      </c>
      <c r="I92" s="34"/>
      <c r="J92" s="34">
        <v>626216.9</v>
      </c>
      <c r="K92" s="34"/>
    </row>
    <row r="93" spans="1:11" x14ac:dyDescent="0.25">
      <c r="A93" s="5"/>
      <c r="B93" s="5"/>
      <c r="C93" s="5" t="s">
        <v>306</v>
      </c>
      <c r="D93" s="79">
        <f t="shared" si="16"/>
        <v>15000</v>
      </c>
      <c r="E93" s="79">
        <f t="shared" si="17"/>
        <v>199397.7</v>
      </c>
      <c r="F93" s="40">
        <v>15000</v>
      </c>
      <c r="G93" s="40"/>
      <c r="H93" s="34">
        <v>199397.7</v>
      </c>
      <c r="I93" s="34"/>
      <c r="J93" s="34">
        <v>174273.6</v>
      </c>
      <c r="K93" s="34"/>
    </row>
    <row r="94" spans="1:11" x14ac:dyDescent="0.25">
      <c r="A94" s="5"/>
      <c r="B94" s="5"/>
      <c r="C94" s="5" t="s">
        <v>307</v>
      </c>
      <c r="D94" s="79">
        <f t="shared" si="16"/>
        <v>2756637.0900000003</v>
      </c>
      <c r="E94" s="79">
        <f t="shared" si="17"/>
        <v>2051476.92</v>
      </c>
      <c r="F94" s="40">
        <v>2667559.9700000002</v>
      </c>
      <c r="G94" s="40">
        <v>89077.119999999995</v>
      </c>
      <c r="H94" s="34">
        <v>2022851.88</v>
      </c>
      <c r="I94" s="34">
        <v>28625.040000000001</v>
      </c>
      <c r="J94" s="34">
        <v>1262221.5900000001</v>
      </c>
      <c r="K94" s="34">
        <v>12969.95</v>
      </c>
    </row>
    <row r="95" spans="1:11" x14ac:dyDescent="0.25">
      <c r="A95" s="5"/>
      <c r="B95" s="5"/>
      <c r="C95" s="5" t="s">
        <v>308</v>
      </c>
      <c r="D95" s="79">
        <f t="shared" si="16"/>
        <v>0</v>
      </c>
      <c r="E95" s="79">
        <f t="shared" si="17"/>
        <v>2470</v>
      </c>
      <c r="F95" s="40"/>
      <c r="G95" s="40"/>
      <c r="H95" s="34">
        <v>2470</v>
      </c>
      <c r="I95" s="34"/>
      <c r="J95" s="34"/>
      <c r="K95" s="34"/>
    </row>
    <row r="96" spans="1:11" x14ac:dyDescent="0.25">
      <c r="A96" s="5"/>
      <c r="B96" s="5"/>
      <c r="C96" s="5" t="s">
        <v>425</v>
      </c>
      <c r="D96" s="79">
        <f t="shared" si="16"/>
        <v>63353</v>
      </c>
      <c r="E96" s="79">
        <f t="shared" si="17"/>
        <v>26498</v>
      </c>
      <c r="F96" s="40">
        <v>63353</v>
      </c>
      <c r="G96" s="40"/>
      <c r="H96" s="34">
        <v>26498</v>
      </c>
      <c r="I96" s="34"/>
      <c r="J96" s="34"/>
      <c r="K96" s="34"/>
    </row>
    <row r="97" spans="1:11" x14ac:dyDescent="0.25">
      <c r="A97" s="5"/>
      <c r="B97" s="5"/>
      <c r="C97" s="5" t="s">
        <v>309</v>
      </c>
      <c r="D97" s="79">
        <f t="shared" si="16"/>
        <v>135455.84</v>
      </c>
      <c r="E97" s="79">
        <f t="shared" si="17"/>
        <v>59205.5</v>
      </c>
      <c r="F97" s="40">
        <v>127760.84</v>
      </c>
      <c r="G97" s="40">
        <v>7695</v>
      </c>
      <c r="H97" s="34">
        <v>59205.5</v>
      </c>
      <c r="I97" s="34"/>
      <c r="J97" s="34">
        <v>27145.279999999999</v>
      </c>
      <c r="K97" s="34"/>
    </row>
    <row r="98" spans="1:11" x14ac:dyDescent="0.25">
      <c r="A98" s="5"/>
      <c r="B98" s="5"/>
      <c r="C98" s="5" t="s">
        <v>310</v>
      </c>
      <c r="D98" s="79">
        <f t="shared" si="16"/>
        <v>0</v>
      </c>
      <c r="E98" s="79">
        <f t="shared" si="17"/>
        <v>0</v>
      </c>
      <c r="F98" s="40"/>
      <c r="G98" s="40"/>
      <c r="H98" s="34"/>
      <c r="I98" s="34"/>
      <c r="J98" s="34"/>
      <c r="K98" s="34"/>
    </row>
    <row r="99" spans="1:11" x14ac:dyDescent="0.25">
      <c r="A99" s="5"/>
      <c r="B99" s="5"/>
      <c r="C99" s="5" t="s">
        <v>312</v>
      </c>
      <c r="D99" s="79">
        <f t="shared" si="16"/>
        <v>0</v>
      </c>
      <c r="E99" s="79">
        <f t="shared" si="17"/>
        <v>0</v>
      </c>
      <c r="F99" s="40"/>
      <c r="G99" s="40"/>
      <c r="H99" s="34"/>
      <c r="I99" s="34"/>
      <c r="J99" s="34"/>
      <c r="K99" s="34"/>
    </row>
    <row r="100" spans="1:11" x14ac:dyDescent="0.25">
      <c r="A100" s="5"/>
      <c r="B100" s="5"/>
      <c r="C100" s="5" t="s">
        <v>311</v>
      </c>
      <c r="D100" s="79">
        <f t="shared" si="16"/>
        <v>429731.46</v>
      </c>
      <c r="E100" s="79">
        <f t="shared" si="17"/>
        <v>337193.37</v>
      </c>
      <c r="F100" s="40">
        <v>429731.46</v>
      </c>
      <c r="G100" s="40"/>
      <c r="H100" s="34">
        <v>337193.37</v>
      </c>
      <c r="I100" s="34"/>
      <c r="J100" s="34">
        <v>320503.65000000002</v>
      </c>
      <c r="K100" s="34"/>
    </row>
    <row r="101" spans="1:11" x14ac:dyDescent="0.25">
      <c r="A101" s="5"/>
      <c r="B101" s="5"/>
      <c r="C101" s="5" t="s">
        <v>313</v>
      </c>
      <c r="D101" s="79">
        <f t="shared" si="16"/>
        <v>0</v>
      </c>
      <c r="E101" s="79">
        <f t="shared" si="17"/>
        <v>0</v>
      </c>
      <c r="F101" s="40"/>
      <c r="G101" s="40"/>
      <c r="H101" s="34"/>
      <c r="I101" s="34"/>
      <c r="J101" s="34"/>
      <c r="K101" s="34"/>
    </row>
    <row r="102" spans="1:11" x14ac:dyDescent="0.25">
      <c r="A102" s="5"/>
      <c r="B102" s="5"/>
      <c r="C102" s="5" t="s">
        <v>314</v>
      </c>
      <c r="D102" s="79">
        <f t="shared" si="16"/>
        <v>0</v>
      </c>
      <c r="E102" s="79">
        <f t="shared" si="17"/>
        <v>135.41999999999999</v>
      </c>
      <c r="F102" s="40"/>
      <c r="G102" s="40"/>
      <c r="H102" s="34">
        <v>135.41999999999999</v>
      </c>
      <c r="I102" s="34"/>
      <c r="J102" s="34"/>
      <c r="K102" s="34"/>
    </row>
    <row r="103" spans="1:11" x14ac:dyDescent="0.25">
      <c r="A103" s="5"/>
      <c r="B103" s="5"/>
      <c r="C103" s="5" t="s">
        <v>315</v>
      </c>
      <c r="D103" s="79">
        <f t="shared" si="16"/>
        <v>56539.09</v>
      </c>
      <c r="E103" s="79">
        <f t="shared" si="17"/>
        <v>37649.919999999998</v>
      </c>
      <c r="F103" s="40">
        <v>56539.09</v>
      </c>
      <c r="G103" s="40"/>
      <c r="H103" s="34">
        <v>37649.919999999998</v>
      </c>
      <c r="I103" s="34"/>
      <c r="J103" s="34">
        <v>44885.07</v>
      </c>
      <c r="K103" s="34"/>
    </row>
    <row r="104" spans="1:11" x14ac:dyDescent="0.25">
      <c r="A104" s="5"/>
      <c r="B104" s="5"/>
      <c r="C104" s="5" t="s">
        <v>316</v>
      </c>
      <c r="D104" s="79">
        <f t="shared" si="16"/>
        <v>233850</v>
      </c>
      <c r="E104" s="79">
        <f t="shared" si="17"/>
        <v>710200</v>
      </c>
      <c r="F104" s="40">
        <v>233850</v>
      </c>
      <c r="G104" s="40"/>
      <c r="H104" s="34">
        <v>710200</v>
      </c>
      <c r="I104" s="34"/>
      <c r="J104" s="34">
        <v>347760</v>
      </c>
      <c r="K104" s="34"/>
    </row>
    <row r="105" spans="1:11" x14ac:dyDescent="0.25">
      <c r="A105" s="5"/>
      <c r="B105" s="5"/>
      <c r="C105" s="5" t="s">
        <v>468</v>
      </c>
      <c r="D105" s="79">
        <f t="shared" si="16"/>
        <v>4068.35</v>
      </c>
      <c r="E105" s="79"/>
      <c r="F105" s="40"/>
      <c r="G105" s="40">
        <v>4068.35</v>
      </c>
      <c r="H105" s="34"/>
      <c r="I105" s="34"/>
      <c r="J105" s="34"/>
      <c r="K105" s="34"/>
    </row>
    <row r="106" spans="1:11" x14ac:dyDescent="0.25">
      <c r="A106" s="5"/>
      <c r="B106" s="5"/>
      <c r="C106" s="5" t="s">
        <v>317</v>
      </c>
      <c r="D106" s="79">
        <f t="shared" si="16"/>
        <v>0</v>
      </c>
      <c r="E106" s="79">
        <f t="shared" si="17"/>
        <v>5000</v>
      </c>
      <c r="F106" s="40"/>
      <c r="G106" s="40"/>
      <c r="H106" s="34">
        <v>5000</v>
      </c>
      <c r="I106" s="34"/>
      <c r="J106" s="34"/>
      <c r="K106" s="34"/>
    </row>
    <row r="107" spans="1:11" x14ac:dyDescent="0.25">
      <c r="A107" s="5"/>
      <c r="B107" s="5"/>
      <c r="C107" s="5" t="s">
        <v>89</v>
      </c>
      <c r="D107" s="79">
        <f t="shared" si="16"/>
        <v>307800</v>
      </c>
      <c r="E107" s="79">
        <f t="shared" si="17"/>
        <v>186500</v>
      </c>
      <c r="F107" s="40">
        <v>307800</v>
      </c>
      <c r="G107" s="40"/>
      <c r="H107" s="34">
        <v>186500</v>
      </c>
      <c r="I107" s="34"/>
      <c r="J107" s="34">
        <v>221983.73</v>
      </c>
      <c r="K107" s="34"/>
    </row>
    <row r="108" spans="1:11" x14ac:dyDescent="0.25">
      <c r="A108" s="5"/>
      <c r="B108" s="5"/>
      <c r="C108" s="5" t="s">
        <v>426</v>
      </c>
      <c r="D108" s="79">
        <f t="shared" si="16"/>
        <v>0</v>
      </c>
      <c r="E108" s="79">
        <f t="shared" si="17"/>
        <v>1045</v>
      </c>
      <c r="F108" s="40"/>
      <c r="G108" s="40"/>
      <c r="H108" s="34">
        <v>1045</v>
      </c>
      <c r="I108" s="34"/>
      <c r="J108" s="34"/>
      <c r="K108" s="34"/>
    </row>
    <row r="109" spans="1:11" x14ac:dyDescent="0.25">
      <c r="A109" s="5"/>
      <c r="B109" s="5"/>
      <c r="C109" s="5" t="s">
        <v>90</v>
      </c>
      <c r="D109" s="79">
        <f t="shared" si="16"/>
        <v>10000</v>
      </c>
      <c r="E109" s="79">
        <f t="shared" si="17"/>
        <v>18480</v>
      </c>
      <c r="F109" s="40">
        <v>10000</v>
      </c>
      <c r="G109" s="40"/>
      <c r="H109" s="34">
        <v>18480</v>
      </c>
      <c r="I109" s="34"/>
      <c r="J109" s="34">
        <v>14990</v>
      </c>
      <c r="K109" s="34"/>
    </row>
    <row r="110" spans="1:11" x14ac:dyDescent="0.25">
      <c r="A110" s="5"/>
      <c r="B110" s="5"/>
      <c r="C110" s="5" t="s">
        <v>91</v>
      </c>
      <c r="D110" s="79">
        <f t="shared" si="16"/>
        <v>952800.9</v>
      </c>
      <c r="E110" s="79">
        <f t="shared" si="17"/>
        <v>838828.15</v>
      </c>
      <c r="F110" s="40">
        <v>943984.9</v>
      </c>
      <c r="G110" s="40">
        <v>8816</v>
      </c>
      <c r="H110" s="34">
        <v>838684.15</v>
      </c>
      <c r="I110" s="34">
        <v>144</v>
      </c>
      <c r="J110" s="34">
        <v>344494.18</v>
      </c>
      <c r="K110" s="34"/>
    </row>
    <row r="111" spans="1:11" x14ac:dyDescent="0.25">
      <c r="A111" s="5"/>
      <c r="B111" s="5"/>
      <c r="C111" s="5" t="s">
        <v>318</v>
      </c>
      <c r="D111" s="79">
        <f t="shared" si="16"/>
        <v>18000</v>
      </c>
      <c r="E111" s="79">
        <f t="shared" si="17"/>
        <v>18600</v>
      </c>
      <c r="F111" s="40">
        <v>18000</v>
      </c>
      <c r="G111" s="40"/>
      <c r="H111" s="34">
        <v>18600</v>
      </c>
      <c r="I111" s="34"/>
      <c r="J111" s="34">
        <v>11229</v>
      </c>
      <c r="K111" s="34"/>
    </row>
    <row r="112" spans="1:11" x14ac:dyDescent="0.25">
      <c r="A112" s="5"/>
      <c r="B112" s="5"/>
      <c r="C112" s="5" t="s">
        <v>166</v>
      </c>
      <c r="D112" s="79">
        <f t="shared" si="16"/>
        <v>19950</v>
      </c>
      <c r="E112" s="79">
        <f t="shared" si="17"/>
        <v>89000</v>
      </c>
      <c r="F112" s="40">
        <v>19950</v>
      </c>
      <c r="G112" s="40"/>
      <c r="H112" s="34">
        <v>89000</v>
      </c>
      <c r="I112" s="34"/>
      <c r="J112" s="34">
        <v>22500</v>
      </c>
      <c r="K112" s="34"/>
    </row>
    <row r="113" spans="1:11" x14ac:dyDescent="0.25">
      <c r="A113" s="5"/>
      <c r="B113" s="5"/>
      <c r="C113" s="5" t="s">
        <v>319</v>
      </c>
      <c r="D113" s="79">
        <f t="shared" si="16"/>
        <v>48346</v>
      </c>
      <c r="E113" s="79">
        <f t="shared" si="17"/>
        <v>0</v>
      </c>
      <c r="F113" s="40">
        <v>48346</v>
      </c>
      <c r="G113" s="40"/>
      <c r="H113" s="34"/>
      <c r="I113" s="34"/>
      <c r="J113" s="34"/>
      <c r="K113" s="34"/>
    </row>
    <row r="114" spans="1:11" x14ac:dyDescent="0.25">
      <c r="A114" s="5"/>
      <c r="B114" s="5"/>
      <c r="C114" s="5" t="s">
        <v>320</v>
      </c>
      <c r="D114" s="79">
        <f t="shared" si="16"/>
        <v>0</v>
      </c>
      <c r="E114" s="79">
        <f t="shared" si="17"/>
        <v>56209.29</v>
      </c>
      <c r="F114" s="40"/>
      <c r="G114" s="40"/>
      <c r="H114" s="34">
        <v>56209.29</v>
      </c>
      <c r="I114" s="34"/>
      <c r="J114" s="34">
        <v>53590</v>
      </c>
      <c r="K114" s="34"/>
    </row>
    <row r="115" spans="1:11" x14ac:dyDescent="0.25">
      <c r="A115" s="5"/>
      <c r="B115" s="5"/>
      <c r="C115" s="5" t="s">
        <v>321</v>
      </c>
      <c r="D115" s="79">
        <f t="shared" si="16"/>
        <v>454554</v>
      </c>
      <c r="E115" s="79">
        <f t="shared" si="17"/>
        <v>0</v>
      </c>
      <c r="F115" s="40">
        <v>454554</v>
      </c>
      <c r="G115" s="40"/>
      <c r="H115" s="34"/>
      <c r="I115" s="34"/>
      <c r="J115" s="34">
        <v>90000</v>
      </c>
      <c r="K115" s="34"/>
    </row>
    <row r="116" spans="1:11" x14ac:dyDescent="0.25">
      <c r="A116" s="5"/>
      <c r="B116" s="5"/>
      <c r="C116" s="5" t="s">
        <v>322</v>
      </c>
      <c r="D116" s="79">
        <f t="shared" si="16"/>
        <v>4119325.66</v>
      </c>
      <c r="E116" s="79">
        <f t="shared" si="17"/>
        <v>4238880.07</v>
      </c>
      <c r="F116" s="40">
        <v>3836976.66</v>
      </c>
      <c r="G116" s="40">
        <v>282349</v>
      </c>
      <c r="H116" s="34">
        <v>3919354.08</v>
      </c>
      <c r="I116" s="34">
        <v>319525.99</v>
      </c>
      <c r="J116" s="34">
        <v>3102660.73</v>
      </c>
      <c r="K116" s="34"/>
    </row>
    <row r="117" spans="1:11" x14ac:dyDescent="0.25">
      <c r="A117" s="5"/>
      <c r="B117" s="5"/>
      <c r="C117" s="5" t="s">
        <v>323</v>
      </c>
      <c r="D117" s="79">
        <f t="shared" si="16"/>
        <v>0</v>
      </c>
      <c r="E117" s="79">
        <f t="shared" si="17"/>
        <v>295002.92</v>
      </c>
      <c r="F117" s="40"/>
      <c r="G117" s="40"/>
      <c r="H117" s="34">
        <v>295002.92</v>
      </c>
      <c r="I117" s="34"/>
      <c r="J117" s="34">
        <v>135485</v>
      </c>
      <c r="K117" s="34"/>
    </row>
    <row r="118" spans="1:11" x14ac:dyDescent="0.25">
      <c r="A118" s="5"/>
      <c r="B118" s="5"/>
      <c r="C118" s="5" t="s">
        <v>324</v>
      </c>
      <c r="D118" s="79">
        <f t="shared" si="16"/>
        <v>25200</v>
      </c>
      <c r="E118" s="79">
        <f t="shared" si="17"/>
        <v>22200</v>
      </c>
      <c r="F118" s="40">
        <v>25200</v>
      </c>
      <c r="G118" s="40"/>
      <c r="H118" s="34">
        <v>22200</v>
      </c>
      <c r="I118" s="34"/>
      <c r="J118" s="34">
        <v>28800</v>
      </c>
      <c r="K118" s="34"/>
    </row>
    <row r="119" spans="1:11" x14ac:dyDescent="0.25">
      <c r="A119" s="5"/>
      <c r="B119" s="5"/>
      <c r="C119" s="5" t="s">
        <v>325</v>
      </c>
      <c r="D119" s="79">
        <f t="shared" si="16"/>
        <v>412400</v>
      </c>
      <c r="E119" s="79">
        <f t="shared" si="17"/>
        <v>282575</v>
      </c>
      <c r="F119" s="40">
        <v>412400</v>
      </c>
      <c r="G119" s="40"/>
      <c r="H119" s="34">
        <v>282575</v>
      </c>
      <c r="I119" s="34"/>
      <c r="J119" s="34"/>
      <c r="K119" s="34"/>
    </row>
    <row r="120" spans="1:11" x14ac:dyDescent="0.25">
      <c r="A120" s="5"/>
      <c r="B120" s="5" t="s">
        <v>326</v>
      </c>
      <c r="C120" s="5"/>
      <c r="D120" s="79">
        <f t="shared" si="16"/>
        <v>0</v>
      </c>
      <c r="E120" s="79">
        <f t="shared" si="17"/>
        <v>0</v>
      </c>
      <c r="F120" s="40"/>
      <c r="G120" s="40"/>
      <c r="H120" s="34"/>
      <c r="I120" s="34"/>
      <c r="J120" s="34"/>
      <c r="K120" s="34"/>
    </row>
    <row r="121" spans="1:11" x14ac:dyDescent="0.25">
      <c r="A121" s="5"/>
      <c r="B121" s="5"/>
      <c r="C121" s="5" t="s">
        <v>327</v>
      </c>
      <c r="D121" s="79">
        <f t="shared" si="16"/>
        <v>0</v>
      </c>
      <c r="E121" s="79">
        <f t="shared" si="17"/>
        <v>0</v>
      </c>
      <c r="F121" s="40"/>
      <c r="G121" s="40"/>
      <c r="H121" s="34"/>
      <c r="I121" s="34"/>
      <c r="J121" s="34"/>
      <c r="K121" s="34"/>
    </row>
    <row r="122" spans="1:11" x14ac:dyDescent="0.25">
      <c r="A122" s="5"/>
      <c r="B122" s="5"/>
      <c r="C122" s="5" t="s">
        <v>328</v>
      </c>
      <c r="D122" s="79">
        <f t="shared" si="16"/>
        <v>119060</v>
      </c>
      <c r="E122" s="79">
        <f t="shared" si="17"/>
        <v>0</v>
      </c>
      <c r="F122" s="40">
        <v>119060</v>
      </c>
      <c r="G122" s="40"/>
      <c r="H122" s="34"/>
      <c r="I122" s="34"/>
      <c r="J122" s="34"/>
      <c r="K122" s="34"/>
    </row>
    <row r="123" spans="1:11" x14ac:dyDescent="0.25">
      <c r="A123" s="5"/>
      <c r="B123" s="5"/>
      <c r="C123" s="5" t="s">
        <v>460</v>
      </c>
      <c r="D123" s="79">
        <f t="shared" si="16"/>
        <v>255686.3</v>
      </c>
      <c r="E123" s="79">
        <f t="shared" si="17"/>
        <v>99001.1</v>
      </c>
      <c r="F123" s="40">
        <v>255686.3</v>
      </c>
      <c r="G123" s="40"/>
      <c r="H123" s="34">
        <v>99001.1</v>
      </c>
      <c r="I123" s="34"/>
      <c r="J123" s="34">
        <v>42486.5</v>
      </c>
      <c r="K123" s="34"/>
    </row>
    <row r="124" spans="1:11" x14ac:dyDescent="0.25">
      <c r="A124" s="5"/>
      <c r="B124" s="5"/>
      <c r="C124" s="5" t="s">
        <v>329</v>
      </c>
      <c r="D124" s="79">
        <f t="shared" si="16"/>
        <v>1006784.03</v>
      </c>
      <c r="E124" s="79">
        <f t="shared" si="17"/>
        <v>737641.88</v>
      </c>
      <c r="F124" s="40">
        <v>1006784.03</v>
      </c>
      <c r="G124" s="40"/>
      <c r="H124" s="34">
        <v>737641.88</v>
      </c>
      <c r="I124" s="34"/>
      <c r="J124" s="34">
        <v>161072.5</v>
      </c>
      <c r="K124" s="34"/>
    </row>
    <row r="125" spans="1:11" x14ac:dyDescent="0.25">
      <c r="A125" s="5"/>
      <c r="B125" s="5"/>
      <c r="C125" s="5" t="s">
        <v>333</v>
      </c>
      <c r="D125" s="79">
        <f t="shared" si="16"/>
        <v>0</v>
      </c>
      <c r="E125" s="79">
        <f t="shared" si="17"/>
        <v>12815</v>
      </c>
      <c r="F125" s="40"/>
      <c r="G125" s="40"/>
      <c r="H125" s="34"/>
      <c r="I125" s="34">
        <v>12815</v>
      </c>
      <c r="J125" s="34"/>
      <c r="K125" s="34"/>
    </row>
    <row r="126" spans="1:11" x14ac:dyDescent="0.25">
      <c r="A126" s="5"/>
      <c r="B126" s="5"/>
      <c r="C126" s="5" t="s">
        <v>334</v>
      </c>
      <c r="D126" s="79">
        <f t="shared" si="16"/>
        <v>758881.37</v>
      </c>
      <c r="E126" s="79">
        <f t="shared" si="17"/>
        <v>55100</v>
      </c>
      <c r="F126" s="40">
        <v>758881.37</v>
      </c>
      <c r="G126" s="40"/>
      <c r="H126" s="34">
        <v>55100</v>
      </c>
      <c r="I126" s="34"/>
      <c r="J126" s="34"/>
      <c r="K126" s="34"/>
    </row>
    <row r="127" spans="1:11" x14ac:dyDescent="0.25">
      <c r="A127" s="5"/>
      <c r="B127" s="5"/>
      <c r="C127" s="5" t="s">
        <v>330</v>
      </c>
      <c r="D127" s="79">
        <f t="shared" si="16"/>
        <v>286500</v>
      </c>
      <c r="E127" s="79">
        <f t="shared" si="17"/>
        <v>3065</v>
      </c>
      <c r="F127" s="40">
        <v>286500</v>
      </c>
      <c r="G127" s="40"/>
      <c r="H127" s="34">
        <v>3065</v>
      </c>
      <c r="I127" s="34"/>
      <c r="J127" s="34">
        <v>79531.399999999994</v>
      </c>
      <c r="K127" s="34"/>
    </row>
    <row r="128" spans="1:11" x14ac:dyDescent="0.25">
      <c r="A128" s="5"/>
      <c r="B128" s="5"/>
      <c r="C128" s="5" t="s">
        <v>335</v>
      </c>
      <c r="D128" s="79">
        <f t="shared" si="16"/>
        <v>0</v>
      </c>
      <c r="E128" s="79">
        <f t="shared" si="17"/>
        <v>0</v>
      </c>
      <c r="F128" s="40"/>
      <c r="G128" s="40"/>
      <c r="H128" s="34"/>
      <c r="I128" s="34"/>
      <c r="J128" s="34"/>
      <c r="K128" s="34"/>
    </row>
    <row r="129" spans="1:11" x14ac:dyDescent="0.25">
      <c r="A129" s="5"/>
      <c r="B129" s="5"/>
      <c r="C129" s="5" t="s">
        <v>331</v>
      </c>
      <c r="D129" s="79">
        <f t="shared" si="16"/>
        <v>14100</v>
      </c>
      <c r="E129" s="79">
        <f t="shared" si="17"/>
        <v>53000</v>
      </c>
      <c r="F129" s="40">
        <v>14100</v>
      </c>
      <c r="G129" s="40"/>
      <c r="H129" s="34">
        <v>53000</v>
      </c>
      <c r="I129" s="34"/>
      <c r="J129" s="34">
        <v>12950</v>
      </c>
      <c r="K129" s="34"/>
    </row>
    <row r="130" spans="1:11" x14ac:dyDescent="0.25">
      <c r="A130" s="5"/>
      <c r="B130" s="5"/>
      <c r="C130" s="5" t="s">
        <v>332</v>
      </c>
      <c r="D130" s="79">
        <f t="shared" si="16"/>
        <v>6600</v>
      </c>
      <c r="E130" s="79">
        <f t="shared" si="17"/>
        <v>62959.8</v>
      </c>
      <c r="F130" s="40"/>
      <c r="G130" s="40">
        <v>6600</v>
      </c>
      <c r="H130" s="34">
        <v>62959.8</v>
      </c>
      <c r="I130" s="34"/>
      <c r="J130" s="34">
        <v>33466</v>
      </c>
      <c r="K130" s="34"/>
    </row>
    <row r="131" spans="1:11" x14ac:dyDescent="0.25">
      <c r="A131" s="5"/>
      <c r="B131" s="5"/>
      <c r="C131" s="5" t="s">
        <v>338</v>
      </c>
      <c r="D131" s="79">
        <f t="shared" si="16"/>
        <v>0</v>
      </c>
      <c r="E131" s="79">
        <f t="shared" si="17"/>
        <v>0</v>
      </c>
      <c r="F131" s="40"/>
      <c r="G131" s="40"/>
      <c r="H131" s="34"/>
      <c r="I131" s="34"/>
      <c r="J131" s="34"/>
      <c r="K131" s="34"/>
    </row>
    <row r="132" spans="1:11" x14ac:dyDescent="0.25">
      <c r="A132" s="5"/>
      <c r="B132" s="5"/>
      <c r="C132" s="5" t="s">
        <v>339</v>
      </c>
      <c r="D132" s="79">
        <f t="shared" si="16"/>
        <v>0</v>
      </c>
      <c r="E132" s="79">
        <f t="shared" si="17"/>
        <v>0</v>
      </c>
      <c r="F132" s="40"/>
      <c r="G132" s="40"/>
      <c r="H132" s="34"/>
      <c r="I132" s="34"/>
      <c r="J132" s="34"/>
      <c r="K132" s="34"/>
    </row>
    <row r="133" spans="1:11" x14ac:dyDescent="0.25">
      <c r="A133" s="5"/>
      <c r="B133" s="5"/>
      <c r="C133" s="5" t="s">
        <v>336</v>
      </c>
      <c r="D133" s="79">
        <f t="shared" si="16"/>
        <v>8460</v>
      </c>
      <c r="E133" s="79">
        <f t="shared" si="17"/>
        <v>53575</v>
      </c>
      <c r="F133" s="40">
        <v>8460</v>
      </c>
      <c r="G133" s="40"/>
      <c r="H133" s="34">
        <v>53575</v>
      </c>
      <c r="I133" s="34"/>
      <c r="J133" s="34">
        <v>18357</v>
      </c>
      <c r="K133" s="34"/>
    </row>
    <row r="134" spans="1:11" x14ac:dyDescent="0.25">
      <c r="A134" s="5"/>
      <c r="B134" s="5"/>
      <c r="C134" s="5" t="s">
        <v>427</v>
      </c>
      <c r="D134" s="79">
        <f t="shared" si="16"/>
        <v>31800</v>
      </c>
      <c r="E134" s="79">
        <f t="shared" si="17"/>
        <v>38600</v>
      </c>
      <c r="F134" s="40">
        <v>31800</v>
      </c>
      <c r="G134" s="40"/>
      <c r="H134" s="34">
        <v>38600</v>
      </c>
      <c r="I134" s="34"/>
      <c r="J134" s="34"/>
      <c r="K134" s="34"/>
    </row>
    <row r="135" spans="1:11" x14ac:dyDescent="0.25">
      <c r="A135" s="5"/>
      <c r="B135" s="5"/>
      <c r="C135" s="5" t="s">
        <v>337</v>
      </c>
      <c r="D135" s="79">
        <f t="shared" si="16"/>
        <v>0</v>
      </c>
      <c r="E135" s="79">
        <f t="shared" si="17"/>
        <v>0</v>
      </c>
      <c r="F135" s="40"/>
      <c r="G135" s="40"/>
      <c r="H135" s="34"/>
      <c r="I135" s="34"/>
      <c r="J135" s="34">
        <v>5930</v>
      </c>
      <c r="K135" s="34"/>
    </row>
    <row r="136" spans="1:11" x14ac:dyDescent="0.25">
      <c r="A136" s="5"/>
      <c r="B136" s="5"/>
      <c r="C136" s="5" t="s">
        <v>340</v>
      </c>
      <c r="D136" s="79">
        <f t="shared" si="16"/>
        <v>69250</v>
      </c>
      <c r="E136" s="79">
        <f t="shared" si="17"/>
        <v>0</v>
      </c>
      <c r="F136" s="40">
        <v>69250</v>
      </c>
      <c r="G136" s="40"/>
      <c r="H136" s="34"/>
      <c r="I136" s="34"/>
      <c r="J136" s="34"/>
      <c r="K136" s="34"/>
    </row>
    <row r="137" spans="1:11" x14ac:dyDescent="0.25">
      <c r="A137" s="5"/>
      <c r="B137" s="5"/>
      <c r="C137" s="5" t="s">
        <v>341</v>
      </c>
      <c r="D137" s="79">
        <f t="shared" si="16"/>
        <v>0</v>
      </c>
      <c r="E137" s="79">
        <f t="shared" si="17"/>
        <v>0</v>
      </c>
      <c r="F137" s="40"/>
      <c r="G137" s="40"/>
      <c r="H137" s="34"/>
      <c r="I137" s="34"/>
      <c r="J137" s="34"/>
      <c r="K137" s="34"/>
    </row>
    <row r="138" spans="1:11" x14ac:dyDescent="0.25">
      <c r="A138" s="5"/>
      <c r="B138" s="5"/>
      <c r="C138" s="5" t="s">
        <v>342</v>
      </c>
      <c r="D138" s="79">
        <f t="shared" si="16"/>
        <v>693393.34</v>
      </c>
      <c r="E138" s="79">
        <f t="shared" si="17"/>
        <v>906884.45</v>
      </c>
      <c r="F138" s="40">
        <v>693393.34</v>
      </c>
      <c r="G138" s="40"/>
      <c r="H138" s="34">
        <v>906884.45</v>
      </c>
      <c r="I138" s="34"/>
      <c r="J138" s="34">
        <v>671947.96</v>
      </c>
      <c r="K138" s="34"/>
    </row>
    <row r="139" spans="1:11" x14ac:dyDescent="0.25">
      <c r="A139" s="5"/>
      <c r="B139" s="5"/>
      <c r="C139" s="5" t="s">
        <v>344</v>
      </c>
      <c r="D139" s="79">
        <f t="shared" si="16"/>
        <v>0</v>
      </c>
      <c r="E139" s="79">
        <f t="shared" si="17"/>
        <v>0</v>
      </c>
      <c r="F139" s="40"/>
      <c r="G139" s="40"/>
      <c r="H139" s="34"/>
      <c r="I139" s="34"/>
      <c r="J139" s="34"/>
      <c r="K139" s="34"/>
    </row>
    <row r="140" spans="1:11" x14ac:dyDescent="0.25">
      <c r="A140" s="5"/>
      <c r="B140" s="5"/>
      <c r="C140" s="5" t="s">
        <v>345</v>
      </c>
      <c r="D140" s="79">
        <f t="shared" si="16"/>
        <v>0</v>
      </c>
      <c r="E140" s="79">
        <f t="shared" si="17"/>
        <v>0</v>
      </c>
      <c r="F140" s="40"/>
      <c r="G140" s="40"/>
      <c r="H140" s="34"/>
      <c r="I140" s="34"/>
      <c r="J140" s="34"/>
      <c r="K140" s="34"/>
    </row>
    <row r="141" spans="1:11" x14ac:dyDescent="0.25">
      <c r="A141" s="5"/>
      <c r="B141" s="5"/>
      <c r="C141" s="5" t="s">
        <v>346</v>
      </c>
      <c r="D141" s="79">
        <f t="shared" si="16"/>
        <v>0</v>
      </c>
      <c r="E141" s="79">
        <f t="shared" si="17"/>
        <v>0</v>
      </c>
      <c r="F141" s="40"/>
      <c r="G141" s="40"/>
      <c r="H141" s="34"/>
      <c r="I141" s="34"/>
      <c r="J141" s="34"/>
      <c r="K141" s="34"/>
    </row>
    <row r="142" spans="1:11" x14ac:dyDescent="0.25">
      <c r="A142" s="5"/>
      <c r="B142" s="5"/>
      <c r="C142" s="5" t="s">
        <v>131</v>
      </c>
      <c r="D142" s="79">
        <f t="shared" si="16"/>
        <v>0</v>
      </c>
      <c r="E142" s="79">
        <f t="shared" si="17"/>
        <v>0</v>
      </c>
      <c r="F142" s="40"/>
      <c r="G142" s="40"/>
      <c r="H142" s="34"/>
      <c r="I142" s="34"/>
      <c r="J142" s="34"/>
      <c r="K142" s="34"/>
    </row>
    <row r="143" spans="1:11" x14ac:dyDescent="0.25">
      <c r="A143" s="5"/>
      <c r="B143" s="5"/>
      <c r="C143" s="5" t="s">
        <v>343</v>
      </c>
      <c r="D143" s="79">
        <f t="shared" si="16"/>
        <v>581753</v>
      </c>
      <c r="E143" s="79">
        <f t="shared" si="17"/>
        <v>334200.5</v>
      </c>
      <c r="F143" s="40">
        <v>581753</v>
      </c>
      <c r="G143" s="40"/>
      <c r="H143" s="34">
        <v>334200.5</v>
      </c>
      <c r="I143" s="34"/>
      <c r="J143" s="34">
        <v>271155.75</v>
      </c>
      <c r="K143" s="34"/>
    </row>
    <row r="144" spans="1:11" x14ac:dyDescent="0.25">
      <c r="A144" s="5"/>
      <c r="B144" s="5"/>
      <c r="C144" s="5" t="s">
        <v>347</v>
      </c>
      <c r="D144" s="79">
        <f t="shared" si="16"/>
        <v>0</v>
      </c>
      <c r="E144" s="79">
        <f t="shared" si="17"/>
        <v>0</v>
      </c>
      <c r="F144" s="40"/>
      <c r="G144" s="40"/>
      <c r="H144" s="34"/>
      <c r="I144" s="34"/>
      <c r="J144" s="34"/>
      <c r="K144" s="34"/>
    </row>
    <row r="145" spans="1:11" x14ac:dyDescent="0.25">
      <c r="A145" s="5"/>
      <c r="B145" s="5"/>
      <c r="C145" s="5" t="s">
        <v>348</v>
      </c>
      <c r="D145" s="79">
        <f t="shared" si="16"/>
        <v>0</v>
      </c>
      <c r="E145" s="79">
        <f t="shared" si="17"/>
        <v>131945.5</v>
      </c>
      <c r="F145" s="40"/>
      <c r="G145" s="40"/>
      <c r="H145" s="34">
        <v>131945.5</v>
      </c>
      <c r="I145" s="34"/>
      <c r="J145" s="34">
        <v>482859</v>
      </c>
      <c r="K145" s="34"/>
    </row>
    <row r="146" spans="1:11" x14ac:dyDescent="0.25">
      <c r="A146" s="5"/>
      <c r="B146" s="5"/>
      <c r="C146" s="5" t="s">
        <v>350</v>
      </c>
      <c r="D146" s="79">
        <f t="shared" si="16"/>
        <v>0</v>
      </c>
      <c r="E146" s="79">
        <f t="shared" si="17"/>
        <v>0</v>
      </c>
      <c r="F146" s="40"/>
      <c r="G146" s="40"/>
      <c r="H146" s="34"/>
      <c r="I146" s="34"/>
      <c r="J146" s="34"/>
      <c r="K146" s="34"/>
    </row>
    <row r="147" spans="1:11" x14ac:dyDescent="0.25">
      <c r="A147" s="5"/>
      <c r="B147" s="5"/>
      <c r="C147" s="5" t="s">
        <v>351</v>
      </c>
      <c r="D147" s="79">
        <f t="shared" si="16"/>
        <v>58884.78</v>
      </c>
      <c r="E147" s="79">
        <f t="shared" si="17"/>
        <v>66896.789999999994</v>
      </c>
      <c r="F147" s="40">
        <v>58884.78</v>
      </c>
      <c r="G147" s="40"/>
      <c r="H147" s="34">
        <v>66896.789999999994</v>
      </c>
      <c r="I147" s="34"/>
      <c r="J147" s="34"/>
      <c r="K147" s="34"/>
    </row>
    <row r="148" spans="1:11" ht="15.75" customHeight="1" x14ac:dyDescent="0.25">
      <c r="A148" s="5"/>
      <c r="B148" s="5"/>
      <c r="C148" s="5" t="s">
        <v>349</v>
      </c>
      <c r="D148" s="79">
        <f t="shared" si="16"/>
        <v>0</v>
      </c>
      <c r="E148" s="79"/>
      <c r="F148" s="40"/>
      <c r="G148" s="40"/>
      <c r="H148" s="34"/>
      <c r="I148" s="34"/>
      <c r="J148" s="34"/>
      <c r="K148" s="34"/>
    </row>
    <row r="149" spans="1:11" x14ac:dyDescent="0.25">
      <c r="A149" s="5"/>
      <c r="B149" s="5"/>
      <c r="C149" s="5" t="s">
        <v>352</v>
      </c>
      <c r="D149" s="79">
        <f t="shared" si="16"/>
        <v>0</v>
      </c>
      <c r="E149" s="79">
        <f t="shared" si="17"/>
        <v>0</v>
      </c>
      <c r="F149" s="40"/>
      <c r="G149" s="40"/>
      <c r="H149" s="34"/>
      <c r="I149" s="34"/>
      <c r="J149" s="34">
        <v>12975</v>
      </c>
      <c r="K149" s="34"/>
    </row>
    <row r="150" spans="1:11" x14ac:dyDescent="0.25">
      <c r="A150" s="5"/>
      <c r="B150" s="5"/>
      <c r="C150" s="5" t="s">
        <v>353</v>
      </c>
      <c r="D150" s="79">
        <f t="shared" ref="D150:D176" si="18">F150+G150</f>
        <v>24546.59</v>
      </c>
      <c r="E150" s="79">
        <f t="shared" ref="E150:E177" si="19">H150+I150</f>
        <v>37355.550000000003</v>
      </c>
      <c r="F150" s="40">
        <v>24546.59</v>
      </c>
      <c r="G150" s="40"/>
      <c r="H150" s="34">
        <v>37355.550000000003</v>
      </c>
      <c r="I150" s="34"/>
      <c r="J150" s="34">
        <v>40894.94</v>
      </c>
      <c r="K150" s="34">
        <v>3849.06</v>
      </c>
    </row>
    <row r="151" spans="1:11" x14ac:dyDescent="0.25">
      <c r="A151" s="5"/>
      <c r="B151" s="5" t="s">
        <v>354</v>
      </c>
      <c r="C151" s="5"/>
      <c r="D151" s="79">
        <f t="shared" si="18"/>
        <v>0</v>
      </c>
      <c r="E151" s="79">
        <f t="shared" si="19"/>
        <v>0</v>
      </c>
      <c r="F151" s="40"/>
      <c r="G151" s="40"/>
      <c r="H151" s="34"/>
      <c r="I151" s="34"/>
      <c r="J151" s="34"/>
      <c r="K151" s="34"/>
    </row>
    <row r="152" spans="1:11" x14ac:dyDescent="0.25">
      <c r="A152" s="5"/>
      <c r="B152" s="5"/>
      <c r="C152" s="5" t="s">
        <v>355</v>
      </c>
      <c r="D152" s="79">
        <f t="shared" si="18"/>
        <v>0</v>
      </c>
      <c r="E152" s="79"/>
      <c r="F152" s="40"/>
      <c r="G152" s="40"/>
      <c r="H152" s="34"/>
      <c r="I152" s="34"/>
      <c r="J152" s="34"/>
      <c r="K152" s="34"/>
    </row>
    <row r="153" spans="1:11" x14ac:dyDescent="0.25">
      <c r="A153" s="5"/>
      <c r="B153" s="5"/>
      <c r="C153" s="5" t="s">
        <v>356</v>
      </c>
      <c r="D153" s="79">
        <f t="shared" si="18"/>
        <v>0</v>
      </c>
      <c r="E153" s="79">
        <f t="shared" si="19"/>
        <v>0</v>
      </c>
      <c r="F153" s="40"/>
      <c r="G153" s="40"/>
      <c r="H153" s="34"/>
      <c r="I153" s="34"/>
      <c r="J153" s="34"/>
      <c r="K153" s="34"/>
    </row>
    <row r="154" spans="1:11" x14ac:dyDescent="0.25">
      <c r="A154" s="5"/>
      <c r="B154" s="5"/>
      <c r="C154" s="5" t="s">
        <v>357</v>
      </c>
      <c r="D154" s="79">
        <f t="shared" si="18"/>
        <v>26070.67</v>
      </c>
      <c r="E154" s="79">
        <f t="shared" si="19"/>
        <v>22737.33</v>
      </c>
      <c r="F154" s="40">
        <v>26070.67</v>
      </c>
      <c r="G154" s="40"/>
      <c r="H154" s="34">
        <v>22737.33</v>
      </c>
      <c r="I154" s="34"/>
      <c r="J154" s="34">
        <v>22737.33</v>
      </c>
      <c r="K154" s="34"/>
    </row>
    <row r="155" spans="1:11" x14ac:dyDescent="0.25">
      <c r="A155" s="5"/>
      <c r="B155" s="5"/>
      <c r="C155" s="5" t="s">
        <v>358</v>
      </c>
      <c r="D155" s="79">
        <f t="shared" si="18"/>
        <v>37591.53</v>
      </c>
      <c r="E155" s="79">
        <f t="shared" si="19"/>
        <v>37424.870000000003</v>
      </c>
      <c r="F155" s="40">
        <v>37591.53</v>
      </c>
      <c r="G155" s="40"/>
      <c r="H155" s="34">
        <v>37424.870000000003</v>
      </c>
      <c r="I155" s="34"/>
      <c r="J155" s="34">
        <v>37424.870000000003</v>
      </c>
      <c r="K155" s="34"/>
    </row>
    <row r="156" spans="1:11" x14ac:dyDescent="0.25">
      <c r="A156" s="5"/>
      <c r="B156" s="5"/>
      <c r="C156" s="5" t="s">
        <v>359</v>
      </c>
      <c r="D156" s="79">
        <f t="shared" si="18"/>
        <v>0</v>
      </c>
      <c r="E156" s="79"/>
      <c r="F156" s="40"/>
      <c r="G156" s="40"/>
      <c r="H156" s="34"/>
      <c r="I156" s="34"/>
      <c r="J156" s="34"/>
      <c r="K156" s="34"/>
    </row>
    <row r="157" spans="1:11" x14ac:dyDescent="0.25">
      <c r="A157" s="5"/>
      <c r="B157" s="5"/>
      <c r="C157" s="5" t="s">
        <v>360</v>
      </c>
      <c r="D157" s="79">
        <f t="shared" si="18"/>
        <v>207915.41</v>
      </c>
      <c r="E157" s="79">
        <f t="shared" si="19"/>
        <v>181210.77</v>
      </c>
      <c r="F157" s="40">
        <v>207915.41</v>
      </c>
      <c r="G157" s="40"/>
      <c r="H157" s="34">
        <v>181210.77</v>
      </c>
      <c r="I157" s="34"/>
      <c r="J157" s="34">
        <v>181210.77</v>
      </c>
      <c r="K157" s="34"/>
    </row>
    <row r="158" spans="1:11" x14ac:dyDescent="0.25">
      <c r="A158" s="5"/>
      <c r="B158" s="5"/>
      <c r="C158" s="5" t="s">
        <v>361</v>
      </c>
      <c r="D158" s="79">
        <f t="shared" si="18"/>
        <v>6345.88</v>
      </c>
      <c r="E158" s="79">
        <f t="shared" si="19"/>
        <v>6345.88</v>
      </c>
      <c r="F158" s="40">
        <v>6345.88</v>
      </c>
      <c r="G158" s="40"/>
      <c r="H158" s="34">
        <v>6345.88</v>
      </c>
      <c r="I158" s="34"/>
      <c r="J158" s="34">
        <v>6345.88</v>
      </c>
      <c r="K158" s="34"/>
    </row>
    <row r="159" spans="1:11" x14ac:dyDescent="0.25">
      <c r="A159" s="5"/>
      <c r="B159" s="5"/>
      <c r="C159" s="5" t="s">
        <v>362</v>
      </c>
      <c r="D159" s="79">
        <f t="shared" si="18"/>
        <v>0</v>
      </c>
      <c r="E159" s="79">
        <f t="shared" si="19"/>
        <v>16343.2</v>
      </c>
      <c r="F159" s="40"/>
      <c r="G159" s="40"/>
      <c r="H159" s="34">
        <v>16343.2</v>
      </c>
      <c r="I159" s="34"/>
      <c r="J159" s="34">
        <v>16343.2</v>
      </c>
      <c r="K159" s="34"/>
    </row>
    <row r="160" spans="1:11" x14ac:dyDescent="0.25">
      <c r="A160" s="5"/>
      <c r="B160" s="5"/>
      <c r="C160" s="5" t="s">
        <v>363</v>
      </c>
      <c r="D160" s="79">
        <f t="shared" si="18"/>
        <v>477409.08</v>
      </c>
      <c r="E160" s="79">
        <f t="shared" si="19"/>
        <v>55886.28</v>
      </c>
      <c r="F160" s="40">
        <v>477409.08</v>
      </c>
      <c r="G160" s="40"/>
      <c r="H160" s="34">
        <v>55886.28</v>
      </c>
      <c r="I160" s="34"/>
      <c r="J160" s="34">
        <v>455886.28</v>
      </c>
      <c r="K160" s="34"/>
    </row>
    <row r="161" spans="1:11" x14ac:dyDescent="0.25">
      <c r="A161" s="5"/>
      <c r="B161" s="5"/>
      <c r="C161" s="5" t="s">
        <v>364</v>
      </c>
      <c r="D161" s="79">
        <f t="shared" si="18"/>
        <v>0</v>
      </c>
      <c r="E161" s="79"/>
      <c r="F161" s="40"/>
      <c r="G161" s="40"/>
      <c r="H161" s="34"/>
      <c r="I161" s="34"/>
      <c r="J161" s="34"/>
      <c r="K161" s="34"/>
    </row>
    <row r="162" spans="1:11" x14ac:dyDescent="0.25">
      <c r="A162" s="5"/>
      <c r="B162" s="5"/>
      <c r="C162" s="5" t="s">
        <v>365</v>
      </c>
      <c r="D162" s="79">
        <f t="shared" si="18"/>
        <v>92822.21</v>
      </c>
      <c r="E162" s="79">
        <f t="shared" si="19"/>
        <v>148127.6</v>
      </c>
      <c r="F162" s="40">
        <v>92822.21</v>
      </c>
      <c r="G162" s="40"/>
      <c r="H162" s="34">
        <v>148127.6</v>
      </c>
      <c r="I162" s="34"/>
      <c r="J162" s="34">
        <v>148127.6</v>
      </c>
      <c r="K162" s="34"/>
    </row>
    <row r="163" spans="1:11" x14ac:dyDescent="0.25">
      <c r="A163" s="5"/>
      <c r="B163" s="5"/>
      <c r="C163" s="5" t="s">
        <v>366</v>
      </c>
      <c r="D163" s="79">
        <f t="shared" si="18"/>
        <v>27515.7</v>
      </c>
      <c r="E163" s="79">
        <f t="shared" si="19"/>
        <v>203561.8</v>
      </c>
      <c r="F163" s="40">
        <v>27515.7</v>
      </c>
      <c r="G163" s="40"/>
      <c r="H163" s="34">
        <v>203561.8</v>
      </c>
      <c r="I163" s="34"/>
      <c r="J163" s="34">
        <v>203561.8</v>
      </c>
      <c r="K163" s="34"/>
    </row>
    <row r="164" spans="1:11" x14ac:dyDescent="0.25">
      <c r="A164" s="5"/>
      <c r="B164" s="5"/>
      <c r="C164" s="5" t="s">
        <v>367</v>
      </c>
      <c r="D164" s="79">
        <f t="shared" si="18"/>
        <v>279941.19</v>
      </c>
      <c r="E164" s="79">
        <f t="shared" si="19"/>
        <v>281759.35999999999</v>
      </c>
      <c r="F164" s="40">
        <v>275743.19</v>
      </c>
      <c r="G164" s="40">
        <v>4198</v>
      </c>
      <c r="H164" s="34">
        <v>281759.35999999999</v>
      </c>
      <c r="I164" s="34"/>
      <c r="J164" s="34">
        <v>381759.36</v>
      </c>
      <c r="K164" s="34"/>
    </row>
    <row r="165" spans="1:11" x14ac:dyDescent="0.25">
      <c r="A165" s="5"/>
      <c r="B165" s="5"/>
      <c r="C165" s="5" t="s">
        <v>368</v>
      </c>
      <c r="D165" s="79">
        <f t="shared" si="18"/>
        <v>14510.43</v>
      </c>
      <c r="E165" s="79">
        <f t="shared" si="19"/>
        <v>5740</v>
      </c>
      <c r="F165" s="40">
        <v>9063.48</v>
      </c>
      <c r="G165" s="40">
        <v>5446.95</v>
      </c>
      <c r="H165" s="34">
        <v>5740</v>
      </c>
      <c r="I165" s="34"/>
      <c r="J165" s="34">
        <v>5740</v>
      </c>
      <c r="K165" s="34"/>
    </row>
    <row r="166" spans="1:11" x14ac:dyDescent="0.25">
      <c r="A166" s="5"/>
      <c r="B166" s="5"/>
      <c r="C166" s="5" t="s">
        <v>369</v>
      </c>
      <c r="D166" s="79">
        <f t="shared" si="18"/>
        <v>0</v>
      </c>
      <c r="E166" s="79"/>
      <c r="F166" s="40"/>
      <c r="G166" s="40"/>
      <c r="H166" s="34"/>
      <c r="I166" s="34"/>
      <c r="J166" s="34"/>
      <c r="K166" s="34"/>
    </row>
    <row r="167" spans="1:11" x14ac:dyDescent="0.25">
      <c r="A167" s="5"/>
      <c r="B167" s="5"/>
      <c r="C167" s="5" t="s">
        <v>370</v>
      </c>
      <c r="D167" s="79">
        <f t="shared" si="18"/>
        <v>58094.6</v>
      </c>
      <c r="E167" s="79">
        <f t="shared" si="19"/>
        <v>86255.25</v>
      </c>
      <c r="F167" s="40">
        <v>58094.6</v>
      </c>
      <c r="G167" s="40"/>
      <c r="H167" s="34">
        <v>86255.25</v>
      </c>
      <c r="I167" s="34"/>
      <c r="J167" s="34">
        <v>86255.25</v>
      </c>
      <c r="K167" s="34"/>
    </row>
    <row r="168" spans="1:11" x14ac:dyDescent="0.25">
      <c r="A168" s="5"/>
      <c r="B168" s="5"/>
      <c r="C168" s="5" t="s">
        <v>371</v>
      </c>
      <c r="D168" s="79">
        <f t="shared" si="18"/>
        <v>175970</v>
      </c>
      <c r="E168" s="79">
        <f t="shared" si="19"/>
        <v>370331.16</v>
      </c>
      <c r="F168" s="40">
        <v>175970</v>
      </c>
      <c r="G168" s="40"/>
      <c r="H168" s="34">
        <v>370331.16</v>
      </c>
      <c r="I168" s="34"/>
      <c r="J168" s="34">
        <v>270331.15999999997</v>
      </c>
      <c r="K168" s="34"/>
    </row>
    <row r="169" spans="1:11" x14ac:dyDescent="0.25">
      <c r="A169" s="5"/>
      <c r="B169" s="5"/>
      <c r="C169" s="5" t="s">
        <v>376</v>
      </c>
      <c r="D169" s="79">
        <f t="shared" si="18"/>
        <v>0</v>
      </c>
      <c r="E169" s="79">
        <f t="shared" si="19"/>
        <v>0</v>
      </c>
      <c r="F169" s="40"/>
      <c r="G169" s="40"/>
      <c r="H169" s="34"/>
      <c r="I169" s="34"/>
      <c r="J169" s="34"/>
      <c r="K169" s="34"/>
    </row>
    <row r="170" spans="1:11" x14ac:dyDescent="0.25">
      <c r="A170" s="5"/>
      <c r="B170" s="5"/>
      <c r="C170" s="5" t="s">
        <v>481</v>
      </c>
      <c r="D170" s="79">
        <f t="shared" si="18"/>
        <v>31519.200000000001</v>
      </c>
      <c r="E170" s="79"/>
      <c r="F170" s="40">
        <v>31519.200000000001</v>
      </c>
      <c r="G170" s="40"/>
      <c r="H170" s="34"/>
      <c r="I170" s="34"/>
      <c r="J170" s="34"/>
      <c r="K170" s="34"/>
    </row>
    <row r="171" spans="1:11" x14ac:dyDescent="0.25">
      <c r="A171" s="5"/>
      <c r="B171" s="5"/>
      <c r="C171" s="5" t="s">
        <v>372</v>
      </c>
      <c r="D171" s="79">
        <f t="shared" si="18"/>
        <v>39890</v>
      </c>
      <c r="E171" s="79">
        <f t="shared" si="19"/>
        <v>138432.82</v>
      </c>
      <c r="F171" s="40">
        <v>39890</v>
      </c>
      <c r="G171" s="40"/>
      <c r="H171" s="34">
        <v>138432.82</v>
      </c>
      <c r="I171" s="34"/>
      <c r="J171" s="34">
        <v>138432.82</v>
      </c>
      <c r="K171" s="34"/>
    </row>
    <row r="172" spans="1:11" x14ac:dyDescent="0.25">
      <c r="A172" s="5"/>
      <c r="B172" s="5"/>
      <c r="C172" s="5" t="s">
        <v>377</v>
      </c>
      <c r="D172" s="79">
        <f t="shared" si="18"/>
        <v>0</v>
      </c>
      <c r="E172" s="79"/>
      <c r="F172" s="40"/>
      <c r="G172" s="40"/>
      <c r="H172" s="34"/>
      <c r="I172" s="34"/>
      <c r="J172" s="34"/>
      <c r="K172" s="34"/>
    </row>
    <row r="173" spans="1:11" x14ac:dyDescent="0.25">
      <c r="A173" s="5"/>
      <c r="B173" s="5"/>
      <c r="C173" s="5" t="s">
        <v>373</v>
      </c>
      <c r="D173" s="79">
        <f t="shared" si="18"/>
        <v>1075013.01</v>
      </c>
      <c r="E173" s="79">
        <f t="shared" si="19"/>
        <v>191799.21</v>
      </c>
      <c r="F173" s="40">
        <v>1075013.01</v>
      </c>
      <c r="G173" s="40"/>
      <c r="H173" s="34">
        <v>191799.21</v>
      </c>
      <c r="I173" s="34"/>
      <c r="J173" s="34">
        <v>291799.21000000002</v>
      </c>
      <c r="K173" s="34"/>
    </row>
    <row r="174" spans="1:11" x14ac:dyDescent="0.25">
      <c r="A174" s="5"/>
      <c r="B174" s="5"/>
      <c r="C174" s="5" t="s">
        <v>374</v>
      </c>
      <c r="D174" s="79">
        <f t="shared" si="18"/>
        <v>0</v>
      </c>
      <c r="E174" s="79">
        <f t="shared" si="19"/>
        <v>9450</v>
      </c>
      <c r="F174" s="40"/>
      <c r="G174" s="40"/>
      <c r="H174" s="34">
        <v>9450</v>
      </c>
      <c r="I174" s="34"/>
      <c r="J174" s="34">
        <v>9450</v>
      </c>
      <c r="K174" s="34"/>
    </row>
    <row r="175" spans="1:11" x14ac:dyDescent="0.25">
      <c r="A175" s="5"/>
      <c r="B175" s="5"/>
      <c r="C175" s="5" t="s">
        <v>378</v>
      </c>
      <c r="D175" s="79">
        <f t="shared" si="18"/>
        <v>0</v>
      </c>
      <c r="E175" s="79"/>
      <c r="F175" s="40"/>
      <c r="G175" s="40"/>
      <c r="H175" s="5"/>
      <c r="I175" s="34"/>
      <c r="J175" s="34"/>
      <c r="K175" s="34"/>
    </row>
    <row r="176" spans="1:11" x14ac:dyDescent="0.25">
      <c r="A176" s="5"/>
      <c r="B176" s="5"/>
      <c r="C176" s="5" t="s">
        <v>379</v>
      </c>
      <c r="D176" s="79">
        <f t="shared" si="18"/>
        <v>0</v>
      </c>
      <c r="E176" s="79">
        <f t="shared" si="19"/>
        <v>0</v>
      </c>
      <c r="F176" s="40"/>
      <c r="G176" s="40"/>
      <c r="H176" s="34"/>
      <c r="I176" s="34"/>
      <c r="J176" s="34"/>
      <c r="K176" s="34"/>
    </row>
    <row r="177" spans="1:12" x14ac:dyDescent="0.25">
      <c r="A177" s="5"/>
      <c r="B177" s="5"/>
      <c r="C177" s="5" t="s">
        <v>375</v>
      </c>
      <c r="D177" s="79">
        <f>F177+G177</f>
        <v>4240975.1900000004</v>
      </c>
      <c r="E177" s="79">
        <f t="shared" si="19"/>
        <v>4091014.42</v>
      </c>
      <c r="F177" s="40">
        <v>4204430.1900000004</v>
      </c>
      <c r="G177" s="40">
        <v>36545</v>
      </c>
      <c r="H177" s="34">
        <v>3915047.38</v>
      </c>
      <c r="I177" s="34">
        <v>175967.04</v>
      </c>
      <c r="J177" s="34">
        <f>2920064.37+27687.2</f>
        <v>2947751.5700000003</v>
      </c>
      <c r="K177" s="34">
        <v>34000</v>
      </c>
      <c r="L177" s="23"/>
    </row>
    <row r="178" spans="1:12" ht="13" x14ac:dyDescent="0.3">
      <c r="A178" s="39"/>
      <c r="B178" s="39"/>
      <c r="C178" s="39" t="s">
        <v>380</v>
      </c>
      <c r="D178" s="49">
        <f t="shared" ref="D178:K178" si="20">SUM(D85:D177)</f>
        <v>23796217.150000006</v>
      </c>
      <c r="E178" s="49">
        <f t="shared" si="20"/>
        <v>22043310.539999999</v>
      </c>
      <c r="F178" s="49">
        <f t="shared" si="20"/>
        <v>23272802.23</v>
      </c>
      <c r="G178" s="49">
        <f t="shared" si="20"/>
        <v>523414.92</v>
      </c>
      <c r="H178" s="49">
        <f t="shared" si="20"/>
        <v>21431838.469999999</v>
      </c>
      <c r="I178" s="49">
        <f t="shared" si="20"/>
        <v>611472.07000000007</v>
      </c>
      <c r="J178" s="49">
        <f t="shared" si="20"/>
        <v>16177201.940000001</v>
      </c>
      <c r="K178" s="49">
        <f t="shared" si="20"/>
        <v>65226.01</v>
      </c>
      <c r="L178" s="23"/>
    </row>
    <row r="179" spans="1:12" ht="13" x14ac:dyDescent="0.3">
      <c r="A179" s="39"/>
      <c r="B179" s="39" t="s">
        <v>381</v>
      </c>
      <c r="C179" s="39"/>
      <c r="D179" s="53">
        <f t="shared" ref="D179:K179" si="21">D52-D82-D178</f>
        <v>9429105.7399999909</v>
      </c>
      <c r="E179" s="53">
        <f t="shared" si="21"/>
        <v>6023021.6900000013</v>
      </c>
      <c r="F179" s="53">
        <f t="shared" si="21"/>
        <v>9271109.5799999982</v>
      </c>
      <c r="G179" s="53">
        <f t="shared" si="21"/>
        <v>157996.15999999997</v>
      </c>
      <c r="H179" s="53">
        <f t="shared" si="21"/>
        <v>6043134.4199999981</v>
      </c>
      <c r="I179" s="53">
        <f t="shared" si="21"/>
        <v>-20112.730000000098</v>
      </c>
      <c r="J179" s="53">
        <f t="shared" si="21"/>
        <v>11580836.719999995</v>
      </c>
      <c r="K179" s="53">
        <f t="shared" si="21"/>
        <v>147419.38999999996</v>
      </c>
      <c r="L179" s="23"/>
    </row>
    <row r="180" spans="1:12" ht="13" x14ac:dyDescent="0.3">
      <c r="A180" s="39"/>
      <c r="B180" s="39"/>
      <c r="C180" s="39" t="s">
        <v>382</v>
      </c>
      <c r="D180" s="5"/>
      <c r="E180" s="34"/>
      <c r="F180" s="34"/>
      <c r="G180" s="34"/>
      <c r="H180" s="34"/>
      <c r="I180" s="34"/>
      <c r="J180" s="34"/>
      <c r="K180" s="34"/>
    </row>
    <row r="181" spans="1:12" x14ac:dyDescent="0.25">
      <c r="A181" s="5"/>
      <c r="B181" s="5"/>
      <c r="C181" s="5" t="s">
        <v>146</v>
      </c>
      <c r="D181" s="79">
        <f>F181+G181</f>
        <v>428</v>
      </c>
      <c r="E181" s="79">
        <f>H181+I181</f>
        <v>9614</v>
      </c>
      <c r="F181" s="40">
        <v>428</v>
      </c>
      <c r="G181" s="40"/>
      <c r="H181" s="34">
        <v>9614</v>
      </c>
      <c r="I181" s="34"/>
      <c r="J181" s="34">
        <v>535</v>
      </c>
      <c r="K181" s="34"/>
    </row>
    <row r="182" spans="1:12" x14ac:dyDescent="0.25">
      <c r="A182" s="5"/>
      <c r="B182" s="5"/>
      <c r="C182" s="5" t="s">
        <v>169</v>
      </c>
      <c r="D182" s="79">
        <f>F182+G182</f>
        <v>0</v>
      </c>
      <c r="E182" s="79">
        <f>H182+I182</f>
        <v>0</v>
      </c>
      <c r="F182" s="40"/>
      <c r="G182" s="40"/>
      <c r="H182" s="34"/>
      <c r="I182" s="34"/>
      <c r="J182" s="34">
        <v>3000</v>
      </c>
      <c r="K182" s="34"/>
    </row>
    <row r="183" spans="1:12" x14ac:dyDescent="0.25">
      <c r="A183" s="5"/>
      <c r="B183" s="5"/>
      <c r="C183" s="5" t="s">
        <v>103</v>
      </c>
      <c r="D183" s="79">
        <f>F183+G183</f>
        <v>1391085.64</v>
      </c>
      <c r="E183" s="79">
        <f>H183+I183</f>
        <v>1743769.95</v>
      </c>
      <c r="F183" s="40">
        <v>1391085.64</v>
      </c>
      <c r="G183" s="40"/>
      <c r="H183" s="34">
        <v>1743769.95</v>
      </c>
      <c r="I183" s="34"/>
      <c r="J183" s="34">
        <v>2155104.7200000002</v>
      </c>
      <c r="K183" s="34"/>
    </row>
    <row r="184" spans="1:12" x14ac:dyDescent="0.25">
      <c r="A184" s="5"/>
      <c r="B184" s="5"/>
      <c r="C184" s="5" t="s">
        <v>104</v>
      </c>
      <c r="D184" s="79">
        <f>F184+G184</f>
        <v>0</v>
      </c>
      <c r="E184" s="79">
        <f>H184+I184</f>
        <v>0</v>
      </c>
      <c r="F184" s="40"/>
      <c r="G184" s="40"/>
      <c r="H184" s="34"/>
      <c r="I184" s="34"/>
      <c r="J184" s="34"/>
      <c r="K184" s="34"/>
    </row>
    <row r="185" spans="1:12" s="39" customFormat="1" ht="13" x14ac:dyDescent="0.3">
      <c r="C185" s="39" t="s">
        <v>429</v>
      </c>
      <c r="D185" s="59">
        <f>F185+G185</f>
        <v>1391513.64</v>
      </c>
      <c r="E185" s="59">
        <f>H185+I185</f>
        <v>1753383.95</v>
      </c>
      <c r="F185" s="69">
        <f t="shared" ref="F185:K185" si="22">SUM(F181:F184)</f>
        <v>1391513.64</v>
      </c>
      <c r="G185" s="69">
        <f t="shared" si="22"/>
        <v>0</v>
      </c>
      <c r="H185" s="69">
        <f t="shared" si="22"/>
        <v>1753383.95</v>
      </c>
      <c r="I185" s="69">
        <f t="shared" si="22"/>
        <v>0</v>
      </c>
      <c r="J185" s="69">
        <f t="shared" si="22"/>
        <v>2158639.7200000002</v>
      </c>
      <c r="K185" s="69">
        <f t="shared" si="22"/>
        <v>0</v>
      </c>
    </row>
    <row r="186" spans="1:12" ht="13" x14ac:dyDescent="0.3">
      <c r="A186" s="5"/>
      <c r="B186" s="5"/>
      <c r="C186" s="5"/>
      <c r="D186" s="59"/>
      <c r="E186" s="59"/>
      <c r="F186" s="40"/>
      <c r="G186" s="40"/>
      <c r="H186" s="34"/>
      <c r="I186" s="34"/>
      <c r="J186" s="34"/>
      <c r="K186" s="34"/>
    </row>
    <row r="187" spans="1:12" ht="13" x14ac:dyDescent="0.3">
      <c r="A187" s="5" t="s">
        <v>408</v>
      </c>
      <c r="B187" s="5"/>
      <c r="C187" s="5"/>
      <c r="D187" s="48">
        <f>D179-D185</f>
        <v>8037592.0999999912</v>
      </c>
      <c r="E187" s="53">
        <f t="shared" ref="E187:K187" si="23">E179-E185</f>
        <v>4269637.7400000012</v>
      </c>
      <c r="F187" s="53">
        <f t="shared" si="23"/>
        <v>7879595.9399999985</v>
      </c>
      <c r="G187" s="53">
        <f t="shared" si="23"/>
        <v>157996.15999999997</v>
      </c>
      <c r="H187" s="53">
        <f t="shared" si="23"/>
        <v>4289750.4699999979</v>
      </c>
      <c r="I187" s="53">
        <f t="shared" si="23"/>
        <v>-20112.730000000098</v>
      </c>
      <c r="J187" s="53">
        <f t="shared" si="23"/>
        <v>9422196.9999999944</v>
      </c>
      <c r="K187" s="53">
        <f t="shared" si="23"/>
        <v>147419.38999999996</v>
      </c>
    </row>
    <row r="188" spans="1:12" x14ac:dyDescent="0.25">
      <c r="A188" s="5" t="s">
        <v>413</v>
      </c>
      <c r="B188" s="5"/>
      <c r="C188" s="5" t="s">
        <v>414</v>
      </c>
      <c r="D188" s="5"/>
      <c r="E188" s="34"/>
      <c r="F188" s="34"/>
      <c r="G188" s="34"/>
      <c r="H188" s="34"/>
      <c r="I188" s="34"/>
      <c r="J188" s="34"/>
      <c r="K188" s="34"/>
    </row>
    <row r="189" spans="1:12" x14ac:dyDescent="0.25">
      <c r="A189" s="5"/>
      <c r="B189" s="5"/>
      <c r="C189" s="5" t="s">
        <v>412</v>
      </c>
      <c r="D189" s="79">
        <f>F189+G189</f>
        <v>0</v>
      </c>
      <c r="E189" s="79">
        <f>H189+I189</f>
        <v>0</v>
      </c>
      <c r="F189" s="34"/>
      <c r="G189" s="34"/>
      <c r="H189" s="34"/>
      <c r="I189" s="34"/>
      <c r="J189" s="34"/>
      <c r="K189" s="34"/>
    </row>
    <row r="190" spans="1:12" s="39" customFormat="1" ht="14.25" customHeight="1" x14ac:dyDescent="0.3">
      <c r="C190" s="39" t="s">
        <v>107</v>
      </c>
      <c r="D190" s="53">
        <f>SUM(D188:D189)</f>
        <v>0</v>
      </c>
      <c r="E190" s="53">
        <f t="shared" ref="E190:K190" si="24">SUM(E188:E189)</f>
        <v>0</v>
      </c>
      <c r="F190" s="53">
        <f t="shared" si="24"/>
        <v>0</v>
      </c>
      <c r="G190" s="53">
        <f t="shared" si="24"/>
        <v>0</v>
      </c>
      <c r="H190" s="53">
        <f t="shared" si="24"/>
        <v>0</v>
      </c>
      <c r="I190" s="53">
        <f t="shared" si="24"/>
        <v>0</v>
      </c>
      <c r="J190" s="53">
        <f t="shared" si="24"/>
        <v>0</v>
      </c>
      <c r="K190" s="53">
        <f t="shared" si="24"/>
        <v>0</v>
      </c>
    </row>
    <row r="191" spans="1:12" x14ac:dyDescent="0.25">
      <c r="A191" s="5" t="s">
        <v>415</v>
      </c>
      <c r="B191" s="5"/>
      <c r="C191" s="5" t="s">
        <v>416</v>
      </c>
      <c r="D191" s="5"/>
      <c r="E191" s="34"/>
      <c r="F191" s="34"/>
      <c r="G191" s="34"/>
      <c r="H191" s="34"/>
      <c r="I191" s="34"/>
      <c r="J191" s="34"/>
      <c r="K191" s="34"/>
    </row>
    <row r="192" spans="1:12" x14ac:dyDescent="0.25">
      <c r="A192" s="5"/>
      <c r="B192" s="5"/>
      <c r="C192" s="5" t="s">
        <v>417</v>
      </c>
      <c r="D192" s="79">
        <f>F192+G192</f>
        <v>294529</v>
      </c>
      <c r="E192" s="79">
        <f>H192+I192</f>
        <v>2920020.7</v>
      </c>
      <c r="F192" s="40">
        <v>294529</v>
      </c>
      <c r="G192" s="40"/>
      <c r="H192" s="34">
        <v>2920020.7</v>
      </c>
      <c r="I192" s="34"/>
      <c r="J192" s="34">
        <v>813560</v>
      </c>
      <c r="K192" s="34"/>
    </row>
    <row r="193" spans="1:13" x14ac:dyDescent="0.25">
      <c r="A193" s="5"/>
      <c r="B193" s="5"/>
      <c r="C193" s="5" t="s">
        <v>99</v>
      </c>
      <c r="D193" s="79">
        <f>F193+G193</f>
        <v>1397617.5</v>
      </c>
      <c r="E193" s="79">
        <f>H193+I193</f>
        <v>1325335</v>
      </c>
      <c r="F193" s="40">
        <v>1258017.5</v>
      </c>
      <c r="G193" s="40">
        <v>139600</v>
      </c>
      <c r="H193" s="34">
        <v>1279810</v>
      </c>
      <c r="I193" s="34">
        <v>45525</v>
      </c>
      <c r="J193" s="34">
        <v>930297.2</v>
      </c>
      <c r="K193" s="34">
        <v>13000</v>
      </c>
      <c r="L193" s="23"/>
      <c r="M193" s="23"/>
    </row>
    <row r="194" spans="1:13" s="39" customFormat="1" ht="13" x14ac:dyDescent="0.3">
      <c r="C194" s="39" t="s">
        <v>418</v>
      </c>
      <c r="D194" s="50">
        <f>F194+G194</f>
        <v>1692146.5</v>
      </c>
      <c r="E194" s="49">
        <f t="shared" ref="E194:K194" si="25">SUM(E191:E193)</f>
        <v>4245355.7</v>
      </c>
      <c r="F194" s="49">
        <f t="shared" si="25"/>
        <v>1552546.5</v>
      </c>
      <c r="G194" s="49">
        <f t="shared" si="25"/>
        <v>139600</v>
      </c>
      <c r="H194" s="49">
        <f t="shared" si="25"/>
        <v>4199830.7</v>
      </c>
      <c r="I194" s="49">
        <f t="shared" si="25"/>
        <v>45525</v>
      </c>
      <c r="J194" s="49">
        <f t="shared" si="25"/>
        <v>1743857.2</v>
      </c>
      <c r="K194" s="49">
        <f t="shared" si="25"/>
        <v>13000</v>
      </c>
    </row>
    <row r="195" spans="1:13" ht="13" x14ac:dyDescent="0.3">
      <c r="A195" s="5" t="s">
        <v>409</v>
      </c>
      <c r="B195" s="5"/>
      <c r="C195" s="5"/>
      <c r="D195" s="48">
        <f>D187-D194</f>
        <v>6345445.5999999912</v>
      </c>
      <c r="E195" s="48">
        <f>E187-E194</f>
        <v>24282.040000000969</v>
      </c>
      <c r="F195" s="48">
        <f t="shared" ref="F195:K195" si="26">F187-F194</f>
        <v>6327049.4399999985</v>
      </c>
      <c r="G195" s="48">
        <f t="shared" si="26"/>
        <v>18396.159999999974</v>
      </c>
      <c r="H195" s="48">
        <f t="shared" si="26"/>
        <v>89919.76999999769</v>
      </c>
      <c r="I195" s="48">
        <f t="shared" si="26"/>
        <v>-65637.730000000098</v>
      </c>
      <c r="J195" s="48">
        <f t="shared" si="26"/>
        <v>7678339.7999999942</v>
      </c>
      <c r="K195" s="48">
        <f t="shared" si="26"/>
        <v>134419.38999999996</v>
      </c>
      <c r="L195" s="23"/>
    </row>
    <row r="196" spans="1:13" x14ac:dyDescent="0.25">
      <c r="A196" s="5" t="s">
        <v>419</v>
      </c>
      <c r="B196" s="5"/>
      <c r="C196" s="5"/>
      <c r="D196" s="5"/>
      <c r="E196" s="34"/>
      <c r="F196" s="34"/>
      <c r="G196" s="34"/>
      <c r="H196" s="34"/>
      <c r="I196" s="34"/>
      <c r="J196" s="34"/>
      <c r="K196" s="34"/>
    </row>
    <row r="197" spans="1:13" x14ac:dyDescent="0.25">
      <c r="A197" s="5"/>
      <c r="B197" s="5"/>
      <c r="C197" s="5" t="s">
        <v>420</v>
      </c>
      <c r="D197" s="79">
        <f>F197+G197</f>
        <v>0</v>
      </c>
      <c r="E197" s="79">
        <f>H197+I197</f>
        <v>0</v>
      </c>
      <c r="F197" s="34"/>
      <c r="G197" s="34"/>
      <c r="H197" s="34"/>
      <c r="I197" s="34"/>
      <c r="J197" s="34"/>
      <c r="K197" s="34"/>
    </row>
    <row r="198" spans="1:13" s="39" customFormat="1" ht="13" x14ac:dyDescent="0.3">
      <c r="C198" s="39" t="s">
        <v>107</v>
      </c>
      <c r="D198" s="75">
        <f>SUM(D197)</f>
        <v>0</v>
      </c>
      <c r="E198" s="75">
        <f t="shared" ref="E198:K198" si="27">SUM(E197)</f>
        <v>0</v>
      </c>
      <c r="F198" s="75">
        <f t="shared" si="27"/>
        <v>0</v>
      </c>
      <c r="G198" s="75">
        <f t="shared" si="27"/>
        <v>0</v>
      </c>
      <c r="H198" s="75">
        <f t="shared" si="27"/>
        <v>0</v>
      </c>
      <c r="I198" s="75">
        <f t="shared" si="27"/>
        <v>0</v>
      </c>
      <c r="J198" s="75">
        <f t="shared" si="27"/>
        <v>0</v>
      </c>
      <c r="K198" s="75">
        <f t="shared" si="27"/>
        <v>0</v>
      </c>
    </row>
    <row r="199" spans="1:13" ht="13.5" thickBot="1" x14ac:dyDescent="0.35">
      <c r="A199" s="39"/>
      <c r="B199" s="39" t="s">
        <v>147</v>
      </c>
      <c r="C199" s="39"/>
      <c r="D199" s="47">
        <f>D195-D198</f>
        <v>6345445.5999999912</v>
      </c>
      <c r="E199" s="47">
        <f t="shared" ref="E199:K199" si="28">E195-E198</f>
        <v>24282.040000000969</v>
      </c>
      <c r="F199" s="47">
        <f t="shared" si="28"/>
        <v>6327049.4399999985</v>
      </c>
      <c r="G199" s="47">
        <f t="shared" si="28"/>
        <v>18396.159999999974</v>
      </c>
      <c r="H199" s="47">
        <f t="shared" si="28"/>
        <v>89919.76999999769</v>
      </c>
      <c r="I199" s="47">
        <f t="shared" si="28"/>
        <v>-65637.730000000098</v>
      </c>
      <c r="J199" s="47">
        <f t="shared" si="28"/>
        <v>7678339.7999999942</v>
      </c>
      <c r="K199" s="47">
        <f t="shared" si="28"/>
        <v>134419.38999999996</v>
      </c>
      <c r="L199" s="23"/>
    </row>
    <row r="200" spans="1:13" ht="13.5" thickTop="1" x14ac:dyDescent="0.3">
      <c r="A200" s="24"/>
      <c r="B200" s="24"/>
      <c r="C200" s="24"/>
      <c r="D200" s="46"/>
      <c r="E200" s="46"/>
      <c r="F200" s="72"/>
      <c r="G200" s="72"/>
      <c r="H200" s="36"/>
      <c r="I200" s="36"/>
      <c r="J200" s="36"/>
      <c r="K200" s="36"/>
      <c r="L200" s="23"/>
    </row>
    <row r="201" spans="1:13" ht="13" x14ac:dyDescent="0.3">
      <c r="A201" s="24"/>
      <c r="B201" s="24"/>
      <c r="C201" s="24"/>
      <c r="D201" s="46"/>
      <c r="E201" s="46"/>
      <c r="F201" s="72"/>
      <c r="G201" s="72"/>
      <c r="H201" s="36"/>
      <c r="I201" s="36"/>
      <c r="J201" s="36"/>
      <c r="K201" s="36"/>
      <c r="L201" s="23"/>
    </row>
    <row r="202" spans="1:13" ht="13" x14ac:dyDescent="0.3">
      <c r="A202" s="24"/>
      <c r="B202" s="24" t="s">
        <v>147</v>
      </c>
      <c r="C202" s="24"/>
      <c r="D202" s="46">
        <v>6345445.5999999912</v>
      </c>
      <c r="E202" s="46">
        <v>24282.039999993518</v>
      </c>
      <c r="F202" s="72">
        <v>6327049.4399999985</v>
      </c>
      <c r="G202" s="72">
        <v>18396.159999999974</v>
      </c>
      <c r="H202" s="36">
        <v>89919.76999999769</v>
      </c>
      <c r="I202" s="36">
        <v>-65637.730000000098</v>
      </c>
      <c r="J202" s="36">
        <v>7678339.7999999942</v>
      </c>
      <c r="K202" s="36">
        <v>134419.38999999996</v>
      </c>
      <c r="L202" s="23"/>
    </row>
    <row r="203" spans="1:13" ht="13" x14ac:dyDescent="0.3">
      <c r="A203" s="24"/>
      <c r="B203" s="24"/>
      <c r="C203" s="24"/>
      <c r="D203" s="46">
        <f>D199-D202</f>
        <v>0</v>
      </c>
      <c r="E203" s="46">
        <f t="shared" ref="E203:K203" si="29">E199-E202</f>
        <v>7.4505805969238281E-9</v>
      </c>
      <c r="F203" s="46">
        <f t="shared" si="29"/>
        <v>0</v>
      </c>
      <c r="G203" s="46">
        <f t="shared" si="29"/>
        <v>0</v>
      </c>
      <c r="H203" s="46">
        <f t="shared" si="29"/>
        <v>0</v>
      </c>
      <c r="I203" s="46">
        <f t="shared" si="29"/>
        <v>0</v>
      </c>
      <c r="J203" s="46">
        <f t="shared" si="29"/>
        <v>0</v>
      </c>
      <c r="K203" s="46">
        <f t="shared" si="29"/>
        <v>0</v>
      </c>
      <c r="L203" s="23"/>
    </row>
    <row r="204" spans="1:13" ht="13" x14ac:dyDescent="0.3">
      <c r="A204" s="24"/>
      <c r="B204" s="24"/>
      <c r="C204" s="24"/>
      <c r="D204" s="46"/>
      <c r="E204" s="46"/>
      <c r="F204" s="72"/>
      <c r="G204" s="72"/>
      <c r="H204" s="36"/>
      <c r="I204" s="36"/>
      <c r="J204" s="36"/>
      <c r="K204" s="36"/>
      <c r="L204" s="23"/>
    </row>
    <row r="205" spans="1:13" ht="13" x14ac:dyDescent="0.3">
      <c r="A205" s="24"/>
      <c r="B205" s="24"/>
      <c r="C205" s="24"/>
      <c r="D205" s="46"/>
      <c r="E205" s="46"/>
      <c r="F205" s="72"/>
      <c r="G205" s="72"/>
      <c r="H205" s="36"/>
      <c r="I205" s="36"/>
      <c r="J205" s="36"/>
      <c r="K205" s="36"/>
      <c r="L205" s="23"/>
    </row>
    <row r="206" spans="1:13" ht="13" x14ac:dyDescent="0.3">
      <c r="A206" s="24"/>
      <c r="B206" s="24"/>
      <c r="C206" s="24"/>
      <c r="D206" s="46"/>
      <c r="E206" s="36"/>
      <c r="F206" s="72"/>
      <c r="G206" s="72"/>
      <c r="H206" s="36"/>
      <c r="I206" s="36"/>
      <c r="J206" s="36"/>
      <c r="K206" s="36"/>
      <c r="L206" s="23"/>
    </row>
    <row r="207" spans="1:13" ht="13" x14ac:dyDescent="0.3">
      <c r="A207" s="24"/>
      <c r="B207" s="24"/>
      <c r="C207" s="24"/>
      <c r="D207" s="46"/>
      <c r="E207" s="36"/>
      <c r="F207" s="72"/>
      <c r="G207" s="72"/>
      <c r="H207" s="36"/>
      <c r="I207" s="36"/>
      <c r="J207" s="36"/>
      <c r="K207" s="36"/>
      <c r="L207" s="23"/>
    </row>
    <row r="208" spans="1:13" ht="13" x14ac:dyDescent="0.3">
      <c r="A208" s="56" t="s">
        <v>491</v>
      </c>
      <c r="B208" s="56"/>
      <c r="C208" s="52"/>
      <c r="D208" s="57" t="s">
        <v>493</v>
      </c>
      <c r="E208" s="36"/>
      <c r="F208" s="73" t="s">
        <v>5</v>
      </c>
      <c r="G208" s="73"/>
      <c r="H208" s="36"/>
      <c r="I208" s="36"/>
      <c r="J208" s="36"/>
      <c r="K208" s="36"/>
      <c r="L208" s="23"/>
    </row>
    <row r="209" spans="1:10" x14ac:dyDescent="0.25">
      <c r="A209" s="25"/>
      <c r="B209" s="25"/>
      <c r="C209" s="25"/>
      <c r="D209" s="25"/>
      <c r="E209" s="25"/>
      <c r="F209" s="72"/>
      <c r="H209" s="25"/>
      <c r="I209" s="25"/>
      <c r="J209" s="26"/>
    </row>
    <row r="210" spans="1:10" ht="14.5" x14ac:dyDescent="0.35">
      <c r="B210" s="58" t="s">
        <v>489</v>
      </c>
      <c r="C210" s="51"/>
      <c r="D210" s="346" t="s">
        <v>105</v>
      </c>
      <c r="E210" s="346"/>
      <c r="F210" s="346" t="s">
        <v>105</v>
      </c>
      <c r="G210" s="346"/>
      <c r="H210" s="25"/>
      <c r="I210" s="25"/>
      <c r="J210" s="76"/>
    </row>
    <row r="211" spans="1:10" ht="13" x14ac:dyDescent="0.3">
      <c r="A211" s="39"/>
      <c r="B211" s="39" t="s">
        <v>490</v>
      </c>
      <c r="C211" s="38"/>
      <c r="D211" s="343" t="s">
        <v>6</v>
      </c>
      <c r="E211" s="343"/>
      <c r="F211" s="350" t="s">
        <v>6</v>
      </c>
      <c r="G211" s="350"/>
      <c r="H211" s="25"/>
      <c r="I211" s="25"/>
      <c r="J211" s="26"/>
    </row>
    <row r="212" spans="1:10" x14ac:dyDescent="0.25">
      <c r="A212" s="25"/>
      <c r="B212" s="25"/>
      <c r="D212" s="25"/>
      <c r="E212" s="25"/>
      <c r="H212" s="25"/>
      <c r="I212" s="25"/>
      <c r="J212" s="26"/>
    </row>
    <row r="213" spans="1:10" x14ac:dyDescent="0.25">
      <c r="A213" s="25"/>
      <c r="B213" s="25"/>
      <c r="D213" s="25"/>
      <c r="E213" s="25"/>
      <c r="H213" s="25"/>
      <c r="I213" s="25"/>
      <c r="J213" s="26"/>
    </row>
    <row r="214" spans="1:10" x14ac:dyDescent="0.25">
      <c r="A214" s="25"/>
      <c r="B214" s="25"/>
      <c r="C214" s="25"/>
      <c r="D214" s="25"/>
      <c r="E214" s="25"/>
      <c r="H214" s="25"/>
      <c r="I214" s="25"/>
      <c r="J214" s="26"/>
    </row>
    <row r="215" spans="1:10" ht="14" x14ac:dyDescent="0.3">
      <c r="B215" s="17"/>
      <c r="C215" s="17"/>
      <c r="D215" s="17"/>
      <c r="E215" s="17"/>
      <c r="H215" s="17"/>
      <c r="I215" s="17"/>
    </row>
    <row r="216" spans="1:10" ht="14" x14ac:dyDescent="0.3">
      <c r="B216" s="17"/>
      <c r="C216" s="17"/>
      <c r="D216" s="17"/>
      <c r="E216" s="17"/>
      <c r="H216" s="17"/>
      <c r="I216" s="17"/>
    </row>
    <row r="217" spans="1:10" ht="14" x14ac:dyDescent="0.3">
      <c r="B217" s="17"/>
      <c r="C217" s="17"/>
      <c r="D217" s="17"/>
      <c r="E217" s="17"/>
      <c r="H217" s="17"/>
      <c r="I217" s="17"/>
    </row>
  </sheetData>
  <mergeCells count="18">
    <mergeCell ref="F210:G210"/>
    <mergeCell ref="F211:G211"/>
    <mergeCell ref="A1:G1"/>
    <mergeCell ref="A2:G2"/>
    <mergeCell ref="A3:G3"/>
    <mergeCell ref="A4:G4"/>
    <mergeCell ref="A5:G5"/>
    <mergeCell ref="D210:E210"/>
    <mergeCell ref="D211:E211"/>
    <mergeCell ref="F10:G10"/>
    <mergeCell ref="H10:I10"/>
    <mergeCell ref="J10:K10"/>
    <mergeCell ref="K1:P1"/>
    <mergeCell ref="K2:P2"/>
    <mergeCell ref="K3:P3"/>
    <mergeCell ref="K4:P4"/>
    <mergeCell ref="K9:P9"/>
    <mergeCell ref="K5:P5"/>
  </mergeCells>
  <phoneticPr fontId="29" type="noConversion"/>
  <pageMargins left="0.5" right="0.25" top="1" bottom="1" header="0.31496062992126" footer="0.31496062992126"/>
  <pageSetup paperSize="5" orientation="portrait" horizontalDpi="180" verticalDpi="18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6:H36"/>
  <sheetViews>
    <sheetView zoomScale="75" zoomScaleNormal="75" zoomScaleSheetLayoutView="100" workbookViewId="0"/>
  </sheetViews>
  <sheetFormatPr defaultColWidth="8.81640625" defaultRowHeight="14.5" x14ac:dyDescent="0.35"/>
  <cols>
    <col min="1" max="16384" width="8.81640625" style="218"/>
  </cols>
  <sheetData>
    <row r="16" spans="1:8" ht="25.15" customHeight="1" x14ac:dyDescent="0.55000000000000004">
      <c r="A16" s="351" t="s">
        <v>541</v>
      </c>
      <c r="B16" s="351"/>
      <c r="C16" s="351"/>
      <c r="D16" s="351"/>
      <c r="E16" s="351"/>
      <c r="F16" s="351"/>
      <c r="G16" s="351"/>
      <c r="H16" s="351"/>
    </row>
    <row r="18" spans="1:4" ht="15.5" x14ac:dyDescent="0.35">
      <c r="D18" s="219"/>
    </row>
    <row r="19" spans="1:4" ht="15.5" x14ac:dyDescent="0.35">
      <c r="C19" s="220"/>
      <c r="D19" s="219"/>
    </row>
    <row r="20" spans="1:4" ht="15.5" x14ac:dyDescent="0.35">
      <c r="B20" s="220"/>
      <c r="C20" s="220"/>
      <c r="D20" s="219"/>
    </row>
    <row r="21" spans="1:4" ht="15.5" x14ac:dyDescent="0.35">
      <c r="B21" s="220"/>
      <c r="C21" s="220"/>
      <c r="D21" s="219"/>
    </row>
    <row r="22" spans="1:4" ht="15.5" x14ac:dyDescent="0.35">
      <c r="B22" s="220"/>
      <c r="C22" s="220"/>
      <c r="D22" s="219"/>
    </row>
    <row r="23" spans="1:4" x14ac:dyDescent="0.35">
      <c r="A23" s="220"/>
      <c r="B23" s="220"/>
      <c r="C23" s="220"/>
    </row>
    <row r="24" spans="1:4" x14ac:dyDescent="0.35">
      <c r="A24" s="220"/>
      <c r="B24" s="220"/>
      <c r="C24" s="220"/>
    </row>
    <row r="25" spans="1:4" x14ac:dyDescent="0.35">
      <c r="A25" s="220"/>
      <c r="B25" s="220"/>
      <c r="C25" s="220"/>
    </row>
    <row r="26" spans="1:4" x14ac:dyDescent="0.35">
      <c r="A26" s="220"/>
      <c r="B26" s="220"/>
      <c r="C26" s="220"/>
    </row>
    <row r="27" spans="1:4" x14ac:dyDescent="0.35">
      <c r="A27" s="220"/>
      <c r="B27" s="220"/>
      <c r="C27" s="220"/>
    </row>
    <row r="28" spans="1:4" x14ac:dyDescent="0.35">
      <c r="A28" s="221"/>
      <c r="B28" s="220"/>
    </row>
    <row r="29" spans="1:4" x14ac:dyDescent="0.35">
      <c r="A29" s="220"/>
      <c r="B29" s="220"/>
    </row>
    <row r="30" spans="1:4" x14ac:dyDescent="0.35">
      <c r="A30" s="221"/>
      <c r="B30" s="220"/>
    </row>
    <row r="31" spans="1:4" x14ac:dyDescent="0.35">
      <c r="A31" s="221"/>
      <c r="B31" s="220"/>
    </row>
    <row r="32" spans="1:4" x14ac:dyDescent="0.35">
      <c r="A32" s="221"/>
      <c r="B32" s="220"/>
    </row>
    <row r="33" spans="1:2" x14ac:dyDescent="0.35">
      <c r="A33" s="220"/>
      <c r="B33" s="220"/>
    </row>
    <row r="34" spans="1:2" ht="14.5" customHeight="1" x14ac:dyDescent="0.35">
      <c r="A34" s="220"/>
      <c r="B34" s="220"/>
    </row>
    <row r="35" spans="1:2" x14ac:dyDescent="0.35">
      <c r="A35" s="221"/>
      <c r="B35" s="220"/>
    </row>
    <row r="36" spans="1:2" x14ac:dyDescent="0.35">
      <c r="A36" s="221"/>
      <c r="B36" s="220"/>
    </row>
  </sheetData>
  <sheetProtection algorithmName="SHA-512" hashValue="JvKNZKhBNvxGz06MYHqjHQsFvlTVpp5r/GpGYVZ/iEEHbNrWQHVfB7UGAhejZchN3C0FGLI8IsARb5uvpMDz5Q==" saltValue="rQsodN+MaG/LHytgXwnrNw==" spinCount="100000" sheet="1" objects="1" scenarios="1" selectLockedCells="1" selectUnlockedCells="1"/>
  <mergeCells count="1">
    <mergeCell ref="A16:H16"/>
  </mergeCells>
  <pageMargins left="1.4960629921259843" right="0.98425196850393704" top="0.98425196850393704" bottom="0.98425196850393704" header="0.31496062992125984" footer="0.31496062992125984"/>
  <pageSetup orientation="portrait" horizontalDpi="4294967293"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5" zoomScaleNormal="75" workbookViewId="0">
      <selection sqref="A1:XFD1"/>
    </sheetView>
  </sheetViews>
  <sheetFormatPr defaultRowHeight="12.5" x14ac:dyDescent="0.25"/>
  <sheetData/>
  <sheetProtection algorithmName="SHA-512" hashValue="JkxDB/kirdk+dD/3SA2AIV9m33yUbELSBmobQwkcJUcEbd8AildHwRaf1gvNJXP9j4XIR9Xm17LhloR2eA2wdA==" saltValue="l5/ISyhfw21hT2Nl/xU/4g==" spinCount="100000" sheet="1" objects="1" scenarios="1" selectLockedCells="1" selectUnlockedCells="1"/>
  <pageMargins left="0.61" right="0.32" top="0.75" bottom="0.75" header="0.3" footer="0.3"/>
  <pageSetup paperSize="9" scale="90"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F192"/>
  <sheetViews>
    <sheetView topLeftCell="A55" zoomScale="75" zoomScaleNormal="75" zoomScalePageLayoutView="70" workbookViewId="0">
      <selection sqref="A1:F1"/>
    </sheetView>
  </sheetViews>
  <sheetFormatPr defaultColWidth="9.1796875" defaultRowHeight="15.5" x14ac:dyDescent="0.35"/>
  <cols>
    <col min="1" max="1" width="65.1796875" style="222" customWidth="1"/>
    <col min="2" max="2" width="9.1796875" style="222" customWidth="1"/>
    <col min="3" max="3" width="2.81640625" style="229" customWidth="1"/>
    <col min="4" max="4" width="24" style="230" bestFit="1" customWidth="1"/>
    <col min="5" max="5" width="2.81640625" style="229" customWidth="1"/>
    <col min="6" max="6" width="24.26953125" style="222" customWidth="1"/>
    <col min="7" max="16384" width="9.1796875" style="222"/>
  </cols>
  <sheetData>
    <row r="1" spans="1:6" ht="25.5" customHeight="1" x14ac:dyDescent="0.35">
      <c r="A1" s="335" t="s">
        <v>1003</v>
      </c>
      <c r="B1" s="335"/>
      <c r="C1" s="335"/>
      <c r="D1" s="335"/>
      <c r="E1" s="335"/>
      <c r="F1" s="335"/>
    </row>
    <row r="2" spans="1:6" ht="27" customHeight="1" x14ac:dyDescent="0.35">
      <c r="A2" s="336" t="s">
        <v>497</v>
      </c>
      <c r="B2" s="336"/>
      <c r="C2" s="336"/>
      <c r="D2" s="336"/>
      <c r="E2" s="336"/>
      <c r="F2" s="336"/>
    </row>
    <row r="3" spans="1:6" ht="24.75" customHeight="1" x14ac:dyDescent="0.35">
      <c r="A3" s="352" t="s">
        <v>542</v>
      </c>
      <c r="B3" s="353"/>
      <c r="C3" s="353"/>
      <c r="D3" s="353"/>
      <c r="E3" s="353"/>
      <c r="F3" s="353"/>
    </row>
    <row r="4" spans="1:6" ht="27" customHeight="1" x14ac:dyDescent="0.35">
      <c r="A4" s="339" t="s">
        <v>543</v>
      </c>
      <c r="B4" s="339"/>
      <c r="C4" s="339"/>
      <c r="D4" s="339"/>
      <c r="E4" s="339"/>
      <c r="F4" s="339"/>
    </row>
    <row r="5" spans="1:6" ht="12.75" customHeight="1" x14ac:dyDescent="0.35">
      <c r="A5" s="223"/>
      <c r="B5" s="223"/>
      <c r="C5" s="224"/>
      <c r="D5" s="225"/>
      <c r="E5" s="224"/>
      <c r="F5" s="223"/>
    </row>
    <row r="6" spans="1:6" x14ac:dyDescent="0.35">
      <c r="B6" s="226"/>
      <c r="C6" s="340">
        <v>2025</v>
      </c>
      <c r="D6" s="340"/>
      <c r="E6" s="340">
        <v>2024</v>
      </c>
      <c r="F6" s="340"/>
    </row>
    <row r="7" spans="1:6" x14ac:dyDescent="0.35">
      <c r="A7" s="227" t="s">
        <v>181</v>
      </c>
      <c r="B7" s="228"/>
      <c r="F7" s="228"/>
    </row>
    <row r="8" spans="1:6" x14ac:dyDescent="0.35">
      <c r="A8" s="227" t="s">
        <v>182</v>
      </c>
    </row>
    <row r="9" spans="1:6" x14ac:dyDescent="0.35">
      <c r="A9" s="231" t="s">
        <v>821</v>
      </c>
      <c r="B9" s="232"/>
    </row>
    <row r="10" spans="1:6" x14ac:dyDescent="0.35">
      <c r="A10" s="233" t="s">
        <v>822</v>
      </c>
      <c r="B10" s="232"/>
      <c r="C10" s="229" t="s">
        <v>504</v>
      </c>
      <c r="D10" s="234">
        <v>1876817.05</v>
      </c>
      <c r="E10" s="229" t="s">
        <v>504</v>
      </c>
      <c r="F10" s="235">
        <v>1384145.31</v>
      </c>
    </row>
    <row r="11" spans="1:6" x14ac:dyDescent="0.35">
      <c r="A11" s="233" t="s">
        <v>1004</v>
      </c>
      <c r="B11" s="232"/>
      <c r="D11" s="234">
        <v>274225539.72000003</v>
      </c>
      <c r="F11" s="235">
        <v>332557454.38999999</v>
      </c>
    </row>
    <row r="12" spans="1:6" x14ac:dyDescent="0.35">
      <c r="A12" s="233" t="s">
        <v>1005</v>
      </c>
      <c r="B12" s="232"/>
      <c r="D12" s="234">
        <v>92242514.219999999</v>
      </c>
      <c r="F12" s="235">
        <v>91470444.530000001</v>
      </c>
    </row>
    <row r="13" spans="1:6" x14ac:dyDescent="0.35">
      <c r="A13" s="231" t="s">
        <v>824</v>
      </c>
      <c r="B13" s="236"/>
      <c r="C13" s="237"/>
      <c r="D13" s="238">
        <v>368344870.99000001</v>
      </c>
      <c r="E13" s="237"/>
      <c r="F13" s="239">
        <v>425412044.23000002</v>
      </c>
    </row>
    <row r="14" spans="1:6" x14ac:dyDescent="0.35">
      <c r="A14" s="231" t="s">
        <v>186</v>
      </c>
      <c r="B14" s="232"/>
    </row>
    <row r="15" spans="1:6" x14ac:dyDescent="0.35">
      <c r="A15" s="233" t="s">
        <v>11</v>
      </c>
      <c r="B15" s="232"/>
      <c r="D15" s="234">
        <v>5334937.3</v>
      </c>
      <c r="F15" s="235">
        <v>5334371.8600000003</v>
      </c>
    </row>
    <row r="16" spans="1:6" x14ac:dyDescent="0.35">
      <c r="A16" s="233" t="s">
        <v>905</v>
      </c>
      <c r="B16" s="232"/>
      <c r="D16" s="234">
        <v>88789.1</v>
      </c>
      <c r="F16" s="235">
        <v>40931.19</v>
      </c>
    </row>
    <row r="17" spans="1:6" x14ac:dyDescent="0.35">
      <c r="A17" s="233" t="s">
        <v>115</v>
      </c>
      <c r="B17" s="232"/>
      <c r="D17" s="234">
        <v>2731983.51</v>
      </c>
      <c r="F17" s="235">
        <v>2760883.51</v>
      </c>
    </row>
    <row r="18" spans="1:6" x14ac:dyDescent="0.35">
      <c r="A18" s="231" t="s">
        <v>410</v>
      </c>
      <c r="B18" s="236"/>
      <c r="C18" s="237"/>
      <c r="D18" s="238">
        <v>8155709.9099999992</v>
      </c>
      <c r="E18" s="237"/>
      <c r="F18" s="239">
        <v>8136186.5600000005</v>
      </c>
    </row>
    <row r="19" spans="1:6" x14ac:dyDescent="0.35">
      <c r="A19" s="231" t="s">
        <v>196</v>
      </c>
      <c r="B19" s="232"/>
    </row>
    <row r="20" spans="1:6" x14ac:dyDescent="0.35">
      <c r="A20" s="233" t="s">
        <v>1006</v>
      </c>
      <c r="B20" s="232"/>
      <c r="D20" s="234">
        <v>1698129</v>
      </c>
      <c r="F20" s="235">
        <v>582139.1</v>
      </c>
    </row>
    <row r="21" spans="1:6" x14ac:dyDescent="0.35">
      <c r="A21" s="233" t="s">
        <v>982</v>
      </c>
      <c r="B21" s="232"/>
      <c r="D21" s="234">
        <v>4597489</v>
      </c>
      <c r="F21" s="235">
        <v>4590800.26</v>
      </c>
    </row>
    <row r="22" spans="1:6" x14ac:dyDescent="0.35">
      <c r="A22" s="233" t="s">
        <v>1007</v>
      </c>
      <c r="B22" s="232"/>
      <c r="D22" s="234">
        <v>1554807</v>
      </c>
      <c r="F22" s="235">
        <v>1352282</v>
      </c>
    </row>
    <row r="23" spans="1:6" x14ac:dyDescent="0.35">
      <c r="A23" s="233" t="s">
        <v>1008</v>
      </c>
      <c r="B23" s="232"/>
      <c r="D23" s="234">
        <v>21100</v>
      </c>
      <c r="F23" s="235">
        <v>65120</v>
      </c>
    </row>
    <row r="24" spans="1:6" x14ac:dyDescent="0.35">
      <c r="A24" s="231" t="s">
        <v>201</v>
      </c>
      <c r="B24" s="236"/>
      <c r="C24" s="237"/>
      <c r="D24" s="238">
        <v>7871525</v>
      </c>
      <c r="E24" s="237"/>
      <c r="F24" s="239">
        <v>6590341.3599999994</v>
      </c>
    </row>
    <row r="25" spans="1:6" x14ac:dyDescent="0.35">
      <c r="A25" s="231" t="s">
        <v>825</v>
      </c>
      <c r="B25" s="232"/>
    </row>
    <row r="26" spans="1:6" x14ac:dyDescent="0.35">
      <c r="A26" s="233" t="s">
        <v>116</v>
      </c>
      <c r="B26" s="232"/>
      <c r="D26" s="234">
        <v>8634001.3200000003</v>
      </c>
      <c r="F26" s="235">
        <v>5023938.82</v>
      </c>
    </row>
    <row r="27" spans="1:6" x14ac:dyDescent="0.35">
      <c r="A27" s="231" t="s">
        <v>203</v>
      </c>
      <c r="B27" s="236"/>
      <c r="C27" s="237"/>
      <c r="D27" s="238">
        <v>8634001.3200000003</v>
      </c>
      <c r="F27" s="239">
        <v>5023938.82</v>
      </c>
    </row>
    <row r="28" spans="1:6" x14ac:dyDescent="0.35">
      <c r="A28" s="237" t="s">
        <v>495</v>
      </c>
      <c r="B28" s="236"/>
      <c r="C28" s="237" t="s">
        <v>504</v>
      </c>
      <c r="D28" s="238">
        <v>393006107.22000003</v>
      </c>
      <c r="E28" s="237" t="s">
        <v>504</v>
      </c>
      <c r="F28" s="239">
        <v>445162510.97000003</v>
      </c>
    </row>
    <row r="29" spans="1:6" ht="13.5" customHeight="1" x14ac:dyDescent="0.35">
      <c r="A29" s="237"/>
      <c r="B29" s="236"/>
      <c r="C29" s="237"/>
      <c r="D29" s="240"/>
      <c r="E29" s="237"/>
      <c r="F29" s="241"/>
    </row>
    <row r="30" spans="1:6" x14ac:dyDescent="0.35">
      <c r="A30" s="227" t="s">
        <v>826</v>
      </c>
    </row>
    <row r="31" spans="1:6" x14ac:dyDescent="0.35">
      <c r="A31" s="231" t="s">
        <v>827</v>
      </c>
      <c r="B31" s="232"/>
    </row>
    <row r="32" spans="1:6" x14ac:dyDescent="0.35">
      <c r="A32" s="231" t="s">
        <v>12</v>
      </c>
      <c r="B32" s="232"/>
      <c r="D32" s="234"/>
      <c r="F32" s="235"/>
    </row>
    <row r="33" spans="1:6" x14ac:dyDescent="0.35">
      <c r="A33" s="233" t="s">
        <v>12</v>
      </c>
      <c r="B33" s="232"/>
      <c r="C33" s="229" t="s">
        <v>504</v>
      </c>
      <c r="D33" s="234">
        <v>95033470.969999999</v>
      </c>
      <c r="E33" s="229" t="s">
        <v>504</v>
      </c>
      <c r="F33" s="235">
        <v>76736806.430000007</v>
      </c>
    </row>
    <row r="34" spans="1:6" x14ac:dyDescent="0.35">
      <c r="A34" s="233" t="s">
        <v>900</v>
      </c>
      <c r="B34" s="232"/>
      <c r="D34" s="234">
        <v>0</v>
      </c>
      <c r="F34" s="235">
        <v>0</v>
      </c>
    </row>
    <row r="35" spans="1:6" x14ac:dyDescent="0.35">
      <c r="A35" s="231"/>
      <c r="B35" s="232"/>
      <c r="D35" s="242">
        <v>95033470.969999999</v>
      </c>
      <c r="F35" s="243">
        <v>76736806.430000007</v>
      </c>
    </row>
    <row r="36" spans="1:6" x14ac:dyDescent="0.35">
      <c r="A36" s="231" t="s">
        <v>901</v>
      </c>
      <c r="B36" s="232"/>
      <c r="D36" s="244">
        <v>95033470.969999999</v>
      </c>
      <c r="F36" s="245">
        <v>76736806.430000007</v>
      </c>
    </row>
    <row r="37" spans="1:6" x14ac:dyDescent="0.35">
      <c r="A37" s="231" t="s">
        <v>902</v>
      </c>
      <c r="B37" s="232"/>
      <c r="D37" s="234"/>
      <c r="F37" s="235"/>
    </row>
    <row r="38" spans="1:6" x14ac:dyDescent="0.35">
      <c r="A38" s="233" t="s">
        <v>828</v>
      </c>
      <c r="B38" s="232"/>
      <c r="D38" s="234">
        <v>202710</v>
      </c>
      <c r="F38" s="235">
        <v>202710</v>
      </c>
    </row>
    <row r="39" spans="1:6" ht="31" x14ac:dyDescent="0.35">
      <c r="A39" s="246" t="s">
        <v>829</v>
      </c>
      <c r="B39" s="232"/>
      <c r="D39" s="234">
        <v>-192574.5</v>
      </c>
      <c r="F39" s="235">
        <v>-192574.5</v>
      </c>
    </row>
    <row r="40" spans="1:6" x14ac:dyDescent="0.35">
      <c r="A40" s="233"/>
      <c r="B40" s="232"/>
      <c r="D40" s="242">
        <v>10135.5</v>
      </c>
      <c r="F40" s="243">
        <v>10135.5</v>
      </c>
    </row>
    <row r="41" spans="1:6" x14ac:dyDescent="0.35">
      <c r="A41" s="233" t="s">
        <v>830</v>
      </c>
      <c r="B41" s="232"/>
      <c r="D41" s="234">
        <v>27182617.870000001</v>
      </c>
      <c r="F41" s="235">
        <v>26526200.469999999</v>
      </c>
    </row>
    <row r="42" spans="1:6" x14ac:dyDescent="0.35">
      <c r="A42" s="233" t="s">
        <v>831</v>
      </c>
      <c r="B42" s="232"/>
      <c r="D42" s="234">
        <v>-12494823.91</v>
      </c>
      <c r="F42" s="235">
        <v>-10319830.369999999</v>
      </c>
    </row>
    <row r="43" spans="1:6" x14ac:dyDescent="0.35">
      <c r="A43" s="233"/>
      <c r="B43" s="232"/>
      <c r="D43" s="242">
        <v>14687793.960000001</v>
      </c>
      <c r="F43" s="243">
        <v>16206370.1</v>
      </c>
    </row>
    <row r="44" spans="1:6" x14ac:dyDescent="0.35">
      <c r="A44" s="231" t="s">
        <v>832</v>
      </c>
      <c r="B44" s="236"/>
      <c r="C44" s="237"/>
      <c r="D44" s="238">
        <v>14697929.460000001</v>
      </c>
      <c r="E44" s="237"/>
      <c r="F44" s="239">
        <v>16216505.6</v>
      </c>
    </row>
    <row r="45" spans="1:6" x14ac:dyDescent="0.35">
      <c r="A45" s="231" t="s">
        <v>833</v>
      </c>
      <c r="B45" s="232"/>
      <c r="D45" s="234"/>
      <c r="F45" s="235"/>
    </row>
    <row r="46" spans="1:6" x14ac:dyDescent="0.35">
      <c r="A46" s="233" t="s">
        <v>548</v>
      </c>
      <c r="B46" s="232"/>
      <c r="D46" s="234">
        <v>627202450.70000005</v>
      </c>
      <c r="F46" s="235">
        <v>521401926.30000001</v>
      </c>
    </row>
    <row r="47" spans="1:6" x14ac:dyDescent="0.35">
      <c r="A47" s="233" t="s">
        <v>834</v>
      </c>
      <c r="B47" s="232"/>
      <c r="D47" s="247">
        <v>-224893780.91999999</v>
      </c>
      <c r="F47" s="248">
        <v>-151850848.47999999</v>
      </c>
    </row>
    <row r="48" spans="1:6" x14ac:dyDescent="0.35">
      <c r="A48" s="233"/>
      <c r="B48" s="232"/>
      <c r="D48" s="242">
        <v>402308669.78000009</v>
      </c>
      <c r="F48" s="243">
        <v>369551077.82000005</v>
      </c>
    </row>
    <row r="49" spans="1:6" x14ac:dyDescent="0.35">
      <c r="A49" s="233" t="s">
        <v>835</v>
      </c>
      <c r="B49" s="232"/>
      <c r="D49" s="247">
        <v>83564798.269999996</v>
      </c>
      <c r="F49" s="248">
        <v>78583547.629999995</v>
      </c>
    </row>
    <row r="50" spans="1:6" x14ac:dyDescent="0.35">
      <c r="A50" s="233" t="s">
        <v>836</v>
      </c>
      <c r="B50" s="236"/>
      <c r="C50" s="237"/>
      <c r="D50" s="247">
        <v>-42283032.390000001</v>
      </c>
      <c r="F50" s="248">
        <v>-35475206.020000003</v>
      </c>
    </row>
    <row r="51" spans="1:6" x14ac:dyDescent="0.35">
      <c r="A51" s="233"/>
      <c r="B51" s="232"/>
      <c r="D51" s="242">
        <v>41281765.879999995</v>
      </c>
      <c r="F51" s="243">
        <v>43108341.609999992</v>
      </c>
    </row>
    <row r="52" spans="1:6" x14ac:dyDescent="0.35">
      <c r="A52" s="233" t="s">
        <v>1009</v>
      </c>
      <c r="B52" s="232"/>
      <c r="D52" s="234">
        <v>701835</v>
      </c>
      <c r="F52" s="235">
        <v>701835</v>
      </c>
    </row>
    <row r="53" spans="1:6" x14ac:dyDescent="0.35">
      <c r="A53" s="233" t="s">
        <v>1010</v>
      </c>
      <c r="B53" s="232"/>
      <c r="D53" s="249">
        <v>-599874.65</v>
      </c>
      <c r="F53" s="250">
        <v>-580320.80000000005</v>
      </c>
    </row>
    <row r="54" spans="1:6" x14ac:dyDescent="0.35">
      <c r="A54" s="233"/>
      <c r="B54" s="232"/>
      <c r="D54" s="242">
        <v>101960.34999999998</v>
      </c>
      <c r="F54" s="243">
        <v>121514.19999999995</v>
      </c>
    </row>
    <row r="55" spans="1:6" x14ac:dyDescent="0.35">
      <c r="A55" s="233" t="s">
        <v>837</v>
      </c>
      <c r="B55" s="232"/>
      <c r="D55" s="234">
        <v>16158990.5</v>
      </c>
      <c r="F55" s="235">
        <v>16158990.5</v>
      </c>
    </row>
    <row r="56" spans="1:6" x14ac:dyDescent="0.35">
      <c r="A56" s="233" t="s">
        <v>838</v>
      </c>
      <c r="B56" s="232"/>
      <c r="D56" s="234">
        <v>-10638798.51</v>
      </c>
      <c r="F56" s="235">
        <v>-9659020.9000000004</v>
      </c>
    </row>
    <row r="57" spans="1:6" x14ac:dyDescent="0.35">
      <c r="A57" s="233"/>
      <c r="B57" s="232"/>
      <c r="D57" s="242">
        <v>5520191.9900000002</v>
      </c>
      <c r="F57" s="243">
        <v>6499969.5999999996</v>
      </c>
    </row>
    <row r="58" spans="1:6" x14ac:dyDescent="0.35">
      <c r="A58" s="233" t="s">
        <v>839</v>
      </c>
      <c r="B58" s="232"/>
      <c r="D58" s="247">
        <v>37776419.579999998</v>
      </c>
      <c r="F58" s="248">
        <v>33935805.18</v>
      </c>
    </row>
    <row r="59" spans="1:6" x14ac:dyDescent="0.35">
      <c r="A59" s="233" t="s">
        <v>840</v>
      </c>
      <c r="B59" s="236"/>
      <c r="C59" s="237"/>
      <c r="D59" s="249">
        <v>-19366721.670000002</v>
      </c>
      <c r="F59" s="250">
        <v>-17408269.109999999</v>
      </c>
    </row>
    <row r="60" spans="1:6" x14ac:dyDescent="0.35">
      <c r="A60" s="233"/>
      <c r="B60" s="232"/>
      <c r="D60" s="242">
        <v>18409697.909999996</v>
      </c>
      <c r="F60" s="243">
        <v>16527536.07</v>
      </c>
    </row>
    <row r="61" spans="1:6" x14ac:dyDescent="0.35">
      <c r="A61" s="233" t="s">
        <v>1011</v>
      </c>
      <c r="B61" s="232"/>
      <c r="D61" s="247">
        <v>22625236.57</v>
      </c>
      <c r="F61" s="248">
        <v>18558495.57</v>
      </c>
    </row>
    <row r="62" spans="1:6" x14ac:dyDescent="0.35">
      <c r="A62" s="233" t="s">
        <v>1012</v>
      </c>
      <c r="B62" s="236"/>
      <c r="C62" s="237"/>
      <c r="D62" s="249">
        <v>-14349725</v>
      </c>
      <c r="F62" s="250">
        <v>-13070470.43</v>
      </c>
    </row>
    <row r="63" spans="1:6" x14ac:dyDescent="0.35">
      <c r="A63" s="233"/>
      <c r="B63" s="232"/>
      <c r="D63" s="242">
        <v>8275511.5700000003</v>
      </c>
      <c r="F63" s="243">
        <v>5488025.1400000006</v>
      </c>
    </row>
    <row r="64" spans="1:6" x14ac:dyDescent="0.35">
      <c r="A64" s="231" t="s">
        <v>841</v>
      </c>
      <c r="B64" s="236"/>
      <c r="D64" s="238">
        <v>475897797.48000008</v>
      </c>
      <c r="F64" s="239">
        <v>441296464.44000006</v>
      </c>
    </row>
    <row r="65" spans="1:6" x14ac:dyDescent="0.35">
      <c r="A65" s="231" t="s">
        <v>842</v>
      </c>
      <c r="B65" s="232"/>
      <c r="D65" s="234"/>
      <c r="F65" s="235"/>
    </row>
    <row r="66" spans="1:6" x14ac:dyDescent="0.35">
      <c r="A66" s="233" t="s">
        <v>818</v>
      </c>
      <c r="B66" s="232"/>
      <c r="D66" s="234">
        <v>213184900.72999999</v>
      </c>
      <c r="F66" s="235">
        <v>187609074.49000001</v>
      </c>
    </row>
    <row r="67" spans="1:6" x14ac:dyDescent="0.35">
      <c r="A67" s="233" t="s">
        <v>843</v>
      </c>
      <c r="B67" s="232"/>
      <c r="D67" s="234">
        <v>-55859629.799999997</v>
      </c>
      <c r="F67" s="235">
        <v>-48871533.189999998</v>
      </c>
    </row>
    <row r="68" spans="1:6" x14ac:dyDescent="0.35">
      <c r="A68" s="233"/>
      <c r="B68" s="232"/>
      <c r="D68" s="242">
        <v>157325270.93000001</v>
      </c>
      <c r="F68" s="243">
        <v>138737541.30000001</v>
      </c>
    </row>
    <row r="69" spans="1:6" x14ac:dyDescent="0.35">
      <c r="A69" s="233" t="s">
        <v>16</v>
      </c>
      <c r="B69" s="232"/>
      <c r="D69" s="247">
        <v>117573404.68000001</v>
      </c>
      <c r="F69" s="248">
        <v>87455646.549999997</v>
      </c>
    </row>
    <row r="70" spans="1:6" x14ac:dyDescent="0.35">
      <c r="A70" s="233" t="s">
        <v>844</v>
      </c>
      <c r="B70" s="236"/>
      <c r="C70" s="237"/>
      <c r="D70" s="249">
        <v>-25226341.510000002</v>
      </c>
      <c r="F70" s="250">
        <v>-21435889.300000001</v>
      </c>
    </row>
    <row r="71" spans="1:6" x14ac:dyDescent="0.35">
      <c r="A71" s="233"/>
      <c r="B71" s="232"/>
      <c r="D71" s="242">
        <v>92347063.170000002</v>
      </c>
      <c r="F71" s="243">
        <v>66019757.25</v>
      </c>
    </row>
    <row r="72" spans="1:6" x14ac:dyDescent="0.35">
      <c r="A72" s="233" t="s">
        <v>17</v>
      </c>
      <c r="B72" s="232"/>
      <c r="D72" s="234">
        <v>15693530.619999999</v>
      </c>
      <c r="F72" s="235">
        <v>13710369.859999999</v>
      </c>
    </row>
    <row r="73" spans="1:6" x14ac:dyDescent="0.35">
      <c r="A73" s="233" t="s">
        <v>845</v>
      </c>
      <c r="B73" s="232"/>
      <c r="D73" s="234">
        <v>-4689473.47</v>
      </c>
      <c r="F73" s="235">
        <v>-4201177.95</v>
      </c>
    </row>
    <row r="74" spans="1:6" x14ac:dyDescent="0.35">
      <c r="A74" s="233"/>
      <c r="B74" s="236"/>
      <c r="D74" s="242">
        <v>11004057.149999999</v>
      </c>
      <c r="F74" s="243">
        <v>9509191.9100000001</v>
      </c>
    </row>
    <row r="75" spans="1:6" x14ac:dyDescent="0.35">
      <c r="A75" s="233" t="s">
        <v>846</v>
      </c>
      <c r="B75" s="232"/>
      <c r="D75" s="234">
        <v>61635142.799999997</v>
      </c>
      <c r="F75" s="235">
        <v>74607146.799999997</v>
      </c>
    </row>
    <row r="76" spans="1:6" x14ac:dyDescent="0.35">
      <c r="A76" s="233" t="s">
        <v>847</v>
      </c>
      <c r="B76" s="232"/>
      <c r="D76" s="234">
        <v>-7586379.5300000003</v>
      </c>
      <c r="F76" s="235">
        <v>-16091835.24</v>
      </c>
    </row>
    <row r="77" spans="1:6" x14ac:dyDescent="0.35">
      <c r="A77" s="233"/>
      <c r="B77" s="232"/>
      <c r="D77" s="242">
        <v>54048763.269999996</v>
      </c>
      <c r="F77" s="243">
        <v>58515311.559999995</v>
      </c>
    </row>
    <row r="78" spans="1:6" x14ac:dyDescent="0.35">
      <c r="A78" s="233" t="s">
        <v>848</v>
      </c>
      <c r="B78" s="232"/>
      <c r="D78" s="234">
        <v>3642887.34</v>
      </c>
      <c r="F78" s="235">
        <v>3642887.34</v>
      </c>
    </row>
    <row r="79" spans="1:6" x14ac:dyDescent="0.35">
      <c r="A79" s="233" t="s">
        <v>849</v>
      </c>
      <c r="B79" s="236"/>
      <c r="C79" s="237"/>
      <c r="D79" s="247">
        <v>-1819618.85</v>
      </c>
      <c r="F79" s="248">
        <v>-1680318.15</v>
      </c>
    </row>
    <row r="80" spans="1:6" x14ac:dyDescent="0.35">
      <c r="A80" s="233"/>
      <c r="B80" s="232"/>
      <c r="D80" s="242">
        <v>1823268.4899999998</v>
      </c>
      <c r="F80" s="243">
        <v>1962569.19</v>
      </c>
    </row>
    <row r="81" spans="1:6" x14ac:dyDescent="0.35">
      <c r="A81" s="233" t="s">
        <v>19</v>
      </c>
      <c r="B81" s="232"/>
      <c r="D81" s="234">
        <v>14019202.18</v>
      </c>
      <c r="F81" s="235">
        <v>12623880.26</v>
      </c>
    </row>
    <row r="82" spans="1:6" x14ac:dyDescent="0.35">
      <c r="A82" s="233" t="s">
        <v>850</v>
      </c>
      <c r="B82" s="232"/>
      <c r="D82" s="234">
        <v>-6072254.9100000001</v>
      </c>
      <c r="F82" s="235">
        <v>-5040300.63</v>
      </c>
    </row>
    <row r="83" spans="1:6" x14ac:dyDescent="0.35">
      <c r="A83" s="233"/>
      <c r="B83" s="236"/>
      <c r="D83" s="242">
        <v>7946947.2699999996</v>
      </c>
      <c r="F83" s="243">
        <v>7583579.6299999999</v>
      </c>
    </row>
    <row r="84" spans="1:6" x14ac:dyDescent="0.35">
      <c r="A84" s="231" t="s">
        <v>851</v>
      </c>
      <c r="B84" s="236"/>
      <c r="D84" s="238">
        <v>324495370.28000003</v>
      </c>
      <c r="F84" s="239">
        <v>282327950.83999997</v>
      </c>
    </row>
    <row r="85" spans="1:6" x14ac:dyDescent="0.35">
      <c r="A85" s="231" t="s">
        <v>852</v>
      </c>
      <c r="B85" s="232"/>
      <c r="D85" s="234"/>
      <c r="F85" s="235"/>
    </row>
    <row r="86" spans="1:6" x14ac:dyDescent="0.35">
      <c r="A86" s="233" t="s">
        <v>20</v>
      </c>
      <c r="B86" s="232"/>
      <c r="D86" s="234">
        <v>7487964</v>
      </c>
      <c r="F86" s="235">
        <v>7384589.7999999998</v>
      </c>
    </row>
    <row r="87" spans="1:6" x14ac:dyDescent="0.35">
      <c r="A87" s="233" t="s">
        <v>853</v>
      </c>
      <c r="B87" s="232"/>
      <c r="D87" s="234">
        <v>-5308719.3499999996</v>
      </c>
      <c r="F87" s="235">
        <v>-5242528.53</v>
      </c>
    </row>
    <row r="88" spans="1:6" x14ac:dyDescent="0.35">
      <c r="A88" s="233"/>
      <c r="B88" s="232"/>
      <c r="D88" s="242">
        <v>2179244.6500000004</v>
      </c>
      <c r="F88" s="243">
        <v>2142061.2699999996</v>
      </c>
    </row>
    <row r="89" spans="1:6" x14ac:dyDescent="0.35">
      <c r="A89" s="233" t="s">
        <v>550</v>
      </c>
      <c r="B89" s="232"/>
      <c r="D89" s="247">
        <v>18623562.870000001</v>
      </c>
      <c r="F89" s="248">
        <v>17281723.870000001</v>
      </c>
    </row>
    <row r="90" spans="1:6" ht="31" x14ac:dyDescent="0.35">
      <c r="A90" s="246" t="s">
        <v>854</v>
      </c>
      <c r="B90" s="236"/>
      <c r="C90" s="237"/>
      <c r="D90" s="249">
        <v>-11501772.970000001</v>
      </c>
      <c r="F90" s="250">
        <v>-9717907.7200000007</v>
      </c>
    </row>
    <row r="91" spans="1:6" x14ac:dyDescent="0.35">
      <c r="A91" s="233"/>
      <c r="B91" s="232"/>
      <c r="D91" s="242">
        <v>7121789.9000000004</v>
      </c>
      <c r="F91" s="243">
        <v>7563816.1500000004</v>
      </c>
    </row>
    <row r="92" spans="1:6" x14ac:dyDescent="0.35">
      <c r="A92" s="233" t="s">
        <v>855</v>
      </c>
      <c r="B92" s="232"/>
      <c r="D92" s="234">
        <v>4190313</v>
      </c>
      <c r="F92" s="235">
        <v>4190313</v>
      </c>
    </row>
    <row r="93" spans="1:6" x14ac:dyDescent="0.35">
      <c r="A93" s="246" t="s">
        <v>856</v>
      </c>
      <c r="B93" s="232"/>
      <c r="D93" s="234">
        <v>-2283303.89</v>
      </c>
      <c r="F93" s="235">
        <v>-1885224.15</v>
      </c>
    </row>
    <row r="94" spans="1:6" x14ac:dyDescent="0.35">
      <c r="A94" s="233"/>
      <c r="B94" s="236"/>
      <c r="D94" s="242">
        <v>1907009.1099999999</v>
      </c>
      <c r="F94" s="243">
        <v>2305088.85</v>
      </c>
    </row>
    <row r="95" spans="1:6" x14ac:dyDescent="0.35">
      <c r="A95" s="233" t="s">
        <v>24</v>
      </c>
      <c r="B95" s="232"/>
      <c r="D95" s="234">
        <v>1766593</v>
      </c>
      <c r="F95" s="235">
        <v>1503643</v>
      </c>
    </row>
    <row r="96" spans="1:6" x14ac:dyDescent="0.35">
      <c r="A96" s="233" t="s">
        <v>857</v>
      </c>
      <c r="B96" s="232"/>
      <c r="D96" s="234">
        <v>-832778.85</v>
      </c>
      <c r="F96" s="235">
        <v>-640113.19999999995</v>
      </c>
    </row>
    <row r="97" spans="1:6" x14ac:dyDescent="0.35">
      <c r="A97" s="233"/>
      <c r="B97" s="232"/>
      <c r="D97" s="242">
        <v>933814.15</v>
      </c>
      <c r="F97" s="243">
        <v>863529.8</v>
      </c>
    </row>
    <row r="98" spans="1:6" x14ac:dyDescent="0.35">
      <c r="A98" s="233" t="s">
        <v>25</v>
      </c>
      <c r="B98" s="232"/>
      <c r="D98" s="234">
        <v>146058350</v>
      </c>
      <c r="F98" s="235">
        <v>143948350</v>
      </c>
    </row>
    <row r="99" spans="1:6" x14ac:dyDescent="0.35">
      <c r="A99" s="246" t="s">
        <v>858</v>
      </c>
      <c r="B99" s="236"/>
      <c r="C99" s="237"/>
      <c r="D99" s="247">
        <v>-85368495.859999999</v>
      </c>
      <c r="F99" s="248">
        <v>-77785296.609999999</v>
      </c>
    </row>
    <row r="100" spans="1:6" x14ac:dyDescent="0.35">
      <c r="A100" s="233"/>
      <c r="B100" s="232"/>
      <c r="D100" s="242">
        <v>60689854.140000001</v>
      </c>
      <c r="F100" s="243">
        <v>66163053.390000001</v>
      </c>
    </row>
    <row r="101" spans="1:6" x14ac:dyDescent="0.35">
      <c r="A101" s="233" t="s">
        <v>859</v>
      </c>
      <c r="B101" s="232"/>
      <c r="D101" s="234">
        <v>20103768.640000001</v>
      </c>
      <c r="F101" s="235">
        <v>13029146.640000001</v>
      </c>
    </row>
    <row r="102" spans="1:6" ht="31" x14ac:dyDescent="0.35">
      <c r="A102" s="246" t="s">
        <v>860</v>
      </c>
      <c r="B102" s="232"/>
      <c r="D102" s="234">
        <v>-6080388.5099999998</v>
      </c>
      <c r="F102" s="235">
        <v>-2425851.21</v>
      </c>
    </row>
    <row r="103" spans="1:6" x14ac:dyDescent="0.35">
      <c r="A103" s="233"/>
      <c r="B103" s="236"/>
      <c r="D103" s="242">
        <v>14023380.130000001</v>
      </c>
      <c r="F103" s="243">
        <v>10603295.43</v>
      </c>
    </row>
    <row r="104" spans="1:6" x14ac:dyDescent="0.35">
      <c r="A104" s="233" t="s">
        <v>861</v>
      </c>
      <c r="B104" s="236"/>
      <c r="D104" s="247">
        <v>4326100</v>
      </c>
      <c r="F104" s="248">
        <v>4639988</v>
      </c>
    </row>
    <row r="105" spans="1:6" x14ac:dyDescent="0.35">
      <c r="A105" s="233" t="s">
        <v>862</v>
      </c>
      <c r="B105" s="232"/>
      <c r="D105" s="234">
        <v>-1230751.92</v>
      </c>
      <c r="F105" s="235">
        <v>-1394525.07</v>
      </c>
    </row>
    <row r="106" spans="1:6" x14ac:dyDescent="0.35">
      <c r="A106" s="233"/>
      <c r="B106" s="236"/>
      <c r="D106" s="242">
        <v>3095348.08</v>
      </c>
      <c r="F106" s="243">
        <v>3245462.9299999997</v>
      </c>
    </row>
    <row r="107" spans="1:6" x14ac:dyDescent="0.35">
      <c r="A107" s="233" t="s">
        <v>1013</v>
      </c>
      <c r="B107" s="232"/>
      <c r="D107" s="234">
        <v>559500</v>
      </c>
      <c r="F107" s="235">
        <v>559500</v>
      </c>
    </row>
    <row r="108" spans="1:6" x14ac:dyDescent="0.35">
      <c r="A108" s="233" t="s">
        <v>1014</v>
      </c>
      <c r="B108" s="232"/>
      <c r="D108" s="234">
        <v>-531525</v>
      </c>
      <c r="F108" s="235">
        <v>-531525</v>
      </c>
    </row>
    <row r="109" spans="1:6" x14ac:dyDescent="0.35">
      <c r="A109" s="233"/>
      <c r="B109" s="232"/>
      <c r="D109" s="242">
        <v>27975</v>
      </c>
      <c r="F109" s="243">
        <v>27975</v>
      </c>
    </row>
    <row r="110" spans="1:6" x14ac:dyDescent="0.35">
      <c r="A110" s="233" t="s">
        <v>424</v>
      </c>
      <c r="B110" s="232"/>
      <c r="D110" s="234">
        <v>2019499</v>
      </c>
      <c r="F110" s="235">
        <v>1909499</v>
      </c>
    </row>
    <row r="111" spans="1:6" x14ac:dyDescent="0.35">
      <c r="A111" s="233" t="s">
        <v>863</v>
      </c>
      <c r="B111" s="232"/>
      <c r="D111" s="234">
        <v>-762442.03</v>
      </c>
      <c r="F111" s="235">
        <v>-756314.62</v>
      </c>
    </row>
    <row r="112" spans="1:6" x14ac:dyDescent="0.35">
      <c r="A112" s="233"/>
      <c r="B112" s="232"/>
      <c r="D112" s="242">
        <v>1257056.97</v>
      </c>
      <c r="F112" s="243">
        <v>1153184.3799999999</v>
      </c>
    </row>
    <row r="113" spans="1:6" x14ac:dyDescent="0.35">
      <c r="A113" s="233" t="s">
        <v>817</v>
      </c>
      <c r="B113" s="232"/>
      <c r="D113" s="234">
        <v>3471778</v>
      </c>
      <c r="F113" s="235">
        <v>3335115</v>
      </c>
    </row>
    <row r="114" spans="1:6" x14ac:dyDescent="0.35">
      <c r="A114" s="233" t="s">
        <v>864</v>
      </c>
      <c r="B114" s="236"/>
      <c r="C114" s="237"/>
      <c r="D114" s="247">
        <v>-1773971</v>
      </c>
      <c r="F114" s="248">
        <v>-1400915.65</v>
      </c>
    </row>
    <row r="115" spans="1:6" x14ac:dyDescent="0.35">
      <c r="A115" s="233"/>
      <c r="B115" s="232"/>
      <c r="D115" s="242">
        <v>1697807</v>
      </c>
      <c r="F115" s="243">
        <v>1934199.35</v>
      </c>
    </row>
    <row r="116" spans="1:6" x14ac:dyDescent="0.35">
      <c r="A116" s="231" t="s">
        <v>865</v>
      </c>
      <c r="B116" s="236"/>
      <c r="D116" s="238">
        <v>92933279.129999995</v>
      </c>
      <c r="F116" s="239">
        <v>96001666.550000012</v>
      </c>
    </row>
    <row r="117" spans="1:6" x14ac:dyDescent="0.35">
      <c r="A117" s="231" t="s">
        <v>341</v>
      </c>
      <c r="B117" s="232"/>
      <c r="D117" s="234"/>
      <c r="F117" s="235"/>
    </row>
    <row r="118" spans="1:6" x14ac:dyDescent="0.35">
      <c r="A118" s="233" t="s">
        <v>27</v>
      </c>
      <c r="B118" s="236"/>
      <c r="D118" s="247">
        <v>44022148</v>
      </c>
      <c r="F118" s="248">
        <v>39548564</v>
      </c>
    </row>
    <row r="119" spans="1:6" x14ac:dyDescent="0.35">
      <c r="A119" s="233" t="s">
        <v>866</v>
      </c>
      <c r="B119" s="232"/>
      <c r="D119" s="234">
        <v>-22012601.57</v>
      </c>
      <c r="F119" s="235">
        <v>-19321194.050000001</v>
      </c>
    </row>
    <row r="120" spans="1:6" x14ac:dyDescent="0.35">
      <c r="A120" s="233"/>
      <c r="B120" s="236"/>
      <c r="D120" s="242">
        <v>22009546.43</v>
      </c>
      <c r="F120" s="243">
        <v>20227369.949999999</v>
      </c>
    </row>
    <row r="121" spans="1:6" x14ac:dyDescent="0.35">
      <c r="A121" s="233" t="s">
        <v>1015</v>
      </c>
      <c r="B121" s="232"/>
      <c r="D121" s="234">
        <v>73450</v>
      </c>
      <c r="F121" s="235">
        <v>4671724</v>
      </c>
    </row>
    <row r="122" spans="1:6" x14ac:dyDescent="0.35">
      <c r="A122" s="233" t="s">
        <v>1016</v>
      </c>
      <c r="B122" s="232"/>
      <c r="D122" s="234">
        <v>-57566.44</v>
      </c>
      <c r="F122" s="235">
        <v>-1559625.25</v>
      </c>
    </row>
    <row r="123" spans="1:6" x14ac:dyDescent="0.35">
      <c r="A123" s="233"/>
      <c r="B123" s="232"/>
      <c r="D123" s="242">
        <v>15883.559999999998</v>
      </c>
      <c r="F123" s="243">
        <v>3112098.75</v>
      </c>
    </row>
    <row r="124" spans="1:6" x14ac:dyDescent="0.35">
      <c r="A124" s="231" t="s">
        <v>411</v>
      </c>
      <c r="B124" s="236"/>
      <c r="D124" s="238">
        <v>22025429.989999998</v>
      </c>
      <c r="F124" s="239">
        <v>23339468.699999999</v>
      </c>
    </row>
    <row r="125" spans="1:6" x14ac:dyDescent="0.35">
      <c r="A125" s="231" t="s">
        <v>867</v>
      </c>
      <c r="B125" s="232"/>
      <c r="D125" s="234"/>
      <c r="F125" s="235"/>
    </row>
    <row r="126" spans="1:6" x14ac:dyDescent="0.35">
      <c r="A126" s="233" t="s">
        <v>21</v>
      </c>
      <c r="B126" s="232"/>
      <c r="D126" s="234">
        <v>760405</v>
      </c>
      <c r="F126" s="235">
        <v>57000</v>
      </c>
    </row>
    <row r="127" spans="1:6" x14ac:dyDescent="0.35">
      <c r="A127" s="233" t="s">
        <v>868</v>
      </c>
      <c r="B127" s="232"/>
      <c r="D127" s="234">
        <v>-371561.51</v>
      </c>
      <c r="F127" s="235">
        <v>-54150</v>
      </c>
    </row>
    <row r="128" spans="1:6" x14ac:dyDescent="0.35">
      <c r="A128" s="233"/>
      <c r="B128" s="232"/>
      <c r="D128" s="242">
        <v>388843.49</v>
      </c>
      <c r="F128" s="243">
        <v>2850</v>
      </c>
    </row>
    <row r="129" spans="1:6" x14ac:dyDescent="0.35">
      <c r="A129" s="231" t="s">
        <v>869</v>
      </c>
      <c r="B129" s="232"/>
      <c r="D129" s="238">
        <v>388843.49</v>
      </c>
      <c r="F129" s="239">
        <v>2850</v>
      </c>
    </row>
    <row r="130" spans="1:6" x14ac:dyDescent="0.35">
      <c r="A130" s="231" t="s">
        <v>870</v>
      </c>
      <c r="B130" s="232"/>
      <c r="D130" s="234"/>
      <c r="F130" s="235"/>
    </row>
    <row r="131" spans="1:6" x14ac:dyDescent="0.35">
      <c r="A131" s="233" t="s">
        <v>1017</v>
      </c>
      <c r="B131" s="232"/>
      <c r="D131" s="234">
        <v>0</v>
      </c>
      <c r="F131" s="235">
        <v>656417.4</v>
      </c>
    </row>
    <row r="132" spans="1:6" x14ac:dyDescent="0.35">
      <c r="A132" s="233" t="s">
        <v>871</v>
      </c>
      <c r="B132" s="232"/>
      <c r="D132" s="251">
        <v>19564432.07</v>
      </c>
      <c r="F132" s="235">
        <v>26842818.739999998</v>
      </c>
    </row>
    <row r="133" spans="1:6" x14ac:dyDescent="0.35">
      <c r="A133" s="233" t="s">
        <v>872</v>
      </c>
      <c r="B133" s="232"/>
      <c r="D133" s="234">
        <v>47189080.780000001</v>
      </c>
      <c r="F133" s="235">
        <v>21612855.120000001</v>
      </c>
    </row>
    <row r="134" spans="1:6" x14ac:dyDescent="0.35">
      <c r="A134" s="231" t="s">
        <v>225</v>
      </c>
      <c r="B134" s="232"/>
      <c r="D134" s="238">
        <v>66753512.850000001</v>
      </c>
      <c r="F134" s="239">
        <v>49112091.259999998</v>
      </c>
    </row>
    <row r="135" spans="1:6" x14ac:dyDescent="0.35">
      <c r="A135" s="231" t="s">
        <v>345</v>
      </c>
      <c r="B135" s="232"/>
      <c r="D135" s="234"/>
      <c r="F135" s="235"/>
    </row>
    <row r="136" spans="1:6" x14ac:dyDescent="0.35">
      <c r="A136" s="233" t="s">
        <v>345</v>
      </c>
      <c r="B136" s="232"/>
      <c r="D136" s="234">
        <v>9059023.9000000004</v>
      </c>
      <c r="F136" s="235">
        <v>8962023.9000000004</v>
      </c>
    </row>
    <row r="137" spans="1:6" x14ac:dyDescent="0.35">
      <c r="A137" s="233" t="s">
        <v>873</v>
      </c>
      <c r="B137" s="232"/>
      <c r="D137" s="234">
        <v>-6246743.1299999999</v>
      </c>
      <c r="F137" s="235">
        <v>-5354432.66</v>
      </c>
    </row>
    <row r="138" spans="1:6" x14ac:dyDescent="0.35">
      <c r="A138" s="231" t="s">
        <v>220</v>
      </c>
      <c r="B138" s="232"/>
      <c r="D138" s="238">
        <v>2812280.7700000005</v>
      </c>
      <c r="F138" s="239">
        <v>3607591.24</v>
      </c>
    </row>
    <row r="139" spans="1:6" x14ac:dyDescent="0.35">
      <c r="A139" s="231" t="s">
        <v>421</v>
      </c>
      <c r="B139" s="232"/>
      <c r="D139" s="238">
        <v>1095037914.4200001</v>
      </c>
      <c r="F139" s="239">
        <v>988641395.05999994</v>
      </c>
    </row>
    <row r="140" spans="1:6" x14ac:dyDescent="0.35">
      <c r="A140" s="227" t="s">
        <v>496</v>
      </c>
      <c r="B140" s="236"/>
      <c r="C140" s="237" t="s">
        <v>504</v>
      </c>
      <c r="D140" s="238">
        <v>1095037914.4200001</v>
      </c>
      <c r="E140" s="237" t="s">
        <v>504</v>
      </c>
      <c r="F140" s="239">
        <v>988641395.05999994</v>
      </c>
    </row>
    <row r="141" spans="1:6" x14ac:dyDescent="0.35">
      <c r="A141" s="227" t="s">
        <v>484</v>
      </c>
      <c r="B141" s="236"/>
      <c r="C141" s="237" t="s">
        <v>504</v>
      </c>
      <c r="D141" s="238">
        <v>1488044021.6400001</v>
      </c>
      <c r="E141" s="237" t="s">
        <v>504</v>
      </c>
      <c r="F141" s="239">
        <v>1433803906.03</v>
      </c>
    </row>
    <row r="142" spans="1:6" x14ac:dyDescent="0.35">
      <c r="A142" s="231"/>
      <c r="B142" s="236"/>
      <c r="D142" s="247"/>
      <c r="F142" s="248"/>
    </row>
    <row r="143" spans="1:6" x14ac:dyDescent="0.35">
      <c r="A143" s="227" t="s">
        <v>228</v>
      </c>
      <c r="B143" s="228"/>
      <c r="F143" s="228"/>
    </row>
    <row r="144" spans="1:6" x14ac:dyDescent="0.35">
      <c r="A144" s="227" t="s">
        <v>229</v>
      </c>
    </row>
    <row r="145" spans="1:6" x14ac:dyDescent="0.35">
      <c r="A145" s="231" t="s">
        <v>874</v>
      </c>
      <c r="B145" s="232"/>
      <c r="C145" s="222"/>
      <c r="D145" s="222"/>
      <c r="E145" s="222"/>
    </row>
    <row r="146" spans="1:6" x14ac:dyDescent="0.35">
      <c r="A146" s="233" t="s">
        <v>31</v>
      </c>
      <c r="B146" s="232"/>
      <c r="C146" s="229" t="s">
        <v>504</v>
      </c>
      <c r="D146" s="234">
        <v>54098107.789999999</v>
      </c>
      <c r="E146" s="229" t="s">
        <v>504</v>
      </c>
      <c r="F146" s="235">
        <v>49540627.229999997</v>
      </c>
    </row>
    <row r="147" spans="1:6" x14ac:dyDescent="0.35">
      <c r="A147" s="233" t="s">
        <v>231</v>
      </c>
      <c r="B147" s="232"/>
      <c r="D147" s="234">
        <v>1981310.33</v>
      </c>
      <c r="F147" s="235">
        <v>73080.740000000005</v>
      </c>
    </row>
    <row r="148" spans="1:6" x14ac:dyDescent="0.35">
      <c r="A148" s="233" t="s">
        <v>1018</v>
      </c>
      <c r="B148" s="232"/>
      <c r="D148" s="234">
        <v>564005.03</v>
      </c>
      <c r="F148" s="235">
        <v>0</v>
      </c>
    </row>
    <row r="149" spans="1:6" x14ac:dyDescent="0.35">
      <c r="A149" s="233" t="s">
        <v>40</v>
      </c>
      <c r="B149" s="232"/>
      <c r="D149" s="234">
        <v>6818331.3499999996</v>
      </c>
      <c r="F149" s="235">
        <v>6716087.5999999996</v>
      </c>
    </row>
    <row r="150" spans="1:6" x14ac:dyDescent="0.35">
      <c r="A150" s="231" t="s">
        <v>875</v>
      </c>
      <c r="B150" s="236"/>
      <c r="C150" s="237"/>
      <c r="D150" s="238">
        <v>63461754.5</v>
      </c>
      <c r="E150" s="237"/>
      <c r="F150" s="239">
        <v>56329795.57</v>
      </c>
    </row>
    <row r="151" spans="1:6" x14ac:dyDescent="0.35">
      <c r="A151" s="231" t="s">
        <v>876</v>
      </c>
      <c r="B151" s="232"/>
      <c r="C151" s="222"/>
      <c r="D151" s="222"/>
      <c r="E151" s="222"/>
    </row>
    <row r="152" spans="1:6" x14ac:dyDescent="0.35">
      <c r="A152" s="233" t="s">
        <v>33</v>
      </c>
      <c r="B152" s="232"/>
      <c r="D152" s="234">
        <v>1997909.95</v>
      </c>
      <c r="F152" s="235">
        <v>3182770.2</v>
      </c>
    </row>
    <row r="153" spans="1:6" x14ac:dyDescent="0.35">
      <c r="A153" s="233" t="s">
        <v>34</v>
      </c>
      <c r="B153" s="232"/>
      <c r="D153" s="234">
        <v>4490242.9000000004</v>
      </c>
      <c r="F153" s="235">
        <v>2618779.5299999998</v>
      </c>
    </row>
    <row r="154" spans="1:6" x14ac:dyDescent="0.35">
      <c r="A154" s="233" t="s">
        <v>877</v>
      </c>
      <c r="B154" s="232"/>
      <c r="D154" s="234">
        <v>9743.49</v>
      </c>
      <c r="F154" s="235">
        <v>800</v>
      </c>
    </row>
    <row r="155" spans="1:6" x14ac:dyDescent="0.35">
      <c r="A155" s="233" t="s">
        <v>878</v>
      </c>
      <c r="B155" s="232"/>
      <c r="D155" s="234">
        <v>294144.59999999998</v>
      </c>
      <c r="F155" s="235">
        <v>291266.34999999998</v>
      </c>
    </row>
    <row r="156" spans="1:6" x14ac:dyDescent="0.35">
      <c r="A156" s="233" t="s">
        <v>879</v>
      </c>
      <c r="B156" s="232"/>
      <c r="D156" s="234">
        <v>94536.83</v>
      </c>
      <c r="F156" s="235">
        <v>65373469.729999997</v>
      </c>
    </row>
    <row r="157" spans="1:6" x14ac:dyDescent="0.35">
      <c r="A157" s="233" t="s">
        <v>880</v>
      </c>
      <c r="B157" s="232"/>
      <c r="D157" s="234">
        <v>303050</v>
      </c>
      <c r="F157" s="235">
        <v>222870</v>
      </c>
    </row>
    <row r="158" spans="1:6" x14ac:dyDescent="0.35">
      <c r="A158" s="233" t="s">
        <v>38</v>
      </c>
      <c r="B158" s="232"/>
      <c r="D158" s="234">
        <v>1936474.61</v>
      </c>
      <c r="F158" s="235">
        <v>1584670.27</v>
      </c>
    </row>
    <row r="159" spans="1:6" x14ac:dyDescent="0.35">
      <c r="A159" s="231" t="s">
        <v>881</v>
      </c>
      <c r="B159" s="236"/>
      <c r="C159" s="237"/>
      <c r="D159" s="238">
        <v>9126102.3800000008</v>
      </c>
      <c r="E159" s="237"/>
      <c r="F159" s="239">
        <v>73274626.079999998</v>
      </c>
    </row>
    <row r="160" spans="1:6" x14ac:dyDescent="0.35">
      <c r="A160" s="231" t="s">
        <v>882</v>
      </c>
      <c r="B160" s="232"/>
      <c r="C160" s="222"/>
      <c r="D160" s="222"/>
      <c r="E160" s="222"/>
    </row>
    <row r="161" spans="1:6" x14ac:dyDescent="0.35">
      <c r="A161" s="233" t="s">
        <v>884</v>
      </c>
      <c r="B161" s="232"/>
      <c r="D161" s="234">
        <v>656247.59</v>
      </c>
      <c r="F161" s="235">
        <v>606612.24</v>
      </c>
    </row>
    <row r="162" spans="1:6" x14ac:dyDescent="0.35">
      <c r="A162" s="231" t="s">
        <v>883</v>
      </c>
      <c r="B162" s="236"/>
      <c r="C162" s="237"/>
      <c r="D162" s="238">
        <v>656247.59</v>
      </c>
      <c r="E162" s="237"/>
      <c r="F162" s="239">
        <v>606612.24</v>
      </c>
    </row>
    <row r="163" spans="1:6" x14ac:dyDescent="0.35">
      <c r="A163" s="231" t="s">
        <v>885</v>
      </c>
      <c r="B163" s="232"/>
      <c r="D163" s="252"/>
      <c r="F163" s="236"/>
    </row>
    <row r="164" spans="1:6" x14ac:dyDescent="0.35">
      <c r="A164" s="233" t="s">
        <v>887</v>
      </c>
      <c r="B164" s="232"/>
      <c r="D164" s="252">
        <v>16046571.060000001</v>
      </c>
      <c r="F164" s="236">
        <v>19593169.579999998</v>
      </c>
    </row>
    <row r="165" spans="1:6" x14ac:dyDescent="0.35">
      <c r="A165" s="231" t="s">
        <v>888</v>
      </c>
      <c r="B165" s="232"/>
      <c r="D165" s="253">
        <v>16046571.060000001</v>
      </c>
      <c r="F165" s="254">
        <v>19593169.579999998</v>
      </c>
    </row>
    <row r="166" spans="1:6" x14ac:dyDescent="0.35">
      <c r="A166" s="231" t="s">
        <v>889</v>
      </c>
      <c r="B166" s="232"/>
      <c r="D166" s="252"/>
      <c r="F166" s="236"/>
    </row>
    <row r="167" spans="1:6" x14ac:dyDescent="0.35">
      <c r="A167" s="233" t="s">
        <v>890</v>
      </c>
      <c r="B167" s="232"/>
      <c r="D167" s="252">
        <v>5847204.0599999996</v>
      </c>
      <c r="F167" s="236">
        <v>5672843.6699999999</v>
      </c>
    </row>
    <row r="168" spans="1:6" x14ac:dyDescent="0.35">
      <c r="A168" s="231" t="s">
        <v>904</v>
      </c>
      <c r="B168" s="232"/>
      <c r="D168" s="253">
        <v>5847204.0599999996</v>
      </c>
      <c r="F168" s="254">
        <v>5672843.6699999999</v>
      </c>
    </row>
    <row r="169" spans="1:6" x14ac:dyDescent="0.35">
      <c r="A169" s="227" t="s">
        <v>236</v>
      </c>
      <c r="B169" s="236"/>
      <c r="C169" s="237" t="s">
        <v>504</v>
      </c>
      <c r="D169" s="253">
        <v>95137879.590000004</v>
      </c>
      <c r="E169" s="237" t="s">
        <v>504</v>
      </c>
      <c r="F169" s="254">
        <v>155477047.13999999</v>
      </c>
    </row>
    <row r="170" spans="1:6" x14ac:dyDescent="0.35">
      <c r="A170" s="237" t="s">
        <v>891</v>
      </c>
      <c r="B170" s="236"/>
      <c r="C170" s="237"/>
      <c r="D170" s="255"/>
      <c r="E170" s="237"/>
      <c r="F170" s="256"/>
    </row>
    <row r="171" spans="1:6" x14ac:dyDescent="0.35">
      <c r="A171" s="231" t="s">
        <v>874</v>
      </c>
      <c r="B171" s="232"/>
      <c r="D171" s="252"/>
      <c r="F171" s="236"/>
    </row>
    <row r="172" spans="1:6" x14ac:dyDescent="0.35">
      <c r="A172" s="233" t="s">
        <v>40</v>
      </c>
      <c r="B172" s="232"/>
      <c r="D172" s="252">
        <v>40392913.539999999</v>
      </c>
      <c r="F172" s="236">
        <v>47211244.890000001</v>
      </c>
    </row>
    <row r="173" spans="1:6" x14ac:dyDescent="0.35">
      <c r="A173" s="231" t="s">
        <v>875</v>
      </c>
      <c r="B173" s="232"/>
      <c r="D173" s="253">
        <v>40392913.539999999</v>
      </c>
      <c r="F173" s="254">
        <v>47211244.890000001</v>
      </c>
    </row>
    <row r="174" spans="1:6" x14ac:dyDescent="0.35">
      <c r="A174" s="231" t="s">
        <v>892</v>
      </c>
      <c r="B174" s="232"/>
      <c r="D174" s="252"/>
      <c r="F174" s="236"/>
    </row>
    <row r="175" spans="1:6" x14ac:dyDescent="0.35">
      <c r="A175" s="233" t="s">
        <v>39</v>
      </c>
      <c r="B175" s="232"/>
      <c r="D175" s="252">
        <v>5003999.08</v>
      </c>
      <c r="F175" s="236">
        <v>943797.42</v>
      </c>
    </row>
    <row r="176" spans="1:6" x14ac:dyDescent="0.35">
      <c r="A176" s="231" t="s">
        <v>893</v>
      </c>
      <c r="B176" s="232"/>
      <c r="D176" s="253">
        <v>5003999.08</v>
      </c>
      <c r="F176" s="254">
        <v>943797.42</v>
      </c>
    </row>
    <row r="177" spans="1:6" x14ac:dyDescent="0.35">
      <c r="A177" s="227" t="s">
        <v>894</v>
      </c>
      <c r="B177" s="236"/>
      <c r="C177" s="237" t="s">
        <v>504</v>
      </c>
      <c r="D177" s="253">
        <v>45396912.619999997</v>
      </c>
      <c r="E177" s="237" t="s">
        <v>504</v>
      </c>
      <c r="F177" s="254">
        <v>48155042.310000002</v>
      </c>
    </row>
    <row r="178" spans="1:6" x14ac:dyDescent="0.35">
      <c r="A178" s="237" t="s">
        <v>240</v>
      </c>
      <c r="B178" s="236"/>
      <c r="C178" s="237" t="s">
        <v>504</v>
      </c>
      <c r="D178" s="253">
        <v>140534792.21000001</v>
      </c>
      <c r="E178" s="237" t="s">
        <v>504</v>
      </c>
      <c r="F178" s="254">
        <v>203632089.44999999</v>
      </c>
    </row>
    <row r="179" spans="1:6" x14ac:dyDescent="0.35">
      <c r="A179" s="227"/>
      <c r="B179" s="236"/>
      <c r="C179" s="237"/>
      <c r="D179" s="255"/>
      <c r="E179" s="237"/>
      <c r="F179" s="256"/>
    </row>
    <row r="180" spans="1:6" x14ac:dyDescent="0.35">
      <c r="A180" s="227" t="s">
        <v>895</v>
      </c>
      <c r="B180" s="236"/>
      <c r="C180" s="237"/>
      <c r="D180" s="255"/>
      <c r="E180" s="237"/>
      <c r="F180" s="256"/>
    </row>
    <row r="181" spans="1:6" x14ac:dyDescent="0.35">
      <c r="A181" s="231" t="s">
        <v>538</v>
      </c>
      <c r="B181" s="232"/>
      <c r="C181" s="237" t="s">
        <v>504</v>
      </c>
      <c r="D181" s="244">
        <v>1230171816.5799999</v>
      </c>
      <c r="E181" s="237" t="s">
        <v>504</v>
      </c>
      <c r="F181" s="245">
        <v>1217395525</v>
      </c>
    </row>
    <row r="182" spans="1:6" x14ac:dyDescent="0.35">
      <c r="A182" s="233" t="s">
        <v>896</v>
      </c>
      <c r="B182" s="232"/>
      <c r="D182" s="234"/>
      <c r="F182" s="235"/>
    </row>
    <row r="183" spans="1:6" x14ac:dyDescent="0.35">
      <c r="A183" s="233" t="s">
        <v>537</v>
      </c>
      <c r="B183" s="232"/>
      <c r="D183" s="234">
        <v>0</v>
      </c>
      <c r="F183" s="235">
        <v>0</v>
      </c>
    </row>
    <row r="184" spans="1:6" x14ac:dyDescent="0.35">
      <c r="A184" s="233" t="s">
        <v>897</v>
      </c>
      <c r="B184" s="232"/>
      <c r="C184" s="229" t="s">
        <v>504</v>
      </c>
      <c r="D184" s="234">
        <v>-20311403.059999999</v>
      </c>
      <c r="E184" s="229" t="s">
        <v>504</v>
      </c>
      <c r="F184" s="235">
        <v>-13397037.15</v>
      </c>
    </row>
    <row r="185" spans="1:6" x14ac:dyDescent="0.35">
      <c r="A185" s="231" t="s">
        <v>535</v>
      </c>
      <c r="B185" s="236"/>
      <c r="C185" s="237"/>
      <c r="D185" s="238">
        <v>1209860413.52</v>
      </c>
      <c r="E185" s="237"/>
      <c r="F185" s="239">
        <v>1203998487.8499999</v>
      </c>
    </row>
    <row r="186" spans="1:6" x14ac:dyDescent="0.35">
      <c r="A186" s="231" t="s">
        <v>898</v>
      </c>
      <c r="B186" s="232"/>
      <c r="D186" s="252"/>
      <c r="F186" s="236"/>
    </row>
    <row r="187" spans="1:6" x14ac:dyDescent="0.35">
      <c r="A187" s="233" t="s">
        <v>533</v>
      </c>
      <c r="B187" s="232"/>
      <c r="D187" s="252">
        <v>58194918.090000004</v>
      </c>
      <c r="F187" s="236">
        <v>8688056.9900000002</v>
      </c>
    </row>
    <row r="188" spans="1:6" x14ac:dyDescent="0.35">
      <c r="A188" s="233" t="s">
        <v>503</v>
      </c>
      <c r="B188" s="232"/>
      <c r="D188" s="252">
        <v>79453897.819999993</v>
      </c>
      <c r="F188" s="236">
        <v>17485271.739999998</v>
      </c>
    </row>
    <row r="189" spans="1:6" x14ac:dyDescent="0.35">
      <c r="A189" s="231" t="s">
        <v>531</v>
      </c>
      <c r="B189" s="232"/>
      <c r="D189" s="255">
        <v>137648815.91</v>
      </c>
      <c r="F189" s="256">
        <v>26173328.729999997</v>
      </c>
    </row>
    <row r="190" spans="1:6" x14ac:dyDescent="0.35">
      <c r="A190" s="231" t="s">
        <v>530</v>
      </c>
      <c r="B190" s="232"/>
      <c r="D190" s="255">
        <v>1347509229.4300001</v>
      </c>
      <c r="F190" s="256">
        <v>1230171816.5799999</v>
      </c>
    </row>
    <row r="191" spans="1:6" ht="16" thickBot="1" x14ac:dyDescent="0.4">
      <c r="A191" s="237" t="s">
        <v>899</v>
      </c>
      <c r="B191" s="257"/>
      <c r="C191" s="237" t="s">
        <v>504</v>
      </c>
      <c r="D191" s="258">
        <v>1488044021.6400001</v>
      </c>
      <c r="E191" s="237" t="s">
        <v>504</v>
      </c>
      <c r="F191" s="259">
        <v>1433803906.03</v>
      </c>
    </row>
    <row r="192" spans="1:6" ht="16" thickTop="1" x14ac:dyDescent="0.35">
      <c r="A192" s="237"/>
      <c r="B192" s="257"/>
      <c r="D192" s="260"/>
      <c r="F192" s="261"/>
    </row>
  </sheetData>
  <sheetProtection algorithmName="SHA-512" hashValue="bfWw2gv6nJrBvadFJ9d83adMJwg7U1Uwfz7JhgOO7QL2s6Fl81S+EprbMFLdhBEDwK4gCx8bsYnUjUB+EKvG/Q==" saltValue="2wxFRsYGY/IZWW068Y6CmQ==" spinCount="100000" sheet="1" objects="1" scenarios="1" selectLockedCells="1" selectUnlockedCells="1"/>
  <mergeCells count="6">
    <mergeCell ref="A1:F1"/>
    <mergeCell ref="A2:F2"/>
    <mergeCell ref="A3:F3"/>
    <mergeCell ref="A4:F4"/>
    <mergeCell ref="C6:D6"/>
    <mergeCell ref="E6:F6"/>
  </mergeCells>
  <hyperlinks>
    <hyperlink ref="A2:F2" r:id="rId1" display="CONSOLIDATED BALANCE SHEET" xr:uid="{00000000-0004-0000-0500-000000000000}"/>
    <hyperlink ref="C2:D2" r:id="rId2" display="CONSOLIDATED BALANCE SHEET" xr:uid="{00000000-0004-0000-0500-000001000000}"/>
  </hyperlinks>
  <printOptions horizontalCentered="1"/>
  <pageMargins left="1.1100000000000001" right="0.63" top="1.25984251968504" bottom="0.98425196850393704" header="0.23622047244094499" footer="0.31496062992126"/>
  <pageSetup scale="76" fitToHeight="0" pageOrder="overThenDown" orientation="portrait" horizontalDpi="4294967295" verticalDpi="4294967295" r:id="rId3"/>
  <headerFooter scaleWithDoc="0">
    <oddHeader xml:space="preserve">&amp;R&amp;"Times New Roman,Regular"Annex B-1
&amp;12
</oddHeader>
  </headerFooter>
  <rowBreaks count="4" manualBreakCount="4">
    <brk id="44" max="5" man="1"/>
    <brk id="91" max="5" man="1"/>
    <brk id="136" max="5" man="1"/>
    <brk id="183"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F92"/>
  <sheetViews>
    <sheetView zoomScale="75" zoomScaleNormal="75" workbookViewId="0">
      <selection sqref="A1:F1"/>
    </sheetView>
  </sheetViews>
  <sheetFormatPr defaultColWidth="9.1796875" defaultRowHeight="18" x14ac:dyDescent="0.4"/>
  <cols>
    <col min="1" max="1" width="65.1796875" style="91" customWidth="1"/>
    <col min="2" max="2" width="9.1796875" style="91" customWidth="1"/>
    <col min="3" max="3" width="2.81640625" style="97" customWidth="1"/>
    <col min="4" max="4" width="24" style="145" bestFit="1" customWidth="1"/>
    <col min="5" max="5" width="2.81640625" style="97" customWidth="1"/>
    <col min="6" max="6" width="22.453125" style="91" customWidth="1"/>
    <col min="7" max="16384" width="9.1796875" style="91"/>
  </cols>
  <sheetData>
    <row r="1" spans="1:6" ht="25.5" customHeight="1" x14ac:dyDescent="0.4">
      <c r="A1" s="354" t="s">
        <v>1003</v>
      </c>
      <c r="B1" s="354"/>
      <c r="C1" s="354"/>
      <c r="D1" s="354"/>
      <c r="E1" s="354"/>
      <c r="F1" s="354"/>
    </row>
    <row r="2" spans="1:6" ht="27" customHeight="1" x14ac:dyDescent="0.4">
      <c r="A2" s="355" t="s">
        <v>993</v>
      </c>
      <c r="B2" s="355"/>
      <c r="C2" s="355"/>
      <c r="D2" s="355"/>
      <c r="E2" s="355"/>
      <c r="F2" s="355"/>
    </row>
    <row r="3" spans="1:6" ht="24.75" customHeight="1" x14ac:dyDescent="0.4">
      <c r="A3" s="356" t="s">
        <v>542</v>
      </c>
      <c r="B3" s="357"/>
      <c r="C3" s="357"/>
      <c r="D3" s="357"/>
      <c r="E3" s="357"/>
      <c r="F3" s="357"/>
    </row>
    <row r="4" spans="1:6" ht="27" customHeight="1" x14ac:dyDescent="0.4">
      <c r="A4" s="358" t="s">
        <v>543</v>
      </c>
      <c r="B4" s="358"/>
      <c r="C4" s="358"/>
      <c r="D4" s="358"/>
      <c r="E4" s="358"/>
      <c r="F4" s="358"/>
    </row>
    <row r="5" spans="1:6" x14ac:dyDescent="0.4">
      <c r="A5" s="92"/>
      <c r="B5" s="92"/>
      <c r="C5" s="93"/>
      <c r="D5" s="144"/>
      <c r="E5" s="93"/>
      <c r="F5" s="92"/>
    </row>
    <row r="6" spans="1:6" x14ac:dyDescent="0.4">
      <c r="B6" s="94"/>
      <c r="C6" s="359">
        <v>2025</v>
      </c>
      <c r="D6" s="359"/>
      <c r="E6" s="359">
        <v>2024</v>
      </c>
      <c r="F6" s="359"/>
    </row>
    <row r="7" spans="1:6" x14ac:dyDescent="0.4">
      <c r="A7" s="95" t="s">
        <v>181</v>
      </c>
      <c r="B7" s="96"/>
      <c r="F7" s="96"/>
    </row>
    <row r="8" spans="1:6" x14ac:dyDescent="0.4">
      <c r="A8" s="95" t="s">
        <v>182</v>
      </c>
    </row>
    <row r="9" spans="1:6" x14ac:dyDescent="0.4">
      <c r="A9" s="101" t="s">
        <v>821</v>
      </c>
      <c r="B9" s="99"/>
    </row>
    <row r="10" spans="1:6" x14ac:dyDescent="0.4">
      <c r="A10" s="98" t="s">
        <v>822</v>
      </c>
      <c r="B10" s="99"/>
      <c r="C10" s="97" t="s">
        <v>504</v>
      </c>
      <c r="D10" s="161">
        <v>0</v>
      </c>
      <c r="E10" s="97" t="s">
        <v>504</v>
      </c>
      <c r="F10" s="91">
        <v>62368.52</v>
      </c>
    </row>
    <row r="11" spans="1:6" x14ac:dyDescent="0.4">
      <c r="A11" s="98" t="s">
        <v>823</v>
      </c>
      <c r="B11" s="99"/>
      <c r="C11" s="91"/>
      <c r="D11" s="146">
        <v>3701502.37</v>
      </c>
      <c r="E11" s="91"/>
      <c r="F11" s="108">
        <v>3964670.27</v>
      </c>
    </row>
    <row r="12" spans="1:6" x14ac:dyDescent="0.4">
      <c r="A12" s="101" t="s">
        <v>824</v>
      </c>
      <c r="B12" s="102"/>
      <c r="C12" s="106"/>
      <c r="D12" s="147">
        <v>3701502.37</v>
      </c>
      <c r="E12" s="106"/>
      <c r="F12" s="109">
        <v>4027038.79</v>
      </c>
    </row>
    <row r="13" spans="1:6" x14ac:dyDescent="0.4">
      <c r="A13" s="101" t="s">
        <v>186</v>
      </c>
      <c r="B13" s="99"/>
    </row>
    <row r="14" spans="1:6" x14ac:dyDescent="0.4">
      <c r="A14" s="98" t="s">
        <v>114</v>
      </c>
      <c r="B14" s="99"/>
      <c r="D14" s="146">
        <v>6693671.6200000001</v>
      </c>
      <c r="F14" s="108">
        <v>10454035.189999999</v>
      </c>
    </row>
    <row r="15" spans="1:6" x14ac:dyDescent="0.4">
      <c r="A15" s="98" t="s">
        <v>905</v>
      </c>
      <c r="B15" s="99"/>
      <c r="D15" s="146">
        <v>656247.59</v>
      </c>
      <c r="F15" s="108">
        <v>588012.24</v>
      </c>
    </row>
    <row r="16" spans="1:6" x14ac:dyDescent="0.4">
      <c r="A16" s="101" t="s">
        <v>410</v>
      </c>
      <c r="B16" s="102"/>
      <c r="C16" s="106"/>
      <c r="D16" s="147">
        <v>7349919.21</v>
      </c>
      <c r="F16" s="109">
        <v>11042047.43</v>
      </c>
    </row>
    <row r="17" spans="1:6" x14ac:dyDescent="0.4">
      <c r="A17" s="106" t="s">
        <v>495</v>
      </c>
      <c r="B17" s="102"/>
      <c r="C17" s="106" t="s">
        <v>504</v>
      </c>
      <c r="D17" s="147">
        <v>11051421.58</v>
      </c>
      <c r="E17" s="106" t="s">
        <v>504</v>
      </c>
      <c r="F17" s="109">
        <v>15069086.219999999</v>
      </c>
    </row>
    <row r="18" spans="1:6" x14ac:dyDescent="0.4">
      <c r="A18" s="106"/>
      <c r="B18" s="102"/>
      <c r="C18" s="106"/>
      <c r="D18" s="148"/>
      <c r="E18" s="106"/>
      <c r="F18" s="141"/>
    </row>
    <row r="19" spans="1:6" x14ac:dyDescent="0.4">
      <c r="A19" s="95" t="s">
        <v>826</v>
      </c>
    </row>
    <row r="20" spans="1:6" x14ac:dyDescent="0.4">
      <c r="A20" s="101" t="s">
        <v>827</v>
      </c>
      <c r="B20" s="99"/>
    </row>
    <row r="21" spans="1:6" x14ac:dyDescent="0.4">
      <c r="A21" s="101" t="s">
        <v>13</v>
      </c>
      <c r="B21" s="99"/>
      <c r="D21" s="146"/>
      <c r="F21" s="108"/>
    </row>
    <row r="22" spans="1:6" x14ac:dyDescent="0.4">
      <c r="A22" s="98" t="s">
        <v>830</v>
      </c>
      <c r="B22" s="99"/>
      <c r="C22" s="97" t="s">
        <v>504</v>
      </c>
      <c r="D22" s="150">
        <v>2475341.9500000002</v>
      </c>
      <c r="E22" s="97" t="s">
        <v>504</v>
      </c>
      <c r="F22" s="143">
        <v>1431273</v>
      </c>
    </row>
    <row r="23" spans="1:6" x14ac:dyDescent="0.4">
      <c r="A23" s="98" t="s">
        <v>831</v>
      </c>
      <c r="B23" s="102"/>
      <c r="C23" s="106"/>
      <c r="D23" s="158">
        <v>-923560.25199999998</v>
      </c>
      <c r="F23" s="159">
        <v>-548992.13800000004</v>
      </c>
    </row>
    <row r="24" spans="1:6" x14ac:dyDescent="0.4">
      <c r="A24" s="98"/>
      <c r="B24" s="99"/>
      <c r="D24" s="149">
        <v>1551781.6980000003</v>
      </c>
      <c r="F24" s="142">
        <v>882280.86199999996</v>
      </c>
    </row>
    <row r="25" spans="1:6" x14ac:dyDescent="0.4">
      <c r="A25" s="101" t="s">
        <v>832</v>
      </c>
      <c r="B25" s="102"/>
      <c r="D25" s="147">
        <v>1551781.6980000003</v>
      </c>
      <c r="F25" s="109">
        <v>882280.86199999996</v>
      </c>
    </row>
    <row r="26" spans="1:6" x14ac:dyDescent="0.4">
      <c r="A26" s="101" t="s">
        <v>833</v>
      </c>
      <c r="B26" s="99"/>
      <c r="D26" s="146"/>
      <c r="F26" s="108"/>
    </row>
    <row r="27" spans="1:6" x14ac:dyDescent="0.4">
      <c r="A27" s="98" t="s">
        <v>548</v>
      </c>
      <c r="B27" s="99"/>
      <c r="D27" s="146">
        <v>65272</v>
      </c>
      <c r="F27" s="108">
        <v>65272</v>
      </c>
    </row>
    <row r="28" spans="1:6" x14ac:dyDescent="0.4">
      <c r="A28" s="98" t="s">
        <v>834</v>
      </c>
      <c r="B28" s="99"/>
      <c r="D28" s="146">
        <v>-12918.424000000001</v>
      </c>
      <c r="F28" s="108">
        <v>-6717.5820000000003</v>
      </c>
    </row>
    <row r="29" spans="1:6" x14ac:dyDescent="0.4">
      <c r="A29" s="98"/>
      <c r="B29" s="99"/>
      <c r="D29" s="149">
        <v>52353.576000000001</v>
      </c>
      <c r="F29" s="142">
        <v>58554.417999999998</v>
      </c>
    </row>
    <row r="30" spans="1:6" x14ac:dyDescent="0.4">
      <c r="A30" s="98" t="s">
        <v>835</v>
      </c>
      <c r="B30" s="99"/>
      <c r="D30" s="150">
        <v>31665</v>
      </c>
      <c r="F30" s="143">
        <v>31665</v>
      </c>
    </row>
    <row r="31" spans="1:6" x14ac:dyDescent="0.4">
      <c r="A31" s="160" t="s">
        <v>1019</v>
      </c>
      <c r="B31" s="102"/>
      <c r="C31" s="106"/>
      <c r="D31" s="158">
        <v>-14288.852000000001</v>
      </c>
      <c r="F31" s="159">
        <v>-11280.668</v>
      </c>
    </row>
    <row r="32" spans="1:6" x14ac:dyDescent="0.4">
      <c r="A32" s="98"/>
      <c r="B32" s="99"/>
      <c r="D32" s="149">
        <v>17376.148000000001</v>
      </c>
      <c r="F32" s="142">
        <v>20384.332000000002</v>
      </c>
    </row>
    <row r="33" spans="1:6" x14ac:dyDescent="0.4">
      <c r="A33" s="98" t="s">
        <v>837</v>
      </c>
      <c r="B33" s="99"/>
      <c r="D33" s="146">
        <v>199287</v>
      </c>
      <c r="F33" s="108">
        <v>199287</v>
      </c>
    </row>
    <row r="34" spans="1:6" x14ac:dyDescent="0.4">
      <c r="A34" s="98" t="s">
        <v>838</v>
      </c>
      <c r="B34" s="99"/>
      <c r="D34" s="146">
        <v>-133692.4</v>
      </c>
      <c r="F34" s="108">
        <v>-114760.132</v>
      </c>
    </row>
    <row r="35" spans="1:6" x14ac:dyDescent="0.4">
      <c r="A35" s="98"/>
      <c r="B35" s="99"/>
      <c r="D35" s="149">
        <v>65594.600000000006</v>
      </c>
      <c r="F35" s="142">
        <v>84526.868000000002</v>
      </c>
    </row>
    <row r="36" spans="1:6" x14ac:dyDescent="0.4">
      <c r="A36" s="98" t="s">
        <v>1011</v>
      </c>
      <c r="B36" s="99"/>
      <c r="D36" s="150">
        <v>51950</v>
      </c>
      <c r="F36" s="143">
        <v>149970</v>
      </c>
    </row>
    <row r="37" spans="1:6" x14ac:dyDescent="0.4">
      <c r="A37" s="160" t="s">
        <v>1012</v>
      </c>
      <c r="B37" s="102"/>
      <c r="C37" s="106"/>
      <c r="D37" s="158">
        <v>-28981.564999999999</v>
      </c>
      <c r="F37" s="159">
        <v>-87677.642000000007</v>
      </c>
    </row>
    <row r="38" spans="1:6" x14ac:dyDescent="0.4">
      <c r="A38" s="160"/>
      <c r="B38" s="102"/>
      <c r="C38" s="106"/>
      <c r="D38" s="158">
        <v>22968.435000000001</v>
      </c>
      <c r="F38" s="159">
        <v>62292.357999999993</v>
      </c>
    </row>
    <row r="39" spans="1:6" x14ac:dyDescent="0.4">
      <c r="A39" s="101" t="s">
        <v>841</v>
      </c>
      <c r="B39" s="102"/>
      <c r="D39" s="147">
        <v>158292.75900000002</v>
      </c>
      <c r="F39" s="109">
        <v>225757.97600000002</v>
      </c>
    </row>
    <row r="40" spans="1:6" x14ac:dyDescent="0.4">
      <c r="A40" s="101" t="s">
        <v>842</v>
      </c>
      <c r="B40" s="99"/>
      <c r="D40" s="146"/>
      <c r="F40" s="108"/>
    </row>
    <row r="41" spans="1:6" x14ac:dyDescent="0.4">
      <c r="A41" s="98" t="s">
        <v>818</v>
      </c>
      <c r="B41" s="99"/>
      <c r="D41" s="150">
        <v>174842</v>
      </c>
      <c r="F41" s="143">
        <v>174842</v>
      </c>
    </row>
    <row r="42" spans="1:6" x14ac:dyDescent="0.4">
      <c r="A42" s="98" t="s">
        <v>844</v>
      </c>
      <c r="B42" s="102"/>
      <c r="C42" s="106"/>
      <c r="D42" s="158">
        <v>-50936.752</v>
      </c>
      <c r="F42" s="159">
        <v>-42631.752</v>
      </c>
    </row>
    <row r="43" spans="1:6" x14ac:dyDescent="0.4">
      <c r="A43" s="98"/>
      <c r="B43" s="99"/>
      <c r="D43" s="149">
        <v>123905.24799999999</v>
      </c>
      <c r="F43" s="142">
        <v>132210.24799999999</v>
      </c>
    </row>
    <row r="44" spans="1:6" x14ac:dyDescent="0.4">
      <c r="A44" s="98" t="s">
        <v>16</v>
      </c>
      <c r="B44" s="99"/>
      <c r="D44" s="150">
        <v>1719626.1</v>
      </c>
      <c r="F44" s="143">
        <v>1571071.55</v>
      </c>
    </row>
    <row r="45" spans="1:6" x14ac:dyDescent="0.4">
      <c r="A45" s="98" t="s">
        <v>844</v>
      </c>
      <c r="B45" s="102"/>
      <c r="C45" s="106"/>
      <c r="D45" s="158">
        <v>-443819.37699999998</v>
      </c>
      <c r="F45" s="159">
        <v>-368382.72200000001</v>
      </c>
    </row>
    <row r="46" spans="1:6" x14ac:dyDescent="0.4">
      <c r="A46" s="98"/>
      <c r="B46" s="99"/>
      <c r="D46" s="149">
        <v>1275806.7230000002</v>
      </c>
      <c r="F46" s="142">
        <v>1202688.828</v>
      </c>
    </row>
    <row r="47" spans="1:6" x14ac:dyDescent="0.4">
      <c r="A47" s="98" t="s">
        <v>19</v>
      </c>
      <c r="B47" s="99"/>
      <c r="D47" s="150">
        <v>543846.5</v>
      </c>
      <c r="F47" s="143">
        <v>1002214.45</v>
      </c>
    </row>
    <row r="48" spans="1:6" x14ac:dyDescent="0.4">
      <c r="A48" s="98" t="s">
        <v>850</v>
      </c>
      <c r="B48" s="102"/>
      <c r="C48" s="106"/>
      <c r="D48" s="158">
        <v>-188861.11900000001</v>
      </c>
      <c r="F48" s="159">
        <v>-241033.68</v>
      </c>
    </row>
    <row r="49" spans="1:6" x14ac:dyDescent="0.4">
      <c r="A49" s="98"/>
      <c r="B49" s="99"/>
      <c r="D49" s="149">
        <v>354985.38099999999</v>
      </c>
      <c r="F49" s="142">
        <v>761180.77</v>
      </c>
    </row>
    <row r="50" spans="1:6" x14ac:dyDescent="0.4">
      <c r="A50" s="101" t="s">
        <v>851</v>
      </c>
      <c r="B50" s="102"/>
      <c r="D50" s="147">
        <v>1754697.3520000002</v>
      </c>
      <c r="F50" s="109">
        <v>2096079.8459999999</v>
      </c>
    </row>
    <row r="51" spans="1:6" x14ac:dyDescent="0.4">
      <c r="A51" s="101" t="s">
        <v>852</v>
      </c>
      <c r="B51" s="99"/>
      <c r="D51" s="146"/>
      <c r="F51" s="108"/>
    </row>
    <row r="52" spans="1:6" x14ac:dyDescent="0.4">
      <c r="A52" s="98" t="s">
        <v>20</v>
      </c>
      <c r="B52" s="99"/>
      <c r="D52" s="146">
        <v>458934</v>
      </c>
      <c r="F52" s="108">
        <v>458934</v>
      </c>
    </row>
    <row r="53" spans="1:6" x14ac:dyDescent="0.4">
      <c r="A53" s="98" t="s">
        <v>853</v>
      </c>
      <c r="B53" s="99"/>
      <c r="D53" s="146">
        <v>-417955.98300000001</v>
      </c>
      <c r="F53" s="108">
        <v>-343202.38</v>
      </c>
    </row>
    <row r="54" spans="1:6" x14ac:dyDescent="0.4">
      <c r="A54" s="98"/>
      <c r="B54" s="99"/>
      <c r="D54" s="149">
        <v>40978.016999999993</v>
      </c>
      <c r="F54" s="142">
        <v>115731.62</v>
      </c>
    </row>
    <row r="55" spans="1:6" x14ac:dyDescent="0.4">
      <c r="A55" s="98" t="s">
        <v>550</v>
      </c>
      <c r="B55" s="99"/>
      <c r="D55" s="150">
        <v>50750</v>
      </c>
      <c r="F55" s="143">
        <v>50750</v>
      </c>
    </row>
    <row r="56" spans="1:6" ht="36" x14ac:dyDescent="0.4">
      <c r="A56" s="160" t="s">
        <v>854</v>
      </c>
      <c r="B56" s="102"/>
      <c r="C56" s="106"/>
      <c r="D56" s="158">
        <v>-28123.963</v>
      </c>
      <c r="F56" s="159">
        <v>-18481.46</v>
      </c>
    </row>
    <row r="57" spans="1:6" x14ac:dyDescent="0.4">
      <c r="A57" s="98"/>
      <c r="B57" s="99"/>
      <c r="D57" s="149">
        <v>22626.037</v>
      </c>
      <c r="F57" s="142">
        <v>32268.54</v>
      </c>
    </row>
    <row r="58" spans="1:6" x14ac:dyDescent="0.4">
      <c r="A58" s="101" t="s">
        <v>865</v>
      </c>
      <c r="B58" s="102"/>
      <c r="D58" s="147">
        <v>63604.053999999989</v>
      </c>
      <c r="F58" s="109">
        <v>148000.16</v>
      </c>
    </row>
    <row r="59" spans="1:6" x14ac:dyDescent="0.4">
      <c r="A59" s="101" t="s">
        <v>870</v>
      </c>
      <c r="B59" s="99"/>
      <c r="D59" s="146"/>
      <c r="F59" s="108"/>
    </row>
    <row r="60" spans="1:6" x14ac:dyDescent="0.4">
      <c r="A60" s="98" t="s">
        <v>1017</v>
      </c>
      <c r="B60" s="99"/>
      <c r="D60" s="146">
        <v>58955</v>
      </c>
      <c r="F60" s="108">
        <v>0</v>
      </c>
    </row>
    <row r="61" spans="1:6" x14ac:dyDescent="0.4">
      <c r="A61" s="98" t="s">
        <v>871</v>
      </c>
      <c r="B61" s="99"/>
      <c r="D61" s="146">
        <v>0</v>
      </c>
      <c r="F61" s="108">
        <v>60450</v>
      </c>
    </row>
    <row r="62" spans="1:6" x14ac:dyDescent="0.4">
      <c r="A62" s="101" t="s">
        <v>225</v>
      </c>
      <c r="B62" s="102"/>
      <c r="D62" s="147">
        <v>58955</v>
      </c>
      <c r="F62" s="109">
        <v>60450</v>
      </c>
    </row>
    <row r="63" spans="1:6" x14ac:dyDescent="0.4">
      <c r="A63" s="101" t="s">
        <v>421</v>
      </c>
      <c r="B63" s="99"/>
      <c r="D63" s="147">
        <v>3587330.8630000004</v>
      </c>
      <c r="F63" s="109">
        <v>3412568.844</v>
      </c>
    </row>
    <row r="64" spans="1:6" x14ac:dyDescent="0.4">
      <c r="A64" s="95" t="s">
        <v>496</v>
      </c>
      <c r="B64" s="102"/>
      <c r="C64" s="106" t="s">
        <v>504</v>
      </c>
      <c r="D64" s="147">
        <v>3587330.8630000004</v>
      </c>
      <c r="E64" s="106" t="s">
        <v>504</v>
      </c>
      <c r="F64" s="109">
        <v>3412568.844</v>
      </c>
    </row>
    <row r="65" spans="1:6" x14ac:dyDescent="0.4">
      <c r="A65" s="95" t="s">
        <v>484</v>
      </c>
      <c r="B65" s="102"/>
      <c r="C65" s="106" t="s">
        <v>504</v>
      </c>
      <c r="D65" s="147">
        <v>14638752.443</v>
      </c>
      <c r="E65" s="106" t="s">
        <v>504</v>
      </c>
      <c r="F65" s="109">
        <v>18481655.063999999</v>
      </c>
    </row>
    <row r="66" spans="1:6" x14ac:dyDescent="0.4">
      <c r="A66" s="101"/>
      <c r="B66" s="102"/>
      <c r="D66" s="150"/>
      <c r="F66" s="143"/>
    </row>
    <row r="67" spans="1:6" x14ac:dyDescent="0.4">
      <c r="A67" s="95" t="s">
        <v>228</v>
      </c>
      <c r="B67" s="96"/>
      <c r="F67" s="96"/>
    </row>
    <row r="68" spans="1:6" x14ac:dyDescent="0.4">
      <c r="A68" s="95" t="s">
        <v>229</v>
      </c>
    </row>
    <row r="69" spans="1:6" x14ac:dyDescent="0.4">
      <c r="A69" s="101" t="s">
        <v>874</v>
      </c>
      <c r="B69" s="99"/>
      <c r="C69" s="91"/>
      <c r="D69" s="91"/>
      <c r="E69" s="91"/>
    </row>
    <row r="70" spans="1:6" x14ac:dyDescent="0.4">
      <c r="A70" s="98" t="s">
        <v>31</v>
      </c>
      <c r="B70" s="99"/>
      <c r="C70" s="97" t="s">
        <v>504</v>
      </c>
      <c r="D70" s="146">
        <v>279949.06</v>
      </c>
      <c r="E70" s="97" t="s">
        <v>504</v>
      </c>
      <c r="F70" s="108">
        <v>542873.05000000005</v>
      </c>
    </row>
    <row r="71" spans="1:6" x14ac:dyDescent="0.4">
      <c r="A71" s="101" t="s">
        <v>875</v>
      </c>
      <c r="B71" s="102"/>
      <c r="C71" s="106"/>
      <c r="D71" s="147">
        <v>279949.06</v>
      </c>
      <c r="E71" s="106"/>
      <c r="F71" s="109">
        <v>542873.05000000005</v>
      </c>
    </row>
    <row r="72" spans="1:6" x14ac:dyDescent="0.4">
      <c r="A72" s="101" t="s">
        <v>876</v>
      </c>
      <c r="B72" s="99"/>
      <c r="C72" s="91"/>
      <c r="D72" s="91"/>
      <c r="E72" s="91"/>
    </row>
    <row r="73" spans="1:6" x14ac:dyDescent="0.4">
      <c r="A73" s="98" t="s">
        <v>33</v>
      </c>
      <c r="B73" s="99"/>
      <c r="D73" s="146">
        <v>6775.64</v>
      </c>
      <c r="F73" s="108">
        <v>3276.54</v>
      </c>
    </row>
    <row r="74" spans="1:6" x14ac:dyDescent="0.4">
      <c r="A74" s="101" t="s">
        <v>881</v>
      </c>
      <c r="B74" s="102"/>
      <c r="C74" s="106"/>
      <c r="D74" s="147">
        <v>6775.64</v>
      </c>
      <c r="E74" s="106"/>
      <c r="F74" s="109">
        <v>3276.54</v>
      </c>
    </row>
    <row r="75" spans="1:6" x14ac:dyDescent="0.4">
      <c r="A75" s="101" t="s">
        <v>889</v>
      </c>
      <c r="B75" s="99"/>
      <c r="D75" s="151"/>
      <c r="F75" s="102"/>
    </row>
    <row r="76" spans="1:6" x14ac:dyDescent="0.4">
      <c r="A76" s="98" t="s">
        <v>906</v>
      </c>
      <c r="B76" s="99"/>
      <c r="D76" s="151">
        <v>7334005.0800000001</v>
      </c>
      <c r="F76" s="102">
        <v>10951787.859999999</v>
      </c>
    </row>
    <row r="77" spans="1:6" x14ac:dyDescent="0.4">
      <c r="A77" s="101" t="s">
        <v>904</v>
      </c>
      <c r="B77" s="99"/>
      <c r="D77" s="152">
        <v>7334005.0800000001</v>
      </c>
      <c r="F77" s="103">
        <v>10951787.859999999</v>
      </c>
    </row>
    <row r="78" spans="1:6" x14ac:dyDescent="0.4">
      <c r="A78" s="95" t="s">
        <v>236</v>
      </c>
      <c r="B78" s="102"/>
      <c r="C78" s="106" t="s">
        <v>504</v>
      </c>
      <c r="D78" s="152">
        <v>7620729.7800000003</v>
      </c>
      <c r="E78" s="106" t="s">
        <v>504</v>
      </c>
      <c r="F78" s="103">
        <v>11497937.449999999</v>
      </c>
    </row>
    <row r="79" spans="1:6" x14ac:dyDescent="0.4">
      <c r="A79" s="106" t="s">
        <v>240</v>
      </c>
      <c r="B79" s="102"/>
      <c r="C79" s="106" t="s">
        <v>504</v>
      </c>
      <c r="D79" s="152">
        <v>7620729.7800000003</v>
      </c>
      <c r="E79" s="106" t="s">
        <v>504</v>
      </c>
      <c r="F79" s="103">
        <v>11497937.449999999</v>
      </c>
    </row>
    <row r="80" spans="1:6" x14ac:dyDescent="0.4">
      <c r="A80" s="95"/>
      <c r="B80" s="102"/>
      <c r="C80" s="106"/>
      <c r="D80" s="153"/>
      <c r="E80" s="106"/>
      <c r="F80" s="104"/>
    </row>
    <row r="81" spans="1:6" x14ac:dyDescent="0.4">
      <c r="A81" s="95" t="s">
        <v>895</v>
      </c>
      <c r="B81" s="102"/>
      <c r="C81" s="106"/>
      <c r="D81" s="153"/>
      <c r="E81" s="106"/>
      <c r="F81" s="104"/>
    </row>
    <row r="82" spans="1:6" x14ac:dyDescent="0.4">
      <c r="A82" s="101" t="s">
        <v>538</v>
      </c>
      <c r="B82" s="99"/>
      <c r="C82" s="97" t="s">
        <v>504</v>
      </c>
      <c r="D82" s="156">
        <v>6983717.6100000003</v>
      </c>
      <c r="E82" s="97" t="s">
        <v>504</v>
      </c>
      <c r="F82" s="157">
        <v>6784498.9500000002</v>
      </c>
    </row>
    <row r="83" spans="1:6" x14ac:dyDescent="0.4">
      <c r="A83" s="98" t="s">
        <v>896</v>
      </c>
      <c r="B83" s="99"/>
      <c r="D83" s="146"/>
      <c r="F83" s="108"/>
    </row>
    <row r="84" spans="1:6" x14ac:dyDescent="0.4">
      <c r="A84" s="98" t="s">
        <v>537</v>
      </c>
      <c r="B84" s="99"/>
      <c r="D84" s="146">
        <v>0</v>
      </c>
      <c r="F84" s="108">
        <v>0</v>
      </c>
    </row>
    <row r="85" spans="1:6" x14ac:dyDescent="0.4">
      <c r="A85" s="98" t="s">
        <v>897</v>
      </c>
      <c r="B85" s="99"/>
      <c r="D85" s="146">
        <v>0</v>
      </c>
      <c r="F85" s="108">
        <v>0</v>
      </c>
    </row>
    <row r="86" spans="1:6" x14ac:dyDescent="0.4">
      <c r="A86" s="101" t="s">
        <v>535</v>
      </c>
      <c r="B86" s="102"/>
      <c r="D86" s="147">
        <v>6983717.6100000003</v>
      </c>
      <c r="E86" s="106"/>
      <c r="F86" s="109">
        <v>6784498.9500000002</v>
      </c>
    </row>
    <row r="87" spans="1:6" x14ac:dyDescent="0.4">
      <c r="A87" s="101" t="s">
        <v>898</v>
      </c>
      <c r="B87" s="99"/>
      <c r="D87" s="151"/>
      <c r="F87" s="102"/>
    </row>
    <row r="88" spans="1:6" x14ac:dyDescent="0.4">
      <c r="A88" s="98" t="s">
        <v>503</v>
      </c>
      <c r="B88" s="99"/>
      <c r="D88" s="151">
        <v>34305.050000000003</v>
      </c>
      <c r="F88" s="102">
        <v>199218.66</v>
      </c>
    </row>
    <row r="89" spans="1:6" x14ac:dyDescent="0.4">
      <c r="A89" s="101" t="s">
        <v>531</v>
      </c>
      <c r="B89" s="99"/>
      <c r="D89" s="153">
        <v>34305.050000000003</v>
      </c>
      <c r="F89" s="104">
        <v>199218.66</v>
      </c>
    </row>
    <row r="90" spans="1:6" x14ac:dyDescent="0.4">
      <c r="A90" s="101" t="s">
        <v>530</v>
      </c>
      <c r="B90" s="99"/>
      <c r="D90" s="153">
        <v>7018022.6600000001</v>
      </c>
      <c r="F90" s="104">
        <v>6983717.6100000003</v>
      </c>
    </row>
    <row r="91" spans="1:6" ht="18.5" thickBot="1" x14ac:dyDescent="0.45">
      <c r="A91" s="106" t="s">
        <v>899</v>
      </c>
      <c r="B91" s="107"/>
      <c r="C91" s="106" t="s">
        <v>504</v>
      </c>
      <c r="D91" s="154">
        <v>14638752.440000001</v>
      </c>
      <c r="E91" s="106" t="s">
        <v>504</v>
      </c>
      <c r="F91" s="105">
        <v>18481655.059999999</v>
      </c>
    </row>
    <row r="92" spans="1:6" ht="18.5" thickTop="1" x14ac:dyDescent="0.4">
      <c r="A92" s="106"/>
      <c r="B92" s="107"/>
      <c r="D92" s="155"/>
      <c r="F92" s="100"/>
    </row>
  </sheetData>
  <sheetProtection algorithmName="SHA-512" hashValue="ieOmuwp2xsDUlMlN0/D3zlh04F4WV8q6kEDGm7Mm3913seKuvmqr1HcE4C4WiHGX6krDKnmEsgmPSZAap3gsfQ==" saltValue="oc5ujl8fkCQYqzMB79qDtw==" spinCount="100000" sheet="1" objects="1" scenarios="1" selectLockedCells="1" selectUnlockedCells="1"/>
  <mergeCells count="6">
    <mergeCell ref="A1:F1"/>
    <mergeCell ref="A2:F2"/>
    <mergeCell ref="A3:F3"/>
    <mergeCell ref="A4:F4"/>
    <mergeCell ref="C6:D6"/>
    <mergeCell ref="E6:F6"/>
  </mergeCells>
  <hyperlinks>
    <hyperlink ref="A2:F2" r:id="rId1" display="CONSOLIDATED BALANCE SHEET" xr:uid="{00000000-0004-0000-0600-000000000000}"/>
    <hyperlink ref="C2:D2" r:id="rId2" display="CONSOLIDATED BALANCE SHEET" xr:uid="{00000000-0004-0000-0600-000001000000}"/>
  </hyperlinks>
  <printOptions horizontalCentered="1"/>
  <pageMargins left="1.49606299212598" right="0.98425196850393704" top="0.86" bottom="0.61" header="0.23622047244094499" footer="0.31496062992126"/>
  <pageSetup scale="72" fitToHeight="0" pageOrder="overThenDown" orientation="portrait" horizontalDpi="4294967295" verticalDpi="4294967295" r:id="rId3"/>
  <headerFooter scaleWithDoc="0">
    <oddHeader xml:space="preserve">&amp;R&amp;"Times New Roman,Regular"
Annex B-2
&amp;12
</oddHeader>
  </headerFooter>
  <rowBreaks count="2" manualBreakCount="2">
    <brk id="43" max="5" man="1"/>
    <brk id="80"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pageSetUpPr fitToPage="1"/>
  </sheetPr>
  <dimension ref="A1:F72"/>
  <sheetViews>
    <sheetView zoomScale="75" zoomScaleNormal="75" workbookViewId="0">
      <selection sqref="A1:F1"/>
    </sheetView>
  </sheetViews>
  <sheetFormatPr defaultColWidth="9.1796875" defaultRowHeight="15.5" x14ac:dyDescent="0.35"/>
  <cols>
    <col min="1" max="1" width="65.1796875" style="222" customWidth="1"/>
    <col min="2" max="2" width="9.1796875" style="222" customWidth="1"/>
    <col min="3" max="3" width="2.81640625" style="229" customWidth="1"/>
    <col min="4" max="4" width="24" style="230" bestFit="1" customWidth="1"/>
    <col min="5" max="5" width="2.81640625" style="229" customWidth="1"/>
    <col min="6" max="6" width="22.453125" style="222" customWidth="1"/>
    <col min="7" max="16384" width="9.1796875" style="222"/>
  </cols>
  <sheetData>
    <row r="1" spans="1:6" ht="25.5" customHeight="1" x14ac:dyDescent="0.35">
      <c r="A1" s="335" t="s">
        <v>1003</v>
      </c>
      <c r="B1" s="335"/>
      <c r="C1" s="335"/>
      <c r="D1" s="335"/>
      <c r="E1" s="335"/>
      <c r="F1" s="335"/>
    </row>
    <row r="2" spans="1:6" ht="27" customHeight="1" x14ac:dyDescent="0.35">
      <c r="A2" s="336" t="s">
        <v>994</v>
      </c>
      <c r="B2" s="336"/>
      <c r="C2" s="336"/>
      <c r="D2" s="336"/>
      <c r="E2" s="336"/>
      <c r="F2" s="336"/>
    </row>
    <row r="3" spans="1:6" ht="24.75" customHeight="1" x14ac:dyDescent="0.35">
      <c r="A3" s="352" t="s">
        <v>542</v>
      </c>
      <c r="B3" s="353"/>
      <c r="C3" s="353"/>
      <c r="D3" s="353"/>
      <c r="E3" s="353"/>
      <c r="F3" s="353"/>
    </row>
    <row r="4" spans="1:6" ht="27" customHeight="1" x14ac:dyDescent="0.35">
      <c r="A4" s="339" t="s">
        <v>543</v>
      </c>
      <c r="B4" s="339"/>
      <c r="C4" s="339"/>
      <c r="D4" s="339"/>
      <c r="E4" s="339"/>
      <c r="F4" s="339"/>
    </row>
    <row r="5" spans="1:6" x14ac:dyDescent="0.35">
      <c r="A5" s="223"/>
      <c r="B5" s="223"/>
      <c r="C5" s="224"/>
      <c r="D5" s="225"/>
      <c r="E5" s="224"/>
      <c r="F5" s="223"/>
    </row>
    <row r="6" spans="1:6" x14ac:dyDescent="0.35">
      <c r="B6" s="226"/>
      <c r="C6" s="340">
        <v>2025</v>
      </c>
      <c r="D6" s="340"/>
      <c r="E6" s="340">
        <v>2024</v>
      </c>
      <c r="F6" s="340"/>
    </row>
    <row r="7" spans="1:6" x14ac:dyDescent="0.35">
      <c r="A7" s="227" t="s">
        <v>181</v>
      </c>
      <c r="B7" s="228"/>
      <c r="F7" s="228"/>
    </row>
    <row r="8" spans="1:6" x14ac:dyDescent="0.35">
      <c r="A8" s="227" t="s">
        <v>182</v>
      </c>
    </row>
    <row r="9" spans="1:6" x14ac:dyDescent="0.35">
      <c r="A9" s="231" t="s">
        <v>821</v>
      </c>
      <c r="B9" s="232"/>
    </row>
    <row r="10" spans="1:6" x14ac:dyDescent="0.35">
      <c r="A10" s="233" t="s">
        <v>822</v>
      </c>
      <c r="B10" s="232"/>
      <c r="C10" s="229" t="s">
        <v>504</v>
      </c>
      <c r="D10" s="262">
        <v>205257.48</v>
      </c>
      <c r="E10" s="229" t="s">
        <v>504</v>
      </c>
      <c r="F10" s="251">
        <v>465858.46</v>
      </c>
    </row>
    <row r="11" spans="1:6" x14ac:dyDescent="0.35">
      <c r="A11" s="233" t="s">
        <v>823</v>
      </c>
      <c r="B11" s="232"/>
      <c r="C11" s="222"/>
      <c r="D11" s="234">
        <v>105405058.75</v>
      </c>
      <c r="E11" s="222"/>
      <c r="F11" s="235">
        <v>89220758.329999998</v>
      </c>
    </row>
    <row r="12" spans="1:6" x14ac:dyDescent="0.35">
      <c r="A12" s="231" t="s">
        <v>824</v>
      </c>
      <c r="B12" s="236"/>
      <c r="D12" s="238">
        <f>D10+D11</f>
        <v>105610316.23</v>
      </c>
      <c r="E12" s="237"/>
      <c r="F12" s="239">
        <f>F10+F11</f>
        <v>89686616.789999992</v>
      </c>
    </row>
    <row r="13" spans="1:6" x14ac:dyDescent="0.35">
      <c r="A13" s="231" t="s">
        <v>186</v>
      </c>
      <c r="B13" s="232"/>
    </row>
    <row r="14" spans="1:6" x14ac:dyDescent="0.35">
      <c r="A14" s="233" t="s">
        <v>905</v>
      </c>
      <c r="B14" s="232"/>
      <c r="D14" s="234">
        <v>0</v>
      </c>
      <c r="F14" s="235">
        <v>18600</v>
      </c>
    </row>
    <row r="15" spans="1:6" x14ac:dyDescent="0.35">
      <c r="A15" s="231" t="s">
        <v>410</v>
      </c>
      <c r="B15" s="236"/>
      <c r="D15" s="238">
        <f>SUM(D14:D14)</f>
        <v>0</v>
      </c>
      <c r="E15" s="237"/>
      <c r="F15" s="239">
        <f>SUM(F14:F14)</f>
        <v>18600</v>
      </c>
    </row>
    <row r="16" spans="1:6" x14ac:dyDescent="0.35">
      <c r="A16" s="231" t="s">
        <v>907</v>
      </c>
      <c r="B16" s="236"/>
      <c r="C16" s="237"/>
    </row>
    <row r="17" spans="1:6" x14ac:dyDescent="0.35">
      <c r="A17" s="233" t="s">
        <v>116</v>
      </c>
      <c r="B17" s="236"/>
      <c r="C17" s="237"/>
      <c r="D17" s="234">
        <v>749620.03</v>
      </c>
      <c r="F17" s="235">
        <v>0</v>
      </c>
    </row>
    <row r="18" spans="1:6" x14ac:dyDescent="0.35">
      <c r="A18" s="231" t="s">
        <v>908</v>
      </c>
      <c r="B18" s="236"/>
      <c r="C18" s="237"/>
      <c r="D18" s="238">
        <f>D17</f>
        <v>749620.03</v>
      </c>
      <c r="E18" s="237"/>
      <c r="F18" s="239">
        <f>F17</f>
        <v>0</v>
      </c>
    </row>
    <row r="19" spans="1:6" x14ac:dyDescent="0.35">
      <c r="A19" s="237" t="s">
        <v>495</v>
      </c>
      <c r="B19" s="236"/>
      <c r="C19" s="237"/>
      <c r="D19" s="238">
        <f>D12+D15+D18</f>
        <v>106359936.26000001</v>
      </c>
      <c r="E19" s="237"/>
      <c r="F19" s="239">
        <f>F12+F15+F18</f>
        <v>89705216.789999992</v>
      </c>
    </row>
    <row r="20" spans="1:6" x14ac:dyDescent="0.35">
      <c r="A20" s="237"/>
      <c r="B20" s="236"/>
      <c r="C20" s="237"/>
      <c r="D20" s="240"/>
      <c r="E20" s="237"/>
      <c r="F20" s="241"/>
    </row>
    <row r="21" spans="1:6" x14ac:dyDescent="0.35">
      <c r="A21" s="227" t="s">
        <v>826</v>
      </c>
    </row>
    <row r="22" spans="1:6" x14ac:dyDescent="0.35">
      <c r="A22" s="231" t="s">
        <v>827</v>
      </c>
      <c r="B22" s="232"/>
    </row>
    <row r="23" spans="1:6" x14ac:dyDescent="0.35">
      <c r="A23" s="231" t="s">
        <v>909</v>
      </c>
      <c r="B23" s="232"/>
      <c r="D23" s="234"/>
      <c r="F23" s="235"/>
    </row>
    <row r="24" spans="1:6" x14ac:dyDescent="0.35">
      <c r="A24" s="233" t="s">
        <v>872</v>
      </c>
      <c r="B24" s="232"/>
      <c r="D24" s="234">
        <v>5251586.37</v>
      </c>
      <c r="F24" s="235">
        <v>1441633.7</v>
      </c>
    </row>
    <row r="25" spans="1:6" x14ac:dyDescent="0.35">
      <c r="A25" s="233" t="s">
        <v>1020</v>
      </c>
      <c r="B25" s="232"/>
      <c r="D25" s="234">
        <v>487177</v>
      </c>
      <c r="F25" s="235">
        <v>0</v>
      </c>
    </row>
    <row r="26" spans="1:6" x14ac:dyDescent="0.35">
      <c r="A26" s="231" t="s">
        <v>225</v>
      </c>
      <c r="B26" s="232"/>
      <c r="D26" s="238">
        <f>D24+D25</f>
        <v>5738763.3700000001</v>
      </c>
      <c r="F26" s="239">
        <f>F24+F25</f>
        <v>1441633.7</v>
      </c>
    </row>
    <row r="27" spans="1:6" x14ac:dyDescent="0.35">
      <c r="A27" s="231" t="s">
        <v>421</v>
      </c>
      <c r="B27" s="232"/>
      <c r="D27" s="238">
        <f>D26</f>
        <v>5738763.3700000001</v>
      </c>
      <c r="F27" s="239">
        <f>F26</f>
        <v>1441633.7</v>
      </c>
    </row>
    <row r="28" spans="1:6" x14ac:dyDescent="0.35">
      <c r="A28" s="227" t="s">
        <v>496</v>
      </c>
      <c r="B28" s="236"/>
      <c r="C28" s="237" t="s">
        <v>504</v>
      </c>
      <c r="D28" s="238">
        <f>D27</f>
        <v>5738763.3700000001</v>
      </c>
      <c r="E28" s="237" t="s">
        <v>504</v>
      </c>
      <c r="F28" s="239">
        <f>F27</f>
        <v>1441633.7</v>
      </c>
    </row>
    <row r="29" spans="1:6" x14ac:dyDescent="0.35">
      <c r="A29" s="227" t="s">
        <v>484</v>
      </c>
      <c r="B29" s="236"/>
      <c r="C29" s="237" t="s">
        <v>504</v>
      </c>
      <c r="D29" s="238">
        <f>D19+D28</f>
        <v>112098699.63000001</v>
      </c>
      <c r="E29" s="237" t="s">
        <v>504</v>
      </c>
      <c r="F29" s="239">
        <f>F19+F28</f>
        <v>91146850.489999995</v>
      </c>
    </row>
    <row r="30" spans="1:6" x14ac:dyDescent="0.35">
      <c r="A30" s="231"/>
      <c r="B30" s="236"/>
      <c r="D30" s="247"/>
      <c r="F30" s="248"/>
    </row>
    <row r="31" spans="1:6" x14ac:dyDescent="0.35">
      <c r="A31" s="227" t="s">
        <v>228</v>
      </c>
      <c r="B31" s="228"/>
      <c r="F31" s="228"/>
    </row>
    <row r="32" spans="1:6" x14ac:dyDescent="0.35">
      <c r="A32" s="227" t="s">
        <v>229</v>
      </c>
    </row>
    <row r="33" spans="1:6" x14ac:dyDescent="0.35">
      <c r="A33" s="231" t="s">
        <v>874</v>
      </c>
      <c r="B33" s="232"/>
      <c r="C33" s="222"/>
      <c r="D33" s="222"/>
      <c r="E33" s="222"/>
    </row>
    <row r="34" spans="1:6" x14ac:dyDescent="0.35">
      <c r="A34" s="233" t="s">
        <v>31</v>
      </c>
      <c r="B34" s="232"/>
      <c r="C34" s="229" t="s">
        <v>504</v>
      </c>
      <c r="D34" s="234">
        <v>99867.54</v>
      </c>
      <c r="E34" s="229" t="s">
        <v>504</v>
      </c>
      <c r="F34" s="235">
        <v>1643260.35</v>
      </c>
    </row>
    <row r="35" spans="1:6" x14ac:dyDescent="0.35">
      <c r="A35" s="231" t="s">
        <v>875</v>
      </c>
      <c r="B35" s="236"/>
      <c r="C35" s="237"/>
      <c r="D35" s="238">
        <f>SUM(D34:D34)</f>
        <v>99867.54</v>
      </c>
      <c r="E35" s="237"/>
      <c r="F35" s="239">
        <f>SUM(F34:F34)</f>
        <v>1643260.35</v>
      </c>
    </row>
    <row r="36" spans="1:6" x14ac:dyDescent="0.35">
      <c r="A36" s="231" t="s">
        <v>876</v>
      </c>
      <c r="B36" s="232"/>
      <c r="C36" s="222"/>
      <c r="D36" s="222"/>
      <c r="E36" s="222"/>
    </row>
    <row r="37" spans="1:6" x14ac:dyDescent="0.35">
      <c r="A37" s="233" t="s">
        <v>33</v>
      </c>
      <c r="B37" s="232"/>
      <c r="D37" s="234">
        <v>17174.689999999999</v>
      </c>
      <c r="F37" s="235">
        <v>20949.87</v>
      </c>
    </row>
    <row r="38" spans="1:6" x14ac:dyDescent="0.35">
      <c r="A38" s="233" t="s">
        <v>878</v>
      </c>
      <c r="B38" s="232"/>
      <c r="D38" s="234">
        <v>6971072.2699999996</v>
      </c>
      <c r="F38" s="235">
        <v>325578.27</v>
      </c>
    </row>
    <row r="39" spans="1:6" x14ac:dyDescent="0.35">
      <c r="A39" s="233" t="s">
        <v>37</v>
      </c>
      <c r="B39" s="232"/>
      <c r="D39" s="234">
        <v>48347520.609999999</v>
      </c>
      <c r="F39" s="235">
        <v>34697005.740000002</v>
      </c>
    </row>
    <row r="40" spans="1:6" x14ac:dyDescent="0.35">
      <c r="A40" s="233" t="s">
        <v>880</v>
      </c>
      <c r="B40" s="232"/>
      <c r="D40" s="234">
        <v>1891011.89</v>
      </c>
      <c r="F40" s="235">
        <v>2506693.89</v>
      </c>
    </row>
    <row r="41" spans="1:6" x14ac:dyDescent="0.35">
      <c r="A41" s="233" t="s">
        <v>38</v>
      </c>
      <c r="B41" s="232"/>
      <c r="D41" s="234">
        <v>2489756.59</v>
      </c>
      <c r="F41" s="235">
        <v>1183131.1200000001</v>
      </c>
    </row>
    <row r="42" spans="1:6" x14ac:dyDescent="0.35">
      <c r="A42" s="231" t="s">
        <v>881</v>
      </c>
      <c r="B42" s="236"/>
      <c r="C42" s="237"/>
      <c r="D42" s="238">
        <f>SUM(D37:D41)</f>
        <v>59716536.049999997</v>
      </c>
      <c r="E42" s="237"/>
      <c r="F42" s="239">
        <f>SUM(F37:F41)</f>
        <v>38733358.890000001</v>
      </c>
    </row>
    <row r="43" spans="1:6" x14ac:dyDescent="0.35">
      <c r="A43" s="231" t="s">
        <v>882</v>
      </c>
      <c r="B43" s="232"/>
      <c r="D43" s="252"/>
      <c r="F43" s="236"/>
    </row>
    <row r="44" spans="1:6" x14ac:dyDescent="0.35">
      <c r="A44" s="233" t="s">
        <v>884</v>
      </c>
      <c r="B44" s="232"/>
      <c r="D44" s="252">
        <v>88789.1</v>
      </c>
      <c r="F44" s="236">
        <v>40931.19</v>
      </c>
    </row>
    <row r="45" spans="1:6" x14ac:dyDescent="0.35">
      <c r="A45" s="231" t="s">
        <v>883</v>
      </c>
      <c r="B45" s="236"/>
      <c r="C45" s="237"/>
      <c r="D45" s="238">
        <f>D44</f>
        <v>88789.1</v>
      </c>
      <c r="E45" s="237"/>
      <c r="F45" s="239">
        <f>F44</f>
        <v>40931.19</v>
      </c>
    </row>
    <row r="46" spans="1:6" x14ac:dyDescent="0.35">
      <c r="A46" s="231" t="s">
        <v>885</v>
      </c>
      <c r="B46" s="232"/>
      <c r="D46" s="252"/>
      <c r="F46" s="236"/>
    </row>
    <row r="47" spans="1:6" x14ac:dyDescent="0.35">
      <c r="A47" s="233" t="s">
        <v>903</v>
      </c>
      <c r="B47" s="232"/>
      <c r="D47" s="252">
        <v>31116309.390000001</v>
      </c>
      <c r="F47" s="236">
        <v>40816749.079999998</v>
      </c>
    </row>
    <row r="48" spans="1:6" x14ac:dyDescent="0.35">
      <c r="A48" s="233" t="s">
        <v>886</v>
      </c>
      <c r="B48" s="232"/>
      <c r="D48" s="252">
        <v>0</v>
      </c>
      <c r="F48" s="236">
        <v>4197006.58</v>
      </c>
    </row>
    <row r="49" spans="1:6" x14ac:dyDescent="0.35">
      <c r="A49" s="233" t="s">
        <v>887</v>
      </c>
      <c r="B49" s="232"/>
      <c r="D49" s="252">
        <v>6388756.2800000003</v>
      </c>
      <c r="F49" s="236">
        <v>1679041</v>
      </c>
    </row>
    <row r="50" spans="1:6" x14ac:dyDescent="0.35">
      <c r="A50" s="233" t="s">
        <v>1021</v>
      </c>
      <c r="B50" s="232"/>
      <c r="D50" s="252">
        <v>2610830</v>
      </c>
      <c r="F50" s="236">
        <v>0</v>
      </c>
    </row>
    <row r="51" spans="1:6" x14ac:dyDescent="0.35">
      <c r="A51" s="231" t="s">
        <v>888</v>
      </c>
      <c r="B51" s="232"/>
      <c r="D51" s="253">
        <f>SUM(D47:D50)</f>
        <v>40115895.670000002</v>
      </c>
      <c r="F51" s="254">
        <f>SUM(F47:F50)</f>
        <v>46692796.659999996</v>
      </c>
    </row>
    <row r="52" spans="1:6" x14ac:dyDescent="0.35">
      <c r="A52" s="227" t="s">
        <v>236</v>
      </c>
      <c r="B52" s="236"/>
      <c r="C52" s="237"/>
      <c r="D52" s="253">
        <f>D35+D42+D45+D51</f>
        <v>100021088.36</v>
      </c>
      <c r="E52" s="237"/>
      <c r="F52" s="254">
        <f>F35+F42+F45+F51</f>
        <v>87110347.090000004</v>
      </c>
    </row>
    <row r="53" spans="1:6" x14ac:dyDescent="0.35">
      <c r="A53" s="237" t="s">
        <v>891</v>
      </c>
      <c r="B53" s="236"/>
      <c r="C53" s="237"/>
      <c r="D53" s="255"/>
      <c r="E53" s="237"/>
      <c r="F53" s="256"/>
    </row>
    <row r="54" spans="1:6" x14ac:dyDescent="0.35">
      <c r="A54" s="231" t="s">
        <v>892</v>
      </c>
      <c r="B54" s="232"/>
      <c r="D54" s="252"/>
      <c r="F54" s="236"/>
    </row>
    <row r="55" spans="1:6" x14ac:dyDescent="0.35">
      <c r="A55" s="233" t="s">
        <v>39</v>
      </c>
      <c r="B55" s="232"/>
      <c r="D55" s="252">
        <v>4160001.42</v>
      </c>
      <c r="F55" s="236">
        <v>3642460.81</v>
      </c>
    </row>
    <row r="56" spans="1:6" x14ac:dyDescent="0.35">
      <c r="A56" s="231" t="s">
        <v>893</v>
      </c>
      <c r="B56" s="232"/>
      <c r="D56" s="253">
        <f>D55</f>
        <v>4160001.42</v>
      </c>
      <c r="F56" s="254">
        <f>F55</f>
        <v>3642460.81</v>
      </c>
    </row>
    <row r="57" spans="1:6" x14ac:dyDescent="0.35">
      <c r="A57" s="227" t="s">
        <v>894</v>
      </c>
      <c r="B57" s="236"/>
      <c r="C57" s="237" t="s">
        <v>504</v>
      </c>
      <c r="D57" s="253">
        <f>D56</f>
        <v>4160001.42</v>
      </c>
      <c r="E57" s="237" t="s">
        <v>504</v>
      </c>
      <c r="F57" s="254">
        <f>F56</f>
        <v>3642460.81</v>
      </c>
    </row>
    <row r="58" spans="1:6" x14ac:dyDescent="0.35">
      <c r="A58" s="237" t="s">
        <v>240</v>
      </c>
      <c r="B58" s="236"/>
      <c r="C58" s="237" t="s">
        <v>504</v>
      </c>
      <c r="D58" s="253">
        <f>D52+D57</f>
        <v>104181089.78</v>
      </c>
      <c r="E58" s="237" t="s">
        <v>504</v>
      </c>
      <c r="F58" s="254">
        <f>F52+F57</f>
        <v>90752807.900000006</v>
      </c>
    </row>
    <row r="59" spans="1:6" x14ac:dyDescent="0.35">
      <c r="A59" s="227"/>
      <c r="B59" s="236"/>
      <c r="C59" s="237"/>
      <c r="D59" s="255"/>
      <c r="E59" s="237"/>
      <c r="F59" s="256"/>
    </row>
    <row r="60" spans="1:6" x14ac:dyDescent="0.35">
      <c r="A60" s="227" t="s">
        <v>895</v>
      </c>
      <c r="B60" s="236"/>
      <c r="C60" s="237"/>
      <c r="D60" s="255"/>
      <c r="E60" s="237"/>
      <c r="F60" s="256"/>
    </row>
    <row r="61" spans="1:6" x14ac:dyDescent="0.35">
      <c r="A61" s="231" t="s">
        <v>538</v>
      </c>
      <c r="B61" s="232"/>
      <c r="C61" s="229" t="s">
        <v>504</v>
      </c>
      <c r="D61" s="244">
        <v>394042.59</v>
      </c>
      <c r="E61" s="229" t="s">
        <v>504</v>
      </c>
      <c r="F61" s="245">
        <v>1067198.2</v>
      </c>
    </row>
    <row r="62" spans="1:6" x14ac:dyDescent="0.35">
      <c r="A62" s="233" t="s">
        <v>896</v>
      </c>
      <c r="B62" s="232"/>
      <c r="D62" s="234"/>
      <c r="F62" s="235"/>
    </row>
    <row r="63" spans="1:6" x14ac:dyDescent="0.35">
      <c r="A63" s="233" t="s">
        <v>537</v>
      </c>
      <c r="B63" s="232"/>
      <c r="D63" s="234">
        <v>0</v>
      </c>
      <c r="F63" s="235">
        <v>0</v>
      </c>
    </row>
    <row r="64" spans="1:6" x14ac:dyDescent="0.35">
      <c r="A64" s="233" t="s">
        <v>897</v>
      </c>
      <c r="B64" s="232"/>
      <c r="D64" s="234">
        <v>0</v>
      </c>
      <c r="F64" s="235">
        <v>-827151.41</v>
      </c>
    </row>
    <row r="65" spans="1:6" x14ac:dyDescent="0.35">
      <c r="A65" s="231" t="s">
        <v>535</v>
      </c>
      <c r="B65" s="236"/>
      <c r="C65" s="237"/>
      <c r="D65" s="238">
        <f>SUM(D60:D64)</f>
        <v>394042.59</v>
      </c>
      <c r="E65" s="237"/>
      <c r="F65" s="239">
        <f>SUM(F60:F64)</f>
        <v>240046.78999999992</v>
      </c>
    </row>
    <row r="66" spans="1:6" x14ac:dyDescent="0.35">
      <c r="A66" s="231" t="s">
        <v>898</v>
      </c>
      <c r="B66" s="232"/>
      <c r="D66" s="252"/>
      <c r="F66" s="236"/>
    </row>
    <row r="67" spans="1:6" x14ac:dyDescent="0.35">
      <c r="A67" s="246" t="s">
        <v>1022</v>
      </c>
      <c r="B67" s="232"/>
      <c r="D67" s="252">
        <v>7508814.96</v>
      </c>
      <c r="F67" s="236">
        <v>0</v>
      </c>
    </row>
    <row r="68" spans="1:6" x14ac:dyDescent="0.35">
      <c r="A68" s="233" t="s">
        <v>503</v>
      </c>
      <c r="B68" s="232"/>
      <c r="D68" s="252">
        <v>14752.3</v>
      </c>
      <c r="F68" s="236">
        <v>153995.79999999999</v>
      </c>
    </row>
    <row r="69" spans="1:6" x14ac:dyDescent="0.35">
      <c r="A69" s="231" t="s">
        <v>531</v>
      </c>
      <c r="B69" s="232"/>
      <c r="D69" s="255">
        <f>D67+D68</f>
        <v>7523567.2599999998</v>
      </c>
      <c r="F69" s="256">
        <f>F68</f>
        <v>153995.79999999999</v>
      </c>
    </row>
    <row r="70" spans="1:6" x14ac:dyDescent="0.35">
      <c r="A70" s="231" t="s">
        <v>530</v>
      </c>
      <c r="B70" s="232"/>
      <c r="D70" s="255">
        <f>D65+D69</f>
        <v>7917609.8499999996</v>
      </c>
      <c r="F70" s="256">
        <f>F65+F69</f>
        <v>394042.58999999991</v>
      </c>
    </row>
    <row r="71" spans="1:6" ht="16" thickBot="1" x14ac:dyDescent="0.4">
      <c r="A71" s="237" t="s">
        <v>899</v>
      </c>
      <c r="B71" s="257"/>
      <c r="C71" s="237" t="s">
        <v>504</v>
      </c>
      <c r="D71" s="258">
        <f>D58+D70</f>
        <v>112098699.63</v>
      </c>
      <c r="E71" s="237" t="s">
        <v>504</v>
      </c>
      <c r="F71" s="259">
        <f>F58+F70</f>
        <v>91146850.49000001</v>
      </c>
    </row>
    <row r="72" spans="1:6" ht="16" thickTop="1" x14ac:dyDescent="0.35">
      <c r="A72" s="237"/>
      <c r="B72" s="257"/>
      <c r="D72" s="260"/>
      <c r="F72" s="261"/>
    </row>
  </sheetData>
  <sheetProtection algorithmName="SHA-512" hashValue="e7Ds6SqKT1JQLolYgSDS33bNtsQYXyj6TvySnMnk7v5lwVV+98y7cJ8GbS7juxR0jhVLiXbWgLZNVHY2tONiig==" saltValue="KGWmW+paDoFF+Bp01XJ5Yg==" spinCount="100000" sheet="1" objects="1" scenarios="1" selectLockedCells="1" selectUnlockedCells="1"/>
  <mergeCells count="6">
    <mergeCell ref="A1:F1"/>
    <mergeCell ref="A2:F2"/>
    <mergeCell ref="A3:F3"/>
    <mergeCell ref="A4:F4"/>
    <mergeCell ref="C6:D6"/>
    <mergeCell ref="E6:F6"/>
  </mergeCells>
  <hyperlinks>
    <hyperlink ref="A2:F2" r:id="rId1" display="CONSOLIDATED BALANCE SHEET" xr:uid="{00000000-0004-0000-0700-000000000000}"/>
    <hyperlink ref="C2:D2" r:id="rId2" display="CONSOLIDATED BALANCE SHEET" xr:uid="{00000000-0004-0000-0700-000001000000}"/>
  </hyperlinks>
  <printOptions horizontalCentered="1"/>
  <pageMargins left="1.08" right="0.45" top="0.96" bottom="0.76" header="0.23622047244094499" footer="0.31496062992126"/>
  <pageSetup scale="78" fitToHeight="0" pageOrder="overThenDown" orientation="portrait" horizontalDpi="4294967295" verticalDpi="4294967295" r:id="rId3"/>
  <headerFooter scaleWithDoc="0">
    <oddHeader xml:space="preserve">&amp;R&amp;"Times New Roman,Regular"Annex B-3
&amp;12
</oddHeader>
  </headerFooter>
  <rowBreaks count="1" manualBreakCount="1">
    <brk id="48"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1:F149"/>
  <sheetViews>
    <sheetView zoomScale="75" zoomScaleNormal="75" workbookViewId="0">
      <selection sqref="A1:F1"/>
    </sheetView>
  </sheetViews>
  <sheetFormatPr defaultColWidth="9.1796875" defaultRowHeight="15.5" x14ac:dyDescent="0.35"/>
  <cols>
    <col min="1" max="1" width="54.54296875" style="263" customWidth="1"/>
    <col min="2" max="2" width="5.453125" style="263" customWidth="1"/>
    <col min="3" max="3" width="2.81640625" style="269" customWidth="1"/>
    <col min="4" max="4" width="22.1796875" style="263" customWidth="1"/>
    <col min="5" max="5" width="2.81640625" style="269" customWidth="1"/>
    <col min="6" max="6" width="22.453125" style="263" customWidth="1"/>
    <col min="7" max="16384" width="9.1796875" style="263"/>
  </cols>
  <sheetData>
    <row r="1" spans="1:6" ht="25.5" customHeight="1" x14ac:dyDescent="0.35">
      <c r="A1" s="335" t="s">
        <v>1003</v>
      </c>
      <c r="B1" s="335"/>
      <c r="C1" s="335"/>
      <c r="D1" s="335"/>
      <c r="E1" s="335"/>
      <c r="F1" s="335"/>
    </row>
    <row r="2" spans="1:6" ht="27" customHeight="1" x14ac:dyDescent="0.35">
      <c r="A2" s="336" t="s">
        <v>996</v>
      </c>
      <c r="B2" s="336"/>
      <c r="C2" s="336"/>
      <c r="D2" s="336"/>
      <c r="E2" s="336"/>
      <c r="F2" s="336"/>
    </row>
    <row r="3" spans="1:6" ht="24.75" customHeight="1" x14ac:dyDescent="0.35">
      <c r="A3" s="337" t="s">
        <v>544</v>
      </c>
      <c r="B3" s="338"/>
      <c r="C3" s="338"/>
      <c r="D3" s="338"/>
      <c r="E3" s="338"/>
      <c r="F3" s="338"/>
    </row>
    <row r="4" spans="1:6" ht="27" customHeight="1" x14ac:dyDescent="0.35">
      <c r="A4" s="339" t="s">
        <v>543</v>
      </c>
      <c r="B4" s="339"/>
      <c r="C4" s="339"/>
      <c r="D4" s="339"/>
      <c r="E4" s="339"/>
      <c r="F4" s="339"/>
    </row>
    <row r="5" spans="1:6" x14ac:dyDescent="0.35">
      <c r="A5" s="264"/>
      <c r="B5" s="264"/>
      <c r="C5" s="265"/>
      <c r="D5" s="264"/>
      <c r="E5" s="265"/>
      <c r="F5" s="264"/>
    </row>
    <row r="6" spans="1:6" x14ac:dyDescent="0.35">
      <c r="B6" s="266"/>
      <c r="C6" s="340">
        <v>2025</v>
      </c>
      <c r="D6" s="340"/>
      <c r="E6" s="340">
        <v>2024</v>
      </c>
      <c r="F6" s="340"/>
    </row>
    <row r="7" spans="1:6" x14ac:dyDescent="0.35">
      <c r="A7" s="267" t="s">
        <v>910</v>
      </c>
      <c r="B7" s="266"/>
      <c r="C7" s="226"/>
      <c r="D7" s="226"/>
      <c r="E7" s="226"/>
      <c r="F7" s="226"/>
    </row>
    <row r="8" spans="1:6" x14ac:dyDescent="0.35">
      <c r="A8" s="267" t="s">
        <v>498</v>
      </c>
      <c r="B8" s="268"/>
      <c r="D8" s="268"/>
      <c r="F8" s="268"/>
    </row>
    <row r="9" spans="1:6" x14ac:dyDescent="0.35">
      <c r="A9" s="270" t="s">
        <v>44</v>
      </c>
      <c r="B9" s="271"/>
      <c r="C9" s="269" t="s">
        <v>504</v>
      </c>
      <c r="D9" s="272">
        <v>965388.15</v>
      </c>
      <c r="E9" s="269" t="s">
        <v>504</v>
      </c>
      <c r="F9" s="272">
        <v>946535.14</v>
      </c>
    </row>
    <row r="10" spans="1:6" x14ac:dyDescent="0.35">
      <c r="A10" s="270" t="s">
        <v>911</v>
      </c>
      <c r="B10" s="271"/>
      <c r="D10" s="272">
        <v>1823965.7</v>
      </c>
      <c r="F10" s="272">
        <v>2309624.35</v>
      </c>
    </row>
    <row r="11" spans="1:6" x14ac:dyDescent="0.35">
      <c r="A11" s="270" t="s">
        <v>1023</v>
      </c>
      <c r="B11" s="271"/>
      <c r="D11" s="272">
        <v>-121881.68</v>
      </c>
      <c r="F11" s="272">
        <v>-39439.75</v>
      </c>
    </row>
    <row r="12" spans="1:6" x14ac:dyDescent="0.35">
      <c r="A12" s="270" t="s">
        <v>43</v>
      </c>
      <c r="B12" s="271"/>
      <c r="D12" s="272">
        <v>12025382.92</v>
      </c>
      <c r="F12" s="272">
        <v>11570635.949999999</v>
      </c>
    </row>
    <row r="13" spans="1:6" x14ac:dyDescent="0.35">
      <c r="A13" s="270" t="s">
        <v>912</v>
      </c>
      <c r="B13" s="271"/>
      <c r="D13" s="272">
        <v>167811</v>
      </c>
      <c r="F13" s="272">
        <v>106515</v>
      </c>
    </row>
    <row r="14" spans="1:6" x14ac:dyDescent="0.35">
      <c r="A14" s="270" t="s">
        <v>161</v>
      </c>
      <c r="B14" s="271"/>
      <c r="D14" s="272">
        <v>51100</v>
      </c>
      <c r="F14" s="272">
        <v>214750</v>
      </c>
    </row>
    <row r="15" spans="1:6" x14ac:dyDescent="0.35">
      <c r="A15" s="270" t="s">
        <v>1024</v>
      </c>
      <c r="B15" s="271"/>
      <c r="D15" s="272">
        <v>553440.92000000004</v>
      </c>
      <c r="F15" s="272">
        <v>614345.31999999995</v>
      </c>
    </row>
    <row r="16" spans="1:6" x14ac:dyDescent="0.35">
      <c r="A16" s="267" t="s">
        <v>913</v>
      </c>
      <c r="B16" s="273"/>
      <c r="C16" s="274"/>
      <c r="D16" s="275">
        <v>15465207.01</v>
      </c>
      <c r="E16" s="274"/>
      <c r="F16" s="275">
        <v>15722966.01</v>
      </c>
    </row>
    <row r="17" spans="1:6" x14ac:dyDescent="0.35">
      <c r="A17" s="267" t="s">
        <v>914</v>
      </c>
      <c r="B17" s="273"/>
      <c r="D17" s="276">
        <v>569103533</v>
      </c>
      <c r="E17" s="274"/>
      <c r="F17" s="276">
        <v>479237737</v>
      </c>
    </row>
    <row r="18" spans="1:6" x14ac:dyDescent="0.35">
      <c r="A18" s="267" t="s">
        <v>266</v>
      </c>
      <c r="B18" s="273"/>
      <c r="D18" s="276">
        <v>0</v>
      </c>
      <c r="F18" s="276">
        <v>11769816</v>
      </c>
    </row>
    <row r="19" spans="1:6" x14ac:dyDescent="0.35">
      <c r="A19" s="267" t="s">
        <v>499</v>
      </c>
      <c r="B19" s="273"/>
      <c r="D19" s="272"/>
      <c r="F19" s="272"/>
    </row>
    <row r="20" spans="1:6" x14ac:dyDescent="0.35">
      <c r="A20" s="270" t="s">
        <v>48</v>
      </c>
      <c r="B20" s="273"/>
      <c r="D20" s="272">
        <v>2093688.5</v>
      </c>
      <c r="F20" s="272">
        <v>2203230</v>
      </c>
    </row>
    <row r="21" spans="1:6" x14ac:dyDescent="0.35">
      <c r="A21" s="270" t="s">
        <v>49</v>
      </c>
      <c r="B21" s="273"/>
      <c r="D21" s="272">
        <v>691196</v>
      </c>
      <c r="F21" s="272">
        <v>932812</v>
      </c>
    </row>
    <row r="22" spans="1:6" x14ac:dyDescent="0.35">
      <c r="A22" s="270" t="s">
        <v>50</v>
      </c>
      <c r="B22" s="273"/>
      <c r="D22" s="272">
        <v>1581510</v>
      </c>
      <c r="F22" s="272">
        <v>1507930</v>
      </c>
    </row>
    <row r="23" spans="1:6" x14ac:dyDescent="0.35">
      <c r="A23" s="270" t="s">
        <v>1025</v>
      </c>
      <c r="B23" s="273"/>
      <c r="D23" s="272">
        <v>900471.5</v>
      </c>
      <c r="F23" s="272">
        <v>919750</v>
      </c>
    </row>
    <row r="24" spans="1:6" x14ac:dyDescent="0.35">
      <c r="A24" s="270" t="s">
        <v>983</v>
      </c>
      <c r="B24" s="273"/>
      <c r="D24" s="272">
        <v>2138116</v>
      </c>
      <c r="F24" s="272">
        <v>2103366.02</v>
      </c>
    </row>
    <row r="25" spans="1:6" x14ac:dyDescent="0.35">
      <c r="A25" s="270" t="s">
        <v>915</v>
      </c>
      <c r="B25" s="273"/>
      <c r="D25" s="272">
        <v>466509.4</v>
      </c>
      <c r="F25" s="272">
        <v>714027.02</v>
      </c>
    </row>
    <row r="26" spans="1:6" x14ac:dyDescent="0.35">
      <c r="A26" s="270" t="s">
        <v>56</v>
      </c>
      <c r="B26" s="273"/>
      <c r="D26" s="272">
        <v>7917306.5300000003</v>
      </c>
      <c r="F26" s="272">
        <v>7591808.3099999996</v>
      </c>
    </row>
    <row r="27" spans="1:6" x14ac:dyDescent="0.35">
      <c r="A27" s="270" t="s">
        <v>916</v>
      </c>
      <c r="B27" s="273"/>
      <c r="D27" s="272">
        <v>1166693.1399999999</v>
      </c>
      <c r="F27" s="272">
        <v>1619708.98</v>
      </c>
    </row>
    <row r="28" spans="1:6" x14ac:dyDescent="0.35">
      <c r="A28" s="270" t="s">
        <v>984</v>
      </c>
      <c r="B28" s="273"/>
      <c r="D28" s="272">
        <v>5331112.6900000004</v>
      </c>
      <c r="F28" s="272">
        <v>4473848.41</v>
      </c>
    </row>
    <row r="29" spans="1:6" x14ac:dyDescent="0.35">
      <c r="A29" s="270" t="s">
        <v>917</v>
      </c>
      <c r="B29" s="273"/>
      <c r="D29" s="272">
        <v>217600</v>
      </c>
      <c r="F29" s="272">
        <v>266338.40000000002</v>
      </c>
    </row>
    <row r="30" spans="1:6" x14ac:dyDescent="0.35">
      <c r="A30" s="270" t="s">
        <v>57</v>
      </c>
      <c r="B30" s="273"/>
      <c r="D30" s="272">
        <v>1072344.81</v>
      </c>
      <c r="F30" s="272">
        <v>832546.13</v>
      </c>
    </row>
    <row r="31" spans="1:6" x14ac:dyDescent="0.35">
      <c r="A31" s="267" t="s">
        <v>918</v>
      </c>
      <c r="B31" s="273"/>
      <c r="C31" s="274"/>
      <c r="D31" s="275">
        <v>23576548.57</v>
      </c>
      <c r="E31" s="274"/>
      <c r="F31" s="275">
        <v>23165365.269999996</v>
      </c>
    </row>
    <row r="32" spans="1:6" x14ac:dyDescent="0.35">
      <c r="A32" s="267" t="s">
        <v>919</v>
      </c>
      <c r="B32" s="273"/>
      <c r="D32" s="277"/>
      <c r="F32" s="277"/>
    </row>
    <row r="33" spans="1:6" x14ac:dyDescent="0.35">
      <c r="A33" s="270" t="s">
        <v>920</v>
      </c>
      <c r="B33" s="278"/>
      <c r="D33" s="277">
        <v>0</v>
      </c>
      <c r="F33" s="277">
        <v>36279.01</v>
      </c>
    </row>
    <row r="34" spans="1:6" x14ac:dyDescent="0.35">
      <c r="A34" s="270" t="s">
        <v>1032</v>
      </c>
      <c r="B34" s="278"/>
      <c r="D34" s="277">
        <v>2300000</v>
      </c>
      <c r="F34" s="277">
        <v>0</v>
      </c>
    </row>
    <row r="35" spans="1:6" x14ac:dyDescent="0.35">
      <c r="A35" s="267" t="s">
        <v>985</v>
      </c>
      <c r="B35" s="278"/>
      <c r="D35" s="275">
        <v>2300000</v>
      </c>
      <c r="E35" s="274"/>
      <c r="F35" s="275">
        <v>36279.01</v>
      </c>
    </row>
    <row r="36" spans="1:6" x14ac:dyDescent="0.35">
      <c r="A36" s="267" t="s">
        <v>59</v>
      </c>
      <c r="B36" s="279"/>
      <c r="D36" s="272"/>
      <c r="F36" s="280"/>
    </row>
    <row r="37" spans="1:6" x14ac:dyDescent="0.35">
      <c r="A37" s="270" t="s">
        <v>59</v>
      </c>
      <c r="B37" s="279"/>
      <c r="D37" s="272">
        <v>4636778.67</v>
      </c>
      <c r="F37" s="280">
        <v>3614750.83</v>
      </c>
    </row>
    <row r="38" spans="1:6" x14ac:dyDescent="0.35">
      <c r="A38" s="267" t="s">
        <v>921</v>
      </c>
      <c r="C38" s="274" t="s">
        <v>504</v>
      </c>
      <c r="D38" s="281">
        <v>615082067.25</v>
      </c>
      <c r="E38" s="274" t="s">
        <v>504</v>
      </c>
      <c r="F38" s="281">
        <v>533546914.11999995</v>
      </c>
    </row>
    <row r="39" spans="1:6" x14ac:dyDescent="0.35">
      <c r="A39" s="267" t="s">
        <v>922</v>
      </c>
      <c r="B39" s="273"/>
      <c r="D39" s="272"/>
      <c r="F39" s="272"/>
    </row>
    <row r="40" spans="1:6" x14ac:dyDescent="0.35">
      <c r="A40" s="267" t="s">
        <v>500</v>
      </c>
      <c r="B40" s="273"/>
      <c r="D40" s="272"/>
      <c r="F40" s="272"/>
    </row>
    <row r="41" spans="1:6" x14ac:dyDescent="0.35">
      <c r="A41" s="282" t="s">
        <v>923</v>
      </c>
      <c r="B41" s="273"/>
      <c r="D41" s="272"/>
      <c r="F41" s="272"/>
    </row>
    <row r="42" spans="1:6" x14ac:dyDescent="0.35">
      <c r="A42" s="270" t="s">
        <v>60</v>
      </c>
      <c r="B42" s="273"/>
      <c r="C42" s="269" t="s">
        <v>504</v>
      </c>
      <c r="D42" s="272">
        <v>83042666.060000002</v>
      </c>
      <c r="E42" s="269" t="s">
        <v>504</v>
      </c>
      <c r="F42" s="272">
        <v>73849435.400000006</v>
      </c>
    </row>
    <row r="43" spans="1:6" x14ac:dyDescent="0.35">
      <c r="A43" s="270" t="s">
        <v>987</v>
      </c>
      <c r="B43" s="273"/>
      <c r="D43" s="272">
        <v>21475538</v>
      </c>
      <c r="F43" s="272">
        <v>15462283.57</v>
      </c>
    </row>
    <row r="44" spans="1:6" x14ac:dyDescent="0.35">
      <c r="A44" s="282" t="s">
        <v>986</v>
      </c>
      <c r="B44" s="273"/>
      <c r="C44" s="274"/>
      <c r="D44" s="275">
        <v>104518204.06</v>
      </c>
      <c r="F44" s="275">
        <v>89311718.969999999</v>
      </c>
    </row>
    <row r="45" spans="1:6" x14ac:dyDescent="0.35">
      <c r="A45" s="282" t="s">
        <v>924</v>
      </c>
      <c r="B45" s="273"/>
      <c r="D45" s="272"/>
      <c r="F45" s="272"/>
    </row>
    <row r="46" spans="1:6" x14ac:dyDescent="0.35">
      <c r="A46" s="270" t="s">
        <v>61</v>
      </c>
      <c r="B46" s="273"/>
      <c r="D46" s="283">
        <v>8017821.8399999999</v>
      </c>
      <c r="F46" s="283">
        <v>7417373.75</v>
      </c>
    </row>
    <row r="47" spans="1:6" x14ac:dyDescent="0.35">
      <c r="A47" s="270" t="s">
        <v>63</v>
      </c>
      <c r="B47" s="273"/>
      <c r="D47" s="283">
        <v>2407837.5</v>
      </c>
      <c r="F47" s="283">
        <v>2447004</v>
      </c>
    </row>
    <row r="48" spans="1:6" x14ac:dyDescent="0.35">
      <c r="A48" s="270" t="s">
        <v>64</v>
      </c>
      <c r="B48" s="273"/>
      <c r="D48" s="283">
        <v>2197237.5</v>
      </c>
      <c r="F48" s="283">
        <v>2215092.94</v>
      </c>
    </row>
    <row r="49" spans="1:6" x14ac:dyDescent="0.35">
      <c r="A49" s="270" t="s">
        <v>65</v>
      </c>
      <c r="B49" s="273"/>
      <c r="D49" s="283">
        <v>2310000</v>
      </c>
      <c r="F49" s="283">
        <v>2323093.59</v>
      </c>
    </row>
    <row r="50" spans="1:6" x14ac:dyDescent="0.35">
      <c r="A50" s="270" t="s">
        <v>925</v>
      </c>
      <c r="B50" s="273"/>
      <c r="D50" s="283">
        <v>830075</v>
      </c>
      <c r="F50" s="283">
        <v>878800</v>
      </c>
    </row>
    <row r="51" spans="1:6" x14ac:dyDescent="0.35">
      <c r="A51" s="270" t="s">
        <v>988</v>
      </c>
      <c r="B51" s="273"/>
      <c r="D51" s="283">
        <v>67403.75</v>
      </c>
      <c r="F51" s="283">
        <v>46750</v>
      </c>
    </row>
    <row r="52" spans="1:6" x14ac:dyDescent="0.35">
      <c r="A52" s="270" t="s">
        <v>67</v>
      </c>
      <c r="B52" s="273"/>
      <c r="D52" s="272">
        <v>0</v>
      </c>
      <c r="F52" s="283">
        <v>1533000</v>
      </c>
    </row>
    <row r="53" spans="1:6" x14ac:dyDescent="0.35">
      <c r="A53" s="270" t="s">
        <v>163</v>
      </c>
      <c r="B53" s="273"/>
      <c r="D53" s="283">
        <v>3752798.64</v>
      </c>
      <c r="F53" s="283">
        <v>3460185.7099999995</v>
      </c>
    </row>
    <row r="54" spans="1:6" x14ac:dyDescent="0.35">
      <c r="A54" s="270" t="s">
        <v>1026</v>
      </c>
      <c r="B54" s="273"/>
      <c r="D54" s="283">
        <v>85000</v>
      </c>
      <c r="F54" s="283">
        <v>165000</v>
      </c>
    </row>
    <row r="55" spans="1:6" x14ac:dyDescent="0.35">
      <c r="A55" s="270" t="s">
        <v>926</v>
      </c>
      <c r="B55" s="271"/>
      <c r="D55" s="283">
        <v>1644343.69</v>
      </c>
      <c r="F55" s="283">
        <v>1155387.07</v>
      </c>
    </row>
    <row r="56" spans="1:6" x14ac:dyDescent="0.35">
      <c r="A56" s="270" t="s">
        <v>927</v>
      </c>
      <c r="B56" s="271"/>
      <c r="D56" s="283">
        <v>9602708.1999999993</v>
      </c>
      <c r="F56" s="283">
        <v>7766502.0999999996</v>
      </c>
    </row>
    <row r="57" spans="1:6" x14ac:dyDescent="0.35">
      <c r="A57" s="270" t="s">
        <v>928</v>
      </c>
      <c r="B57" s="271"/>
      <c r="D57" s="283">
        <v>1682000</v>
      </c>
      <c r="F57" s="283">
        <v>1548500</v>
      </c>
    </row>
    <row r="58" spans="1:6" x14ac:dyDescent="0.35">
      <c r="A58" s="270" t="s">
        <v>929</v>
      </c>
      <c r="B58" s="271"/>
      <c r="D58" s="283">
        <v>8032346.5099999998</v>
      </c>
      <c r="F58" s="283">
        <v>7236597.7999999998</v>
      </c>
    </row>
    <row r="59" spans="1:6" x14ac:dyDescent="0.35">
      <c r="A59" s="282" t="s">
        <v>930</v>
      </c>
      <c r="B59" s="273"/>
      <c r="C59" s="274"/>
      <c r="D59" s="275">
        <v>40629572.630000003</v>
      </c>
      <c r="E59" s="274"/>
      <c r="F59" s="275">
        <v>38193286.960000001</v>
      </c>
    </row>
    <row r="60" spans="1:6" x14ac:dyDescent="0.35">
      <c r="A60" s="282" t="s">
        <v>931</v>
      </c>
      <c r="B60" s="273"/>
      <c r="D60" s="272"/>
      <c r="F60" s="272"/>
    </row>
    <row r="61" spans="1:6" x14ac:dyDescent="0.35">
      <c r="A61" s="270" t="s">
        <v>932</v>
      </c>
      <c r="B61" s="273"/>
      <c r="D61" s="283">
        <v>12166660.52</v>
      </c>
      <c r="F61" s="283">
        <v>10454956.370000001</v>
      </c>
    </row>
    <row r="62" spans="1:6" x14ac:dyDescent="0.35">
      <c r="A62" s="270" t="s">
        <v>933</v>
      </c>
      <c r="B62" s="273"/>
      <c r="D62" s="283">
        <v>789700</v>
      </c>
      <c r="F62" s="283">
        <v>699900</v>
      </c>
    </row>
    <row r="63" spans="1:6" x14ac:dyDescent="0.35">
      <c r="A63" s="270" t="s">
        <v>934</v>
      </c>
      <c r="B63" s="273"/>
      <c r="D63" s="283">
        <v>2572024.84</v>
      </c>
      <c r="F63" s="283">
        <v>2203404.21</v>
      </c>
    </row>
    <row r="64" spans="1:6" x14ac:dyDescent="0.35">
      <c r="A64" s="270" t="s">
        <v>935</v>
      </c>
      <c r="B64" s="273"/>
      <c r="D64" s="283">
        <v>396000</v>
      </c>
      <c r="F64" s="283">
        <v>365718.16</v>
      </c>
    </row>
    <row r="65" spans="1:6" x14ac:dyDescent="0.35">
      <c r="A65" s="282" t="s">
        <v>930</v>
      </c>
      <c r="B65" s="273"/>
      <c r="C65" s="274"/>
      <c r="D65" s="275">
        <v>15924385.359999999</v>
      </c>
      <c r="E65" s="274"/>
      <c r="F65" s="275">
        <v>13723978.740000002</v>
      </c>
    </row>
    <row r="66" spans="1:6" x14ac:dyDescent="0.35">
      <c r="A66" s="282" t="s">
        <v>164</v>
      </c>
      <c r="B66" s="273"/>
      <c r="D66" s="272"/>
      <c r="F66" s="272"/>
    </row>
    <row r="67" spans="1:6" x14ac:dyDescent="0.35">
      <c r="A67" s="270" t="s">
        <v>76</v>
      </c>
      <c r="B67" s="273"/>
      <c r="D67" s="283">
        <v>3415035.41</v>
      </c>
      <c r="F67" s="283">
        <v>4663326.2</v>
      </c>
    </row>
    <row r="68" spans="1:6" x14ac:dyDescent="0.35">
      <c r="A68" s="270" t="s">
        <v>164</v>
      </c>
      <c r="B68" s="273"/>
      <c r="D68" s="283">
        <v>20748185</v>
      </c>
      <c r="F68" s="283">
        <v>17720264.920000002</v>
      </c>
    </row>
    <row r="69" spans="1:6" x14ac:dyDescent="0.35">
      <c r="A69" s="282" t="s">
        <v>936</v>
      </c>
      <c r="B69" s="273"/>
      <c r="C69" s="274"/>
      <c r="D69" s="275">
        <v>24163220.41</v>
      </c>
      <c r="E69" s="274"/>
      <c r="F69" s="275">
        <v>22383591.120000001</v>
      </c>
    </row>
    <row r="70" spans="1:6" x14ac:dyDescent="0.35">
      <c r="A70" s="267" t="s">
        <v>976</v>
      </c>
      <c r="B70" s="273"/>
      <c r="C70" s="274" t="s">
        <v>504</v>
      </c>
      <c r="D70" s="275">
        <v>185235382.46000001</v>
      </c>
      <c r="E70" s="274" t="s">
        <v>504</v>
      </c>
      <c r="F70" s="275">
        <v>163612575.79000002</v>
      </c>
    </row>
    <row r="71" spans="1:6" x14ac:dyDescent="0.35">
      <c r="A71" s="267" t="s">
        <v>937</v>
      </c>
      <c r="B71" s="273"/>
      <c r="D71" s="272"/>
      <c r="F71" s="272"/>
    </row>
    <row r="72" spans="1:6" x14ac:dyDescent="0.35">
      <c r="A72" s="282" t="s">
        <v>938</v>
      </c>
      <c r="B72" s="273"/>
      <c r="D72" s="272"/>
      <c r="F72" s="272"/>
    </row>
    <row r="73" spans="1:6" x14ac:dyDescent="0.35">
      <c r="A73" s="270" t="s">
        <v>77</v>
      </c>
      <c r="B73" s="273"/>
      <c r="C73" s="269" t="s">
        <v>504</v>
      </c>
      <c r="D73" s="283">
        <v>12172207.67</v>
      </c>
      <c r="E73" s="269" t="s">
        <v>504</v>
      </c>
      <c r="F73" s="283">
        <v>11388964.32</v>
      </c>
    </row>
    <row r="74" spans="1:6" x14ac:dyDescent="0.35">
      <c r="A74" s="282" t="s">
        <v>939</v>
      </c>
      <c r="B74" s="273"/>
      <c r="D74" s="272"/>
      <c r="F74" s="272"/>
    </row>
    <row r="75" spans="1:6" x14ac:dyDescent="0.35">
      <c r="A75" s="270" t="s">
        <v>79</v>
      </c>
      <c r="B75" s="273"/>
      <c r="D75" s="283">
        <v>10833511.41</v>
      </c>
      <c r="F75" s="283">
        <v>4451640.5</v>
      </c>
    </row>
    <row r="76" spans="1:6" x14ac:dyDescent="0.35">
      <c r="A76" s="270" t="s">
        <v>940</v>
      </c>
      <c r="B76" s="273"/>
      <c r="D76" s="283">
        <v>3776124</v>
      </c>
      <c r="F76" s="283">
        <v>6520500</v>
      </c>
    </row>
    <row r="77" spans="1:6" x14ac:dyDescent="0.35">
      <c r="A77" s="282" t="s">
        <v>941</v>
      </c>
      <c r="B77" s="273"/>
      <c r="C77" s="274"/>
      <c r="D77" s="275">
        <v>14609635.41</v>
      </c>
      <c r="E77" s="274"/>
      <c r="F77" s="275">
        <v>10972140.5</v>
      </c>
    </row>
    <row r="78" spans="1:6" x14ac:dyDescent="0.35">
      <c r="A78" s="282" t="s">
        <v>300</v>
      </c>
      <c r="B78" s="273"/>
      <c r="D78" s="272"/>
      <c r="F78" s="272"/>
    </row>
    <row r="79" spans="1:6" x14ac:dyDescent="0.35">
      <c r="A79" s="270" t="s">
        <v>78</v>
      </c>
      <c r="B79" s="273"/>
      <c r="D79" s="283">
        <v>3352362.8</v>
      </c>
      <c r="F79" s="283">
        <v>2475513.75</v>
      </c>
    </row>
    <row r="80" spans="1:6" x14ac:dyDescent="0.35">
      <c r="A80" s="270" t="s">
        <v>942</v>
      </c>
      <c r="B80" s="273"/>
      <c r="D80" s="283">
        <v>313099</v>
      </c>
      <c r="F80" s="283">
        <v>413306.5</v>
      </c>
    </row>
    <row r="81" spans="1:6" x14ac:dyDescent="0.35">
      <c r="A81" s="270" t="s">
        <v>1027</v>
      </c>
      <c r="B81" s="273"/>
      <c r="D81" s="283">
        <v>165347.12</v>
      </c>
      <c r="F81" s="283">
        <v>300470</v>
      </c>
    </row>
    <row r="82" spans="1:6" x14ac:dyDescent="0.35">
      <c r="A82" s="270" t="s">
        <v>977</v>
      </c>
      <c r="B82" s="273"/>
      <c r="D82" s="283">
        <v>7276734.0800000001</v>
      </c>
      <c r="F82" s="283">
        <v>3952763.8000000003</v>
      </c>
    </row>
    <row r="83" spans="1:6" x14ac:dyDescent="0.35">
      <c r="A83" s="270" t="s">
        <v>81</v>
      </c>
      <c r="B83" s="273"/>
      <c r="D83" s="283">
        <v>6145284.7800000003</v>
      </c>
      <c r="F83" s="283">
        <v>3954427</v>
      </c>
    </row>
    <row r="84" spans="1:6" x14ac:dyDescent="0.35">
      <c r="A84" s="270" t="s">
        <v>82</v>
      </c>
      <c r="B84" s="273"/>
      <c r="D84" s="283">
        <v>2921151</v>
      </c>
      <c r="F84" s="283">
        <v>3046234</v>
      </c>
    </row>
    <row r="85" spans="1:6" x14ac:dyDescent="0.35">
      <c r="A85" s="270" t="s">
        <v>943</v>
      </c>
      <c r="B85" s="273"/>
      <c r="D85" s="283">
        <v>29959555.98</v>
      </c>
      <c r="F85" s="283">
        <v>30431734.32</v>
      </c>
    </row>
    <row r="86" spans="1:6" x14ac:dyDescent="0.35">
      <c r="A86" s="270" t="s">
        <v>978</v>
      </c>
      <c r="B86" s="273"/>
      <c r="D86" s="283">
        <v>808214.4</v>
      </c>
      <c r="F86" s="283">
        <v>2991848.5</v>
      </c>
    </row>
    <row r="87" spans="1:6" x14ac:dyDescent="0.35">
      <c r="A87" s="270" t="s">
        <v>989</v>
      </c>
      <c r="B87" s="273"/>
      <c r="D87" s="283">
        <v>481843.92</v>
      </c>
      <c r="F87" s="283">
        <v>547900</v>
      </c>
    </row>
    <row r="88" spans="1:6" x14ac:dyDescent="0.35">
      <c r="A88" s="270" t="s">
        <v>990</v>
      </c>
      <c r="B88" s="273"/>
      <c r="D88" s="283">
        <v>45660</v>
      </c>
      <c r="F88" s="283">
        <v>234568.93</v>
      </c>
    </row>
    <row r="89" spans="1:6" x14ac:dyDescent="0.35">
      <c r="A89" s="270" t="s">
        <v>979</v>
      </c>
      <c r="B89" s="273"/>
      <c r="D89" s="283">
        <v>13320354.91</v>
      </c>
      <c r="F89" s="283">
        <v>27754461.84</v>
      </c>
    </row>
    <row r="90" spans="1:6" x14ac:dyDescent="0.35">
      <c r="A90" s="282" t="s">
        <v>944</v>
      </c>
      <c r="B90" s="273"/>
      <c r="C90" s="274"/>
      <c r="D90" s="275">
        <v>64789607.99000001</v>
      </c>
      <c r="E90" s="274"/>
      <c r="F90" s="275">
        <v>76103228.640000001</v>
      </c>
    </row>
    <row r="91" spans="1:6" x14ac:dyDescent="0.35">
      <c r="A91" s="282" t="s">
        <v>310</v>
      </c>
      <c r="B91" s="273"/>
      <c r="D91" s="272"/>
      <c r="F91" s="272"/>
    </row>
    <row r="92" spans="1:6" x14ac:dyDescent="0.35">
      <c r="A92" s="270" t="s">
        <v>85</v>
      </c>
      <c r="B92" s="273"/>
      <c r="D92" s="283">
        <v>5458264.9400000004</v>
      </c>
      <c r="F92" s="283">
        <v>6848605.1599999992</v>
      </c>
    </row>
    <row r="93" spans="1:6" x14ac:dyDescent="0.35">
      <c r="A93" s="282" t="s">
        <v>313</v>
      </c>
      <c r="B93" s="273"/>
      <c r="D93" s="272"/>
      <c r="F93" s="272"/>
    </row>
    <row r="94" spans="1:6" x14ac:dyDescent="0.35">
      <c r="A94" s="270" t="s">
        <v>945</v>
      </c>
      <c r="B94" s="273"/>
      <c r="D94" s="283">
        <v>1680764.5</v>
      </c>
      <c r="F94" s="283">
        <v>1793015</v>
      </c>
    </row>
    <row r="95" spans="1:6" x14ac:dyDescent="0.35">
      <c r="A95" s="270" t="s">
        <v>946</v>
      </c>
      <c r="B95" s="273"/>
      <c r="D95" s="283">
        <v>725680.9</v>
      </c>
      <c r="F95" s="283">
        <v>1055231.32</v>
      </c>
    </row>
    <row r="96" spans="1:6" x14ac:dyDescent="0.35">
      <c r="A96" s="282" t="s">
        <v>947</v>
      </c>
      <c r="B96" s="273"/>
      <c r="C96" s="274"/>
      <c r="D96" s="275">
        <v>2406445.4</v>
      </c>
      <c r="E96" s="274"/>
      <c r="F96" s="275">
        <v>2848246.3200000003</v>
      </c>
    </row>
    <row r="97" spans="1:6" x14ac:dyDescent="0.35">
      <c r="A97" s="282" t="s">
        <v>948</v>
      </c>
      <c r="B97" s="273"/>
      <c r="D97" s="272"/>
      <c r="F97" s="272"/>
    </row>
    <row r="98" spans="1:6" x14ac:dyDescent="0.35">
      <c r="A98" s="270" t="s">
        <v>949</v>
      </c>
      <c r="B98" s="273"/>
      <c r="D98" s="283">
        <v>3084800</v>
      </c>
      <c r="F98" s="283">
        <v>2142000</v>
      </c>
    </row>
    <row r="99" spans="1:6" ht="30.5" x14ac:dyDescent="0.35">
      <c r="A99" s="284" t="s">
        <v>1028</v>
      </c>
      <c r="B99" s="273"/>
      <c r="C99" s="274"/>
      <c r="E99" s="263"/>
    </row>
    <row r="100" spans="1:6" x14ac:dyDescent="0.35">
      <c r="A100" s="270" t="s">
        <v>1029</v>
      </c>
      <c r="B100" s="271"/>
      <c r="D100" s="283">
        <v>587885</v>
      </c>
      <c r="F100" s="283">
        <v>499465</v>
      </c>
    </row>
    <row r="101" spans="1:6" x14ac:dyDescent="0.35">
      <c r="A101" s="282" t="s">
        <v>319</v>
      </c>
      <c r="B101" s="273"/>
      <c r="C101" s="274"/>
      <c r="E101" s="263"/>
    </row>
    <row r="102" spans="1:6" x14ac:dyDescent="0.35">
      <c r="A102" s="270" t="s">
        <v>437</v>
      </c>
      <c r="B102" s="271"/>
      <c r="D102" s="283">
        <v>12863885</v>
      </c>
      <c r="F102" s="283">
        <v>14663027.470000001</v>
      </c>
    </row>
    <row r="103" spans="1:6" x14ac:dyDescent="0.35">
      <c r="A103" s="282" t="s">
        <v>171</v>
      </c>
      <c r="B103" s="273"/>
      <c r="D103" s="272"/>
      <c r="F103" s="272"/>
    </row>
    <row r="104" spans="1:6" x14ac:dyDescent="0.35">
      <c r="A104" s="270" t="s">
        <v>474</v>
      </c>
      <c r="B104" s="273"/>
      <c r="D104" s="283">
        <v>3682991.42</v>
      </c>
      <c r="F104" s="283">
        <v>5661512.919999999</v>
      </c>
    </row>
    <row r="105" spans="1:6" x14ac:dyDescent="0.35">
      <c r="A105" s="270" t="s">
        <v>170</v>
      </c>
      <c r="B105" s="273"/>
      <c r="D105" s="283"/>
      <c r="F105" s="283">
        <v>203585.47000000003</v>
      </c>
    </row>
    <row r="106" spans="1:6" x14ac:dyDescent="0.35">
      <c r="A106" s="270" t="s">
        <v>92</v>
      </c>
      <c r="B106" s="273"/>
      <c r="D106" s="283">
        <v>9197155.8200000003</v>
      </c>
      <c r="F106" s="283">
        <v>7484619.7999999998</v>
      </c>
    </row>
    <row r="107" spans="1:6" x14ac:dyDescent="0.35">
      <c r="A107" s="270" t="s">
        <v>950</v>
      </c>
      <c r="B107" s="273"/>
      <c r="D107" s="283">
        <v>18972592.359999999</v>
      </c>
      <c r="F107" s="283">
        <v>18132305.870000001</v>
      </c>
    </row>
    <row r="108" spans="1:6" x14ac:dyDescent="0.35">
      <c r="A108" s="282" t="s">
        <v>1030</v>
      </c>
      <c r="B108" s="273"/>
      <c r="D108" s="275">
        <v>31852739.600000001</v>
      </c>
      <c r="E108" s="274"/>
      <c r="F108" s="275">
        <v>31482024.059999999</v>
      </c>
    </row>
    <row r="109" spans="1:6" x14ac:dyDescent="0.35">
      <c r="A109" s="282" t="s">
        <v>326</v>
      </c>
      <c r="B109" s="273"/>
      <c r="D109" s="272"/>
      <c r="F109" s="272"/>
    </row>
    <row r="110" spans="1:6" x14ac:dyDescent="0.35">
      <c r="A110" s="270" t="s">
        <v>951</v>
      </c>
      <c r="B110" s="273"/>
      <c r="D110" s="283">
        <v>3612698.5</v>
      </c>
      <c r="F110" s="283">
        <v>5303709.18</v>
      </c>
    </row>
    <row r="111" spans="1:6" ht="31" x14ac:dyDescent="0.35">
      <c r="A111" s="285" t="s">
        <v>952</v>
      </c>
      <c r="B111" s="273"/>
      <c r="D111" s="283">
        <v>3600222.45</v>
      </c>
      <c r="F111" s="283">
        <v>4463178.3499999996</v>
      </c>
    </row>
    <row r="112" spans="1:6" x14ac:dyDescent="0.35">
      <c r="A112" s="285" t="s">
        <v>953</v>
      </c>
      <c r="B112" s="273"/>
      <c r="D112" s="283">
        <v>4701632.93</v>
      </c>
      <c r="F112" s="283">
        <v>4650209.1899999995</v>
      </c>
    </row>
    <row r="113" spans="1:6" x14ac:dyDescent="0.35">
      <c r="A113" s="270" t="s">
        <v>954</v>
      </c>
      <c r="B113" s="273"/>
      <c r="D113" s="283">
        <v>9587419.7899999991</v>
      </c>
      <c r="F113" s="283">
        <v>6783335.0099999998</v>
      </c>
    </row>
    <row r="114" spans="1:6" x14ac:dyDescent="0.35">
      <c r="A114" s="270" t="s">
        <v>992</v>
      </c>
      <c r="B114" s="273"/>
      <c r="D114" s="283">
        <v>136680</v>
      </c>
      <c r="F114" s="283">
        <v>88856</v>
      </c>
    </row>
    <row r="115" spans="1:6" ht="31" x14ac:dyDescent="0.35">
      <c r="A115" s="285" t="s">
        <v>1031</v>
      </c>
      <c r="B115" s="273"/>
      <c r="D115" s="283">
        <v>98980</v>
      </c>
      <c r="F115" s="283">
        <v>274693</v>
      </c>
    </row>
    <row r="116" spans="1:6" x14ac:dyDescent="0.35">
      <c r="A116" s="282" t="s">
        <v>955</v>
      </c>
      <c r="B116" s="273"/>
      <c r="C116" s="274"/>
      <c r="D116" s="275">
        <v>21737633.669999998</v>
      </c>
      <c r="E116" s="274"/>
      <c r="F116" s="275">
        <v>21563980.729999997</v>
      </c>
    </row>
    <row r="117" spans="1:6" x14ac:dyDescent="0.35">
      <c r="A117" s="282" t="s">
        <v>349</v>
      </c>
      <c r="B117" s="273"/>
      <c r="D117" s="272"/>
      <c r="F117" s="272"/>
    </row>
    <row r="118" spans="1:6" x14ac:dyDescent="0.35">
      <c r="A118" s="270" t="s">
        <v>956</v>
      </c>
      <c r="B118" s="273"/>
      <c r="D118" s="283">
        <v>94610.11</v>
      </c>
      <c r="F118" s="283">
        <v>149428.27000000002</v>
      </c>
    </row>
    <row r="119" spans="1:6" x14ac:dyDescent="0.35">
      <c r="A119" s="270" t="s">
        <v>957</v>
      </c>
      <c r="B119" s="273"/>
      <c r="D119" s="283">
        <v>238200</v>
      </c>
      <c r="F119" s="283">
        <v>146625</v>
      </c>
    </row>
    <row r="120" spans="1:6" x14ac:dyDescent="0.35">
      <c r="A120" s="270" t="s">
        <v>958</v>
      </c>
      <c r="B120" s="273"/>
      <c r="D120" s="283">
        <v>1001079.21</v>
      </c>
      <c r="F120" s="283">
        <v>1629073.2599999998</v>
      </c>
    </row>
    <row r="121" spans="1:6" x14ac:dyDescent="0.35">
      <c r="A121" s="282" t="s">
        <v>959</v>
      </c>
      <c r="B121" s="273"/>
      <c r="C121" s="274"/>
      <c r="D121" s="275">
        <v>1333889.3199999998</v>
      </c>
      <c r="E121" s="274"/>
      <c r="F121" s="275">
        <v>1925126.5299999998</v>
      </c>
    </row>
    <row r="122" spans="1:6" x14ac:dyDescent="0.35">
      <c r="A122" s="282" t="s">
        <v>102</v>
      </c>
      <c r="B122" s="273"/>
      <c r="D122" s="272"/>
      <c r="F122" s="272"/>
    </row>
    <row r="123" spans="1:6" x14ac:dyDescent="0.35">
      <c r="A123" s="270" t="s">
        <v>89</v>
      </c>
      <c r="B123" s="273"/>
      <c r="D123" s="283">
        <v>0</v>
      </c>
      <c r="F123" s="283">
        <v>2400813.04</v>
      </c>
    </row>
    <row r="124" spans="1:6" x14ac:dyDescent="0.35">
      <c r="A124" s="270" t="s">
        <v>960</v>
      </c>
      <c r="B124" s="273"/>
      <c r="D124" s="283">
        <v>932869.7</v>
      </c>
      <c r="F124" s="283">
        <v>9528037.1400000006</v>
      </c>
    </row>
    <row r="125" spans="1:6" x14ac:dyDescent="0.35">
      <c r="A125" s="270" t="s">
        <v>91</v>
      </c>
      <c r="B125" s="273"/>
      <c r="D125" s="283">
        <v>8260668.7999999998</v>
      </c>
      <c r="F125" s="283">
        <v>106560</v>
      </c>
    </row>
    <row r="126" spans="1:6" x14ac:dyDescent="0.35">
      <c r="A126" s="270" t="s">
        <v>90</v>
      </c>
      <c r="B126" s="273"/>
      <c r="D126" s="283">
        <v>914030</v>
      </c>
      <c r="F126" s="283">
        <v>31200</v>
      </c>
    </row>
    <row r="127" spans="1:6" x14ac:dyDescent="0.35">
      <c r="A127" s="270" t="s">
        <v>88</v>
      </c>
      <c r="B127" s="273"/>
      <c r="D127" s="283">
        <v>118420</v>
      </c>
      <c r="F127" s="283">
        <v>42054766.600000001</v>
      </c>
    </row>
    <row r="128" spans="1:6" x14ac:dyDescent="0.35">
      <c r="A128" s="270" t="s">
        <v>99</v>
      </c>
      <c r="B128" s="273"/>
      <c r="D128" s="283">
        <v>45639978.509999998</v>
      </c>
      <c r="F128" s="283">
        <v>3328226.1299999994</v>
      </c>
    </row>
    <row r="129" spans="1:6" x14ac:dyDescent="0.35">
      <c r="A129" s="270" t="s">
        <v>102</v>
      </c>
      <c r="B129" s="273"/>
      <c r="D129" s="283">
        <v>3439749.17</v>
      </c>
      <c r="F129" s="272">
        <v>0</v>
      </c>
    </row>
    <row r="130" spans="1:6" x14ac:dyDescent="0.35">
      <c r="A130" s="282" t="s">
        <v>980</v>
      </c>
      <c r="B130" s="273"/>
      <c r="C130" s="274" t="s">
        <v>504</v>
      </c>
      <c r="D130" s="275">
        <v>59305716.18</v>
      </c>
      <c r="E130" s="274" t="s">
        <v>504</v>
      </c>
      <c r="F130" s="275">
        <v>57449602.910000004</v>
      </c>
    </row>
    <row r="131" spans="1:6" x14ac:dyDescent="0.35">
      <c r="A131" s="267" t="s">
        <v>961</v>
      </c>
      <c r="B131" s="273"/>
      <c r="C131" s="274" t="s">
        <v>504</v>
      </c>
      <c r="D131" s="275">
        <v>230202710.18000001</v>
      </c>
      <c r="E131" s="274" t="s">
        <v>504</v>
      </c>
      <c r="F131" s="275">
        <v>237886411.63999999</v>
      </c>
    </row>
    <row r="132" spans="1:6" x14ac:dyDescent="0.35">
      <c r="A132" s="267" t="s">
        <v>501</v>
      </c>
      <c r="B132" s="273"/>
      <c r="D132" s="272"/>
      <c r="F132" s="272"/>
    </row>
    <row r="133" spans="1:6" x14ac:dyDescent="0.35">
      <c r="A133" s="270" t="s">
        <v>146</v>
      </c>
      <c r="B133" s="273"/>
      <c r="D133" s="283">
        <v>2922260.87</v>
      </c>
      <c r="F133" s="283">
        <v>3234399.89</v>
      </c>
    </row>
    <row r="134" spans="1:6" x14ac:dyDescent="0.35">
      <c r="A134" s="267" t="s">
        <v>962</v>
      </c>
      <c r="B134" s="273"/>
      <c r="D134" s="272"/>
      <c r="F134" s="272"/>
    </row>
    <row r="135" spans="1:6" x14ac:dyDescent="0.35">
      <c r="A135" s="270" t="s">
        <v>963</v>
      </c>
      <c r="B135" s="273"/>
      <c r="D135" s="283">
        <v>2174993.54</v>
      </c>
      <c r="F135" s="283">
        <v>2158222.56</v>
      </c>
    </row>
    <row r="136" spans="1:6" x14ac:dyDescent="0.35">
      <c r="A136" s="270" t="s">
        <v>964</v>
      </c>
      <c r="B136" s="273"/>
      <c r="D136" s="283">
        <v>62612082.990000002</v>
      </c>
      <c r="F136" s="283">
        <v>46346310.670000002</v>
      </c>
    </row>
    <row r="137" spans="1:6" x14ac:dyDescent="0.35">
      <c r="A137" s="270" t="s">
        <v>965</v>
      </c>
      <c r="B137" s="273"/>
      <c r="D137" s="283">
        <v>14379159.57</v>
      </c>
      <c r="F137" s="283">
        <v>12830583.817199998</v>
      </c>
    </row>
    <row r="138" spans="1:6" x14ac:dyDescent="0.35">
      <c r="A138" s="270" t="s">
        <v>966</v>
      </c>
      <c r="B138" s="273"/>
      <c r="D138" s="283">
        <v>14602448.26</v>
      </c>
      <c r="F138" s="283">
        <v>13174210.73</v>
      </c>
    </row>
    <row r="139" spans="1:6" x14ac:dyDescent="0.35">
      <c r="A139" s="270" t="s">
        <v>967</v>
      </c>
      <c r="B139" s="273"/>
      <c r="D139" s="283">
        <v>4902275.07</v>
      </c>
      <c r="F139" s="283">
        <v>4624436.71</v>
      </c>
    </row>
    <row r="140" spans="1:6" x14ac:dyDescent="0.35">
      <c r="A140" s="270" t="s">
        <v>968</v>
      </c>
      <c r="B140" s="273"/>
      <c r="D140" s="283">
        <v>66823.48</v>
      </c>
      <c r="F140" s="283">
        <v>902.5</v>
      </c>
    </row>
    <row r="141" spans="1:6" x14ac:dyDescent="0.35">
      <c r="A141" s="270" t="s">
        <v>969</v>
      </c>
      <c r="B141" s="273"/>
      <c r="D141" s="283">
        <v>892310.47</v>
      </c>
      <c r="F141" s="283">
        <v>1206237.97</v>
      </c>
    </row>
    <row r="142" spans="1:6" x14ac:dyDescent="0.35">
      <c r="A142" s="267" t="s">
        <v>970</v>
      </c>
      <c r="B142" s="273"/>
      <c r="C142" s="274" t="s">
        <v>504</v>
      </c>
      <c r="D142" s="275">
        <v>99630093.38000001</v>
      </c>
      <c r="E142" s="274" t="s">
        <v>504</v>
      </c>
      <c r="F142" s="275">
        <v>80340904.957199991</v>
      </c>
    </row>
    <row r="143" spans="1:6" x14ac:dyDescent="0.35">
      <c r="A143" s="267" t="s">
        <v>971</v>
      </c>
      <c r="C143" s="274" t="s">
        <v>504</v>
      </c>
      <c r="D143" s="281">
        <v>517990446.88999999</v>
      </c>
      <c r="E143" s="274" t="s">
        <v>504</v>
      </c>
      <c r="F143" s="281">
        <v>485074292.27719998</v>
      </c>
    </row>
    <row r="145" spans="1:6" ht="30.5" x14ac:dyDescent="0.35">
      <c r="A145" s="286" t="s">
        <v>972</v>
      </c>
      <c r="C145" s="274" t="s">
        <v>504</v>
      </c>
      <c r="D145" s="287">
        <v>97091620.360000014</v>
      </c>
      <c r="E145" s="274" t="s">
        <v>504</v>
      </c>
      <c r="F145" s="287">
        <v>48472621.842799962</v>
      </c>
    </row>
    <row r="146" spans="1:6" x14ac:dyDescent="0.35">
      <c r="A146" s="270" t="s">
        <v>896</v>
      </c>
    </row>
    <row r="147" spans="1:6" x14ac:dyDescent="0.35">
      <c r="A147" s="270" t="s">
        <v>973</v>
      </c>
      <c r="D147" s="251">
        <v>0</v>
      </c>
      <c r="F147" s="251">
        <v>0</v>
      </c>
    </row>
    <row r="148" spans="1:6" x14ac:dyDescent="0.35">
      <c r="A148" s="270" t="s">
        <v>974</v>
      </c>
      <c r="D148" s="251">
        <v>-17637722.539999999</v>
      </c>
      <c r="F148" s="251">
        <v>-30987350.100000001</v>
      </c>
    </row>
    <row r="149" spans="1:6" x14ac:dyDescent="0.35">
      <c r="A149" s="267" t="s">
        <v>975</v>
      </c>
      <c r="C149" s="274" t="s">
        <v>504</v>
      </c>
      <c r="D149" s="288">
        <v>79453897.820000023</v>
      </c>
      <c r="E149" s="274" t="s">
        <v>504</v>
      </c>
      <c r="F149" s="288">
        <v>17485271.74279996</v>
      </c>
    </row>
  </sheetData>
  <sheetProtection algorithmName="SHA-512" hashValue="OQkEfd/MjeG8kPMOXRVyGXQPZY8NXB98Ydgtj48uCzc4l2cbP7TrlRNVu37kLXHMWMKFay3MVvJwMki0AG+QXg==" saltValue="2Byjj46DqGWnisJ2zGhjPA==" spinCount="100000" sheet="1" objects="1" scenarios="1" selectLockedCells="1" selectUnlockedCells="1"/>
  <mergeCells count="6">
    <mergeCell ref="A1:F1"/>
    <mergeCell ref="A2:F2"/>
    <mergeCell ref="A3:F3"/>
    <mergeCell ref="A4:F4"/>
    <mergeCell ref="C6:D6"/>
    <mergeCell ref="E6:F6"/>
  </mergeCells>
  <hyperlinks>
    <hyperlink ref="A2:F2" r:id="rId1" display="CONSOLIDATED BALANCE SHEET" xr:uid="{00000000-0004-0000-0800-000000000000}"/>
    <hyperlink ref="C2:D2" r:id="rId2" display="CONSOLIDATED BALANCE SHEET" xr:uid="{00000000-0004-0000-0800-000001000000}"/>
  </hyperlinks>
  <printOptions horizontalCentered="1"/>
  <pageMargins left="1.49606299212598" right="0.98425196850393704" top="1.25984251968504" bottom="0.98425196850393704" header="0.23622047244094499" footer="0.31496062992126"/>
  <pageSetup scale="76" fitToHeight="0" orientation="portrait" horizontalDpi="4294967295" verticalDpi="4294967295" r:id="rId3"/>
  <headerFooter scaleWithDoc="0">
    <oddHeader xml:space="preserve">&amp;R
Annex C-1
</oddHeader>
  </headerFooter>
  <rowBreaks count="3" manualBreakCount="3">
    <brk id="45" max="5" man="1"/>
    <brk id="90" max="5" man="1"/>
    <brk id="131"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F48"/>
  <sheetViews>
    <sheetView zoomScale="75" zoomScaleNormal="75" workbookViewId="0">
      <selection sqref="A1:F1"/>
    </sheetView>
  </sheetViews>
  <sheetFormatPr defaultColWidth="9.1796875" defaultRowHeight="15.5" x14ac:dyDescent="0.35"/>
  <cols>
    <col min="1" max="1" width="54.54296875" style="263" customWidth="1"/>
    <col min="2" max="2" width="5.453125" style="263" customWidth="1"/>
    <col min="3" max="3" width="2.81640625" style="269" customWidth="1"/>
    <col min="4" max="4" width="28.90625" style="263" customWidth="1"/>
    <col min="5" max="5" width="9.453125" style="269" customWidth="1"/>
    <col min="6" max="6" width="22.453125" style="263" customWidth="1"/>
    <col min="7" max="16384" width="9.1796875" style="263"/>
  </cols>
  <sheetData>
    <row r="1" spans="1:6" ht="25.5" customHeight="1" x14ac:dyDescent="0.35">
      <c r="A1" s="335" t="s">
        <v>1003</v>
      </c>
      <c r="B1" s="335"/>
      <c r="C1" s="335"/>
      <c r="D1" s="335"/>
      <c r="E1" s="335"/>
      <c r="F1" s="335"/>
    </row>
    <row r="2" spans="1:6" ht="27" customHeight="1" x14ac:dyDescent="0.35">
      <c r="A2" s="336" t="s">
        <v>995</v>
      </c>
      <c r="B2" s="336"/>
      <c r="C2" s="336"/>
      <c r="D2" s="336"/>
      <c r="E2" s="336"/>
      <c r="F2" s="336"/>
    </row>
    <row r="3" spans="1:6" ht="24.75" customHeight="1" x14ac:dyDescent="0.35">
      <c r="A3" s="337" t="s">
        <v>544</v>
      </c>
      <c r="B3" s="338"/>
      <c r="C3" s="338"/>
      <c r="D3" s="338"/>
      <c r="E3" s="338"/>
      <c r="F3" s="338"/>
    </row>
    <row r="4" spans="1:6" ht="27" customHeight="1" x14ac:dyDescent="0.35">
      <c r="A4" s="339" t="s">
        <v>543</v>
      </c>
      <c r="B4" s="339"/>
      <c r="C4" s="339"/>
      <c r="D4" s="339"/>
      <c r="E4" s="339"/>
      <c r="F4" s="339"/>
    </row>
    <row r="5" spans="1:6" x14ac:dyDescent="0.35">
      <c r="A5" s="264"/>
      <c r="B5" s="264"/>
      <c r="C5" s="265"/>
      <c r="D5" s="264"/>
      <c r="E5" s="265"/>
      <c r="F5" s="264"/>
    </row>
    <row r="6" spans="1:6" x14ac:dyDescent="0.35">
      <c r="B6" s="266"/>
      <c r="C6" s="340">
        <v>2025</v>
      </c>
      <c r="D6" s="340"/>
      <c r="E6" s="340">
        <v>2024</v>
      </c>
      <c r="F6" s="340"/>
    </row>
    <row r="7" spans="1:6" x14ac:dyDescent="0.35">
      <c r="A7" s="267" t="s">
        <v>910</v>
      </c>
      <c r="B7" s="266"/>
      <c r="C7" s="226"/>
      <c r="D7" s="226"/>
      <c r="E7" s="226"/>
      <c r="F7" s="226"/>
    </row>
    <row r="8" spans="1:6" x14ac:dyDescent="0.35">
      <c r="A8" s="267" t="s">
        <v>498</v>
      </c>
      <c r="B8" s="268"/>
      <c r="D8" s="268"/>
      <c r="F8" s="268"/>
    </row>
    <row r="9" spans="1:6" x14ac:dyDescent="0.35">
      <c r="A9" s="270" t="s">
        <v>981</v>
      </c>
      <c r="B9" s="271"/>
      <c r="C9" s="269" t="s">
        <v>504</v>
      </c>
      <c r="D9" s="283">
        <v>2614181.96</v>
      </c>
      <c r="E9" s="269" t="s">
        <v>504</v>
      </c>
      <c r="F9" s="289">
        <v>2831994.46</v>
      </c>
    </row>
    <row r="10" spans="1:6" x14ac:dyDescent="0.35">
      <c r="A10" s="267" t="s">
        <v>913</v>
      </c>
      <c r="B10" s="273"/>
      <c r="C10" s="274"/>
      <c r="D10" s="275">
        <v>2614181.96</v>
      </c>
      <c r="E10" s="274"/>
      <c r="F10" s="275">
        <v>2831994.46</v>
      </c>
    </row>
    <row r="11" spans="1:6" x14ac:dyDescent="0.35">
      <c r="A11" s="267" t="s">
        <v>499</v>
      </c>
      <c r="B11" s="273"/>
      <c r="D11" s="272"/>
      <c r="F11" s="272"/>
    </row>
    <row r="12" spans="1:6" x14ac:dyDescent="0.35">
      <c r="A12" s="270" t="s">
        <v>57</v>
      </c>
      <c r="B12" s="273"/>
      <c r="D12" s="283">
        <v>4372.3999999999996</v>
      </c>
      <c r="F12" s="283">
        <v>4229.4800000000005</v>
      </c>
    </row>
    <row r="13" spans="1:6" x14ac:dyDescent="0.35">
      <c r="A13" s="267" t="s">
        <v>59</v>
      </c>
      <c r="B13" s="273"/>
      <c r="D13" s="272"/>
      <c r="F13" s="272"/>
    </row>
    <row r="14" spans="1:6" x14ac:dyDescent="0.35">
      <c r="A14" s="270" t="s">
        <v>59</v>
      </c>
      <c r="B14" s="273"/>
      <c r="D14" s="283">
        <v>1570.5</v>
      </c>
      <c r="F14" s="283">
        <v>2227.1800000000003</v>
      </c>
    </row>
    <row r="15" spans="1:6" x14ac:dyDescent="0.35">
      <c r="A15" s="267" t="s">
        <v>921</v>
      </c>
      <c r="C15" s="274" t="s">
        <v>504</v>
      </c>
      <c r="D15" s="281">
        <v>2620124.86</v>
      </c>
      <c r="E15" s="274" t="s">
        <v>504</v>
      </c>
      <c r="F15" s="281">
        <v>2838451.12</v>
      </c>
    </row>
    <row r="16" spans="1:6" x14ac:dyDescent="0.35">
      <c r="A16" s="267" t="s">
        <v>922</v>
      </c>
      <c r="B16" s="273"/>
      <c r="D16" s="272"/>
      <c r="F16" s="272"/>
    </row>
    <row r="17" spans="1:6" x14ac:dyDescent="0.35">
      <c r="A17" s="267" t="s">
        <v>937</v>
      </c>
      <c r="B17" s="273"/>
      <c r="D17" s="272"/>
      <c r="F17" s="272"/>
    </row>
    <row r="18" spans="1:6" x14ac:dyDescent="0.35">
      <c r="A18" s="282" t="s">
        <v>298</v>
      </c>
      <c r="B18" s="273"/>
      <c r="D18" s="272"/>
      <c r="F18" s="272"/>
    </row>
    <row r="19" spans="1:6" x14ac:dyDescent="0.35">
      <c r="A19" s="270" t="s">
        <v>77</v>
      </c>
      <c r="B19" s="273"/>
      <c r="C19" s="269" t="s">
        <v>504</v>
      </c>
      <c r="D19" s="283">
        <v>160431.96</v>
      </c>
      <c r="E19" s="269" t="s">
        <v>504</v>
      </c>
      <c r="F19" s="283">
        <v>158961.76</v>
      </c>
    </row>
    <row r="20" spans="1:6" x14ac:dyDescent="0.35">
      <c r="A20" s="282" t="s">
        <v>300</v>
      </c>
      <c r="B20" s="273"/>
      <c r="D20" s="272"/>
      <c r="F20" s="272"/>
    </row>
    <row r="21" spans="1:6" x14ac:dyDescent="0.35">
      <c r="A21" s="270" t="s">
        <v>78</v>
      </c>
      <c r="B21" s="273"/>
      <c r="D21" s="272">
        <v>0</v>
      </c>
      <c r="F21" s="283">
        <v>11766</v>
      </c>
    </row>
    <row r="22" spans="1:6" x14ac:dyDescent="0.35">
      <c r="A22" s="270" t="s">
        <v>991</v>
      </c>
      <c r="B22" s="273"/>
      <c r="D22" s="283">
        <v>14091</v>
      </c>
      <c r="F22" s="283">
        <v>18321</v>
      </c>
    </row>
    <row r="23" spans="1:6" x14ac:dyDescent="0.35">
      <c r="A23" s="270" t="s">
        <v>979</v>
      </c>
      <c r="B23" s="273"/>
      <c r="D23" s="283">
        <v>49860</v>
      </c>
      <c r="F23" s="283">
        <v>313613.18</v>
      </c>
    </row>
    <row r="24" spans="1:6" x14ac:dyDescent="0.35">
      <c r="A24" s="282" t="s">
        <v>944</v>
      </c>
      <c r="B24" s="273"/>
      <c r="D24" s="275">
        <v>63951</v>
      </c>
      <c r="E24" s="274"/>
      <c r="F24" s="275">
        <v>343700.18</v>
      </c>
    </row>
    <row r="25" spans="1:6" x14ac:dyDescent="0.35">
      <c r="A25" s="282" t="s">
        <v>326</v>
      </c>
      <c r="B25" s="273"/>
      <c r="D25" s="272"/>
      <c r="F25" s="272"/>
    </row>
    <row r="26" spans="1:6" x14ac:dyDescent="0.35">
      <c r="A26" s="285" t="s">
        <v>951</v>
      </c>
      <c r="B26" s="273"/>
      <c r="D26" s="272">
        <v>0</v>
      </c>
      <c r="F26" s="283">
        <v>128674.63</v>
      </c>
    </row>
    <row r="27" spans="1:6" ht="31" x14ac:dyDescent="0.35">
      <c r="A27" s="285" t="s">
        <v>952</v>
      </c>
      <c r="B27" s="273"/>
      <c r="D27" s="283">
        <v>1870593.84</v>
      </c>
      <c r="F27" s="283">
        <v>1511810.62</v>
      </c>
    </row>
    <row r="28" spans="1:6" x14ac:dyDescent="0.35">
      <c r="A28" s="282" t="s">
        <v>955</v>
      </c>
      <c r="B28" s="273"/>
      <c r="C28" s="274"/>
      <c r="D28" s="275">
        <v>1870593.84</v>
      </c>
      <c r="E28" s="274"/>
      <c r="F28" s="275">
        <v>1640485.25</v>
      </c>
    </row>
    <row r="29" spans="1:6" x14ac:dyDescent="0.35">
      <c r="A29" s="282" t="s">
        <v>349</v>
      </c>
      <c r="B29" s="273"/>
      <c r="D29" s="272"/>
      <c r="F29" s="272"/>
    </row>
    <row r="30" spans="1:6" x14ac:dyDescent="0.35">
      <c r="A30" s="270" t="s">
        <v>956</v>
      </c>
      <c r="B30" s="273"/>
      <c r="D30" s="283">
        <v>874.49</v>
      </c>
      <c r="F30" s="283">
        <v>845.9</v>
      </c>
    </row>
    <row r="31" spans="1:6" x14ac:dyDescent="0.35">
      <c r="A31" s="282" t="s">
        <v>102</v>
      </c>
      <c r="B31" s="273"/>
      <c r="D31" s="272"/>
      <c r="F31" s="272"/>
    </row>
    <row r="32" spans="1:6" x14ac:dyDescent="0.35">
      <c r="A32" s="270" t="s">
        <v>91</v>
      </c>
      <c r="B32" s="273"/>
      <c r="D32" s="283">
        <v>19990</v>
      </c>
      <c r="F32" s="283">
        <v>19899.900000000001</v>
      </c>
    </row>
    <row r="33" spans="1:6" x14ac:dyDescent="0.35">
      <c r="A33" s="270" t="s">
        <v>99</v>
      </c>
      <c r="B33" s="273"/>
      <c r="D33" s="283">
        <v>10000</v>
      </c>
      <c r="F33" s="283">
        <v>27295</v>
      </c>
    </row>
    <row r="34" spans="1:6" x14ac:dyDescent="0.35">
      <c r="A34" s="282" t="s">
        <v>980</v>
      </c>
      <c r="B34" s="273"/>
      <c r="D34" s="275">
        <v>29990</v>
      </c>
      <c r="E34" s="274"/>
      <c r="F34" s="275">
        <v>47194.9</v>
      </c>
    </row>
    <row r="35" spans="1:6" x14ac:dyDescent="0.35">
      <c r="A35" s="267" t="s">
        <v>961</v>
      </c>
      <c r="B35" s="273"/>
      <c r="C35" s="274" t="s">
        <v>504</v>
      </c>
      <c r="D35" s="275">
        <v>2125841.29</v>
      </c>
      <c r="E35" s="274" t="s">
        <v>504</v>
      </c>
      <c r="F35" s="275">
        <v>2191187.9899999998</v>
      </c>
    </row>
    <row r="36" spans="1:6" x14ac:dyDescent="0.35">
      <c r="A36" s="267" t="s">
        <v>962</v>
      </c>
      <c r="B36" s="273"/>
      <c r="D36" s="272"/>
      <c r="F36" s="272"/>
    </row>
    <row r="37" spans="1:6" x14ac:dyDescent="0.35">
      <c r="A37" s="270" t="s">
        <v>963</v>
      </c>
      <c r="B37" s="273"/>
      <c r="C37" s="269" t="s">
        <v>504</v>
      </c>
      <c r="D37" s="283">
        <v>213685.33</v>
      </c>
      <c r="E37" s="269" t="s">
        <v>504</v>
      </c>
      <c r="F37" s="283">
        <v>124585.19</v>
      </c>
    </row>
    <row r="38" spans="1:6" x14ac:dyDescent="0.35">
      <c r="A38" s="270" t="s">
        <v>1033</v>
      </c>
      <c r="B38" s="273"/>
      <c r="D38" s="283">
        <v>33076.54</v>
      </c>
      <c r="F38" s="283">
        <v>42388.44</v>
      </c>
    </row>
    <row r="39" spans="1:6" x14ac:dyDescent="0.35">
      <c r="A39" s="270" t="s">
        <v>965</v>
      </c>
      <c r="B39" s="273"/>
      <c r="D39" s="283">
        <v>128820.55</v>
      </c>
      <c r="E39" s="263"/>
      <c r="F39" s="283">
        <v>171439.13</v>
      </c>
    </row>
    <row r="40" spans="1:6" x14ac:dyDescent="0.35">
      <c r="A40" s="270" t="s">
        <v>966</v>
      </c>
      <c r="B40" s="273"/>
      <c r="D40" s="283">
        <v>84396.1</v>
      </c>
      <c r="F40" s="283">
        <v>109631.71</v>
      </c>
    </row>
    <row r="41" spans="1:6" x14ac:dyDescent="0.35">
      <c r="A41" s="267" t="s">
        <v>970</v>
      </c>
      <c r="B41" s="273"/>
      <c r="C41" s="274" t="s">
        <v>504</v>
      </c>
      <c r="D41" s="275">
        <v>459978.52</v>
      </c>
      <c r="E41" s="274" t="s">
        <v>504</v>
      </c>
      <c r="F41" s="275">
        <v>448044.47000000003</v>
      </c>
    </row>
    <row r="42" spans="1:6" x14ac:dyDescent="0.35">
      <c r="A42" s="267" t="s">
        <v>971</v>
      </c>
      <c r="C42" s="274" t="s">
        <v>504</v>
      </c>
      <c r="D42" s="281">
        <v>2585819.81</v>
      </c>
      <c r="E42" s="274" t="s">
        <v>504</v>
      </c>
      <c r="F42" s="281">
        <v>2639232.46</v>
      </c>
    </row>
    <row r="44" spans="1:6" ht="30.5" x14ac:dyDescent="0.35">
      <c r="A44" s="286" t="s">
        <v>972</v>
      </c>
      <c r="C44" s="274" t="s">
        <v>504</v>
      </c>
      <c r="D44" s="290">
        <v>34305.049999999814</v>
      </c>
      <c r="E44" s="274" t="s">
        <v>504</v>
      </c>
      <c r="F44" s="287">
        <v>199218.66000000015</v>
      </c>
    </row>
    <row r="45" spans="1:6" x14ac:dyDescent="0.35">
      <c r="A45" s="270" t="s">
        <v>896</v>
      </c>
    </row>
    <row r="46" spans="1:6" x14ac:dyDescent="0.35">
      <c r="A46" s="270" t="s">
        <v>973</v>
      </c>
      <c r="D46" s="251">
        <v>0</v>
      </c>
      <c r="F46" s="251">
        <v>0</v>
      </c>
    </row>
    <row r="47" spans="1:6" x14ac:dyDescent="0.35">
      <c r="A47" s="270" t="s">
        <v>974</v>
      </c>
      <c r="D47" s="251">
        <v>0</v>
      </c>
      <c r="F47" s="251">
        <v>0</v>
      </c>
    </row>
    <row r="48" spans="1:6" x14ac:dyDescent="0.35">
      <c r="A48" s="267" t="s">
        <v>975</v>
      </c>
      <c r="C48" s="274" t="s">
        <v>504</v>
      </c>
      <c r="D48" s="281">
        <v>34305.049999999814</v>
      </c>
      <c r="E48" s="274" t="s">
        <v>504</v>
      </c>
      <c r="F48" s="288">
        <v>199218.66000000015</v>
      </c>
    </row>
  </sheetData>
  <sheetProtection algorithmName="SHA-512" hashValue="H3Tx0aTV1+c9ZB4jsI0dZCo0QeOGwJ6BXPukFTbfR867QHbEDNThlu83JQ26Cea+wX6IvBvRsOpv/IMLsM25AA==" saltValue="0cHpgjtLku396957mnpF9g==" spinCount="100000" sheet="1" objects="1" scenarios="1" selectLockedCells="1" selectUnlockedCells="1"/>
  <mergeCells count="6">
    <mergeCell ref="A1:F1"/>
    <mergeCell ref="A2:F2"/>
    <mergeCell ref="A3:F3"/>
    <mergeCell ref="A4:F4"/>
    <mergeCell ref="C6:D6"/>
    <mergeCell ref="E6:F6"/>
  </mergeCells>
  <hyperlinks>
    <hyperlink ref="A2:F2" r:id="rId1" display="CONSOLIDATED BALANCE SHEET" xr:uid="{00000000-0004-0000-0900-000000000000}"/>
    <hyperlink ref="C2:D2" r:id="rId2" display="CONSOLIDATED BALANCE SHEET" xr:uid="{00000000-0004-0000-0900-000001000000}"/>
  </hyperlinks>
  <printOptions horizontalCentered="1"/>
  <pageMargins left="0.93" right="0.85" top="1.25984251968504" bottom="0.98425196850393704" header="0.23622047244094499" footer="0.31496062992126"/>
  <pageSetup scale="55" orientation="portrait" horizontalDpi="4294967295" verticalDpi="4294967295" r:id="rId3"/>
  <headerFooter scaleWithDoc="0">
    <oddHeader xml:space="preserve">&amp;R
Annex C-2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pageSetUpPr fitToPage="1"/>
  </sheetPr>
  <dimension ref="A1:F26"/>
  <sheetViews>
    <sheetView zoomScale="75" zoomScaleNormal="75" workbookViewId="0">
      <selection sqref="A1:F1"/>
    </sheetView>
  </sheetViews>
  <sheetFormatPr defaultColWidth="9.1796875" defaultRowHeight="15.5" x14ac:dyDescent="0.35"/>
  <cols>
    <col min="1" max="1" width="54.54296875" style="263" customWidth="1"/>
    <col min="2" max="2" width="5.453125" style="263" customWidth="1"/>
    <col min="3" max="3" width="2.81640625" style="269" customWidth="1"/>
    <col min="4" max="4" width="22.1796875" style="263" customWidth="1"/>
    <col min="5" max="5" width="2.81640625" style="269" customWidth="1"/>
    <col min="6" max="6" width="22.453125" style="263" customWidth="1"/>
    <col min="7" max="16384" width="9.1796875" style="263"/>
  </cols>
  <sheetData>
    <row r="1" spans="1:6" ht="25.5" customHeight="1" x14ac:dyDescent="0.35">
      <c r="A1" s="335" t="s">
        <v>1003</v>
      </c>
      <c r="B1" s="335"/>
      <c r="C1" s="335"/>
      <c r="D1" s="335"/>
      <c r="E1" s="335"/>
      <c r="F1" s="335"/>
    </row>
    <row r="2" spans="1:6" ht="27" customHeight="1" x14ac:dyDescent="0.35">
      <c r="A2" s="336" t="s">
        <v>1034</v>
      </c>
      <c r="B2" s="336"/>
      <c r="C2" s="336"/>
      <c r="D2" s="336"/>
      <c r="E2" s="336"/>
      <c r="F2" s="336"/>
    </row>
    <row r="3" spans="1:6" ht="24.75" customHeight="1" x14ac:dyDescent="0.35">
      <c r="A3" s="337" t="s">
        <v>544</v>
      </c>
      <c r="B3" s="338"/>
      <c r="C3" s="338"/>
      <c r="D3" s="338"/>
      <c r="E3" s="338"/>
      <c r="F3" s="338"/>
    </row>
    <row r="4" spans="1:6" ht="27" customHeight="1" x14ac:dyDescent="0.35">
      <c r="A4" s="339" t="s">
        <v>543</v>
      </c>
      <c r="B4" s="339"/>
      <c r="C4" s="339"/>
      <c r="D4" s="339"/>
      <c r="E4" s="339"/>
      <c r="F4" s="339"/>
    </row>
    <row r="5" spans="1:6" x14ac:dyDescent="0.35">
      <c r="A5" s="264"/>
      <c r="B5" s="264"/>
      <c r="C5" s="265"/>
      <c r="D5" s="264"/>
      <c r="E5" s="265"/>
      <c r="F5" s="264"/>
    </row>
    <row r="6" spans="1:6" x14ac:dyDescent="0.35">
      <c r="B6" s="266"/>
      <c r="C6" s="340">
        <v>2025</v>
      </c>
      <c r="D6" s="340"/>
      <c r="E6" s="340">
        <v>2024</v>
      </c>
      <c r="F6" s="340"/>
    </row>
    <row r="7" spans="1:6" x14ac:dyDescent="0.35">
      <c r="A7" s="267" t="s">
        <v>910</v>
      </c>
      <c r="B7" s="266"/>
      <c r="C7" s="226"/>
      <c r="D7" s="226"/>
      <c r="E7" s="226"/>
      <c r="F7" s="226"/>
    </row>
    <row r="8" spans="1:6" x14ac:dyDescent="0.35">
      <c r="A8" s="267" t="s">
        <v>59</v>
      </c>
      <c r="B8" s="273"/>
      <c r="D8" s="272"/>
      <c r="F8" s="272"/>
    </row>
    <row r="9" spans="1:6" x14ac:dyDescent="0.35">
      <c r="A9" s="270" t="s">
        <v>59</v>
      </c>
      <c r="B9" s="273"/>
      <c r="D9" s="283">
        <v>41952.3</v>
      </c>
      <c r="F9" s="283">
        <v>4800.8</v>
      </c>
    </row>
    <row r="10" spans="1:6" x14ac:dyDescent="0.35">
      <c r="A10" s="267" t="s">
        <v>921</v>
      </c>
      <c r="C10" s="274" t="s">
        <v>504</v>
      </c>
      <c r="D10" s="281">
        <v>41952.3</v>
      </c>
      <c r="E10" s="274" t="s">
        <v>504</v>
      </c>
      <c r="F10" s="281">
        <v>4800.8</v>
      </c>
    </row>
    <row r="11" spans="1:6" x14ac:dyDescent="0.35">
      <c r="A11" s="267" t="s">
        <v>922</v>
      </c>
      <c r="B11" s="273"/>
      <c r="D11" s="272"/>
      <c r="F11" s="272"/>
    </row>
    <row r="12" spans="1:6" x14ac:dyDescent="0.35">
      <c r="A12" s="267" t="s">
        <v>937</v>
      </c>
      <c r="B12" s="273"/>
      <c r="D12" s="272"/>
      <c r="F12" s="272"/>
    </row>
    <row r="13" spans="1:6" x14ac:dyDescent="0.35">
      <c r="A13" s="282" t="s">
        <v>939</v>
      </c>
      <c r="B13" s="273"/>
      <c r="D13" s="272"/>
      <c r="F13" s="272"/>
    </row>
    <row r="14" spans="1:6" x14ac:dyDescent="0.35">
      <c r="A14" s="270" t="s">
        <v>79</v>
      </c>
      <c r="B14" s="273"/>
      <c r="C14" s="269" t="s">
        <v>504</v>
      </c>
      <c r="D14" s="283">
        <v>0</v>
      </c>
      <c r="E14" s="269" t="s">
        <v>504</v>
      </c>
      <c r="F14" s="283">
        <v>4500</v>
      </c>
    </row>
    <row r="15" spans="1:6" x14ac:dyDescent="0.35">
      <c r="A15" s="282" t="s">
        <v>300</v>
      </c>
      <c r="B15" s="273"/>
      <c r="D15" s="272"/>
      <c r="F15" s="272"/>
    </row>
    <row r="16" spans="1:6" x14ac:dyDescent="0.35">
      <c r="A16" s="270" t="s">
        <v>942</v>
      </c>
      <c r="B16" s="273"/>
      <c r="D16" s="272">
        <v>0</v>
      </c>
      <c r="F16" s="283">
        <v>1200</v>
      </c>
    </row>
    <row r="17" spans="1:6" x14ac:dyDescent="0.35">
      <c r="A17" s="282" t="s">
        <v>102</v>
      </c>
      <c r="B17" s="273"/>
      <c r="D17" s="272"/>
      <c r="F17" s="272"/>
    </row>
    <row r="18" spans="1:6" x14ac:dyDescent="0.35">
      <c r="A18" s="270" t="s">
        <v>99</v>
      </c>
      <c r="B18" s="273"/>
      <c r="D18" s="283">
        <v>27200</v>
      </c>
      <c r="F18" s="283">
        <v>749600</v>
      </c>
    </row>
    <row r="19" spans="1:6" x14ac:dyDescent="0.35">
      <c r="A19" s="267" t="s">
        <v>961</v>
      </c>
      <c r="B19" s="273"/>
      <c r="C19" s="274" t="s">
        <v>504</v>
      </c>
      <c r="D19" s="275">
        <v>27200</v>
      </c>
      <c r="E19" s="274" t="s">
        <v>504</v>
      </c>
      <c r="F19" s="275">
        <v>755300</v>
      </c>
    </row>
    <row r="20" spans="1:6" x14ac:dyDescent="0.35">
      <c r="A20" s="267" t="s">
        <v>971</v>
      </c>
      <c r="C20" s="274" t="s">
        <v>504</v>
      </c>
      <c r="D20" s="281">
        <v>27200</v>
      </c>
      <c r="E20" s="274" t="s">
        <v>504</v>
      </c>
      <c r="F20" s="281">
        <v>755300</v>
      </c>
    </row>
    <row r="22" spans="1:6" ht="30.5" x14ac:dyDescent="0.35">
      <c r="A22" s="286" t="s">
        <v>972</v>
      </c>
      <c r="C22" s="274" t="s">
        <v>504</v>
      </c>
      <c r="D22" s="290">
        <v>14752.300000000003</v>
      </c>
      <c r="E22" s="274" t="s">
        <v>504</v>
      </c>
      <c r="F22" s="287">
        <v>-750499.2</v>
      </c>
    </row>
    <row r="23" spans="1:6" x14ac:dyDescent="0.35">
      <c r="A23" s="270" t="s">
        <v>896</v>
      </c>
    </row>
    <row r="24" spans="1:6" x14ac:dyDescent="0.35">
      <c r="A24" s="270" t="s">
        <v>973</v>
      </c>
      <c r="D24" s="251">
        <v>0</v>
      </c>
      <c r="F24" s="251">
        <v>904495</v>
      </c>
    </row>
    <row r="25" spans="1:6" x14ac:dyDescent="0.35">
      <c r="A25" s="270" t="s">
        <v>974</v>
      </c>
      <c r="D25" s="251">
        <v>0</v>
      </c>
      <c r="F25" s="251">
        <v>0</v>
      </c>
    </row>
    <row r="26" spans="1:6" x14ac:dyDescent="0.35">
      <c r="A26" s="267" t="s">
        <v>975</v>
      </c>
      <c r="C26" s="274" t="s">
        <v>504</v>
      </c>
      <c r="D26" s="281">
        <v>14752.300000000003</v>
      </c>
      <c r="E26" s="274" t="s">
        <v>504</v>
      </c>
      <c r="F26" s="288">
        <v>153995.80000000005</v>
      </c>
    </row>
  </sheetData>
  <sheetProtection algorithmName="SHA-512" hashValue="ZDjAX+LGwB/fHpNG17/vb2++HkSH60vLIuN3fU0dGX2zyX5L9xjw8IId8EsEyCBxAn/eqUY6MrvEl+lRbzsyvA==" saltValue="XnqHHpkw6DMjUZphu5DCFw==" spinCount="100000" sheet="1" objects="1" scenarios="1" selectLockedCells="1" selectUnlockedCells="1"/>
  <mergeCells count="6">
    <mergeCell ref="A1:F1"/>
    <mergeCell ref="A2:F2"/>
    <mergeCell ref="A3:F3"/>
    <mergeCell ref="A4:F4"/>
    <mergeCell ref="C6:D6"/>
    <mergeCell ref="E6:F6"/>
  </mergeCells>
  <hyperlinks>
    <hyperlink ref="A2:F2" r:id="rId1" display="CONSOLIDATED BALANCE SHEET" xr:uid="{00000000-0004-0000-0A00-000000000000}"/>
    <hyperlink ref="C2:D2" r:id="rId2" display="CONSOLIDATED BALANCE SHEET" xr:uid="{00000000-0004-0000-0A00-000001000000}"/>
  </hyperlinks>
  <printOptions horizontalCentered="1"/>
  <pageMargins left="1.34" right="0.78" top="1.25984251968504" bottom="0.98425196850393704" header="0.23622047244094499" footer="0.31496062992126"/>
  <pageSetup scale="78" fitToHeight="0" orientation="portrait" horizontalDpi="4294967295" verticalDpi="4294967295" r:id="rId3"/>
  <headerFooter scaleWithDoc="0">
    <oddHeader xml:space="preserve">&amp;RAnnex C-3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pageSetUpPr fitToPage="1"/>
  </sheetPr>
  <dimension ref="A1:F19"/>
  <sheetViews>
    <sheetView zoomScale="75" zoomScaleNormal="75" zoomScaleSheetLayoutView="85" workbookViewId="0">
      <selection sqref="A1:F1"/>
    </sheetView>
  </sheetViews>
  <sheetFormatPr defaultColWidth="9.1796875" defaultRowHeight="15.5" x14ac:dyDescent="0.35"/>
  <cols>
    <col min="1" max="1" width="59.81640625" style="291" customWidth="1"/>
    <col min="2" max="2" width="3" style="291" customWidth="1"/>
    <col min="3" max="3" width="4.1796875" style="297" customWidth="1"/>
    <col min="4" max="4" width="26.54296875" style="291" customWidth="1"/>
    <col min="5" max="5" width="3.54296875" style="297" customWidth="1"/>
    <col min="6" max="6" width="26.453125" style="291" customWidth="1"/>
    <col min="7" max="16384" width="9.1796875" style="291"/>
  </cols>
  <sheetData>
    <row r="1" spans="1:6" ht="25.5" customHeight="1" x14ac:dyDescent="0.35">
      <c r="A1" s="361" t="s">
        <v>1003</v>
      </c>
      <c r="B1" s="361"/>
      <c r="C1" s="361"/>
      <c r="D1" s="361"/>
      <c r="E1" s="361"/>
      <c r="F1" s="361"/>
    </row>
    <row r="2" spans="1:6" ht="27" customHeight="1" x14ac:dyDescent="0.35">
      <c r="A2" s="336" t="s">
        <v>997</v>
      </c>
      <c r="B2" s="336"/>
      <c r="C2" s="336"/>
      <c r="D2" s="336"/>
      <c r="E2" s="336"/>
      <c r="F2" s="336"/>
    </row>
    <row r="3" spans="1:6" ht="24.75" customHeight="1" x14ac:dyDescent="0.35">
      <c r="A3" s="337" t="s">
        <v>544</v>
      </c>
      <c r="B3" s="338"/>
      <c r="C3" s="338"/>
      <c r="D3" s="338"/>
      <c r="E3" s="338"/>
      <c r="F3" s="338"/>
    </row>
    <row r="4" spans="1:6" ht="27" customHeight="1" x14ac:dyDescent="0.35">
      <c r="A4" s="339" t="s">
        <v>543</v>
      </c>
      <c r="B4" s="339"/>
      <c r="C4" s="339"/>
      <c r="D4" s="339"/>
      <c r="E4" s="339"/>
      <c r="F4" s="339"/>
    </row>
    <row r="5" spans="1:6" x14ac:dyDescent="0.35">
      <c r="A5" s="292"/>
      <c r="B5" s="360" t="s">
        <v>540</v>
      </c>
      <c r="C5" s="360"/>
      <c r="D5" s="360"/>
      <c r="E5" s="360"/>
      <c r="F5" s="360"/>
    </row>
    <row r="6" spans="1:6" x14ac:dyDescent="0.35">
      <c r="A6" s="292"/>
      <c r="B6" s="360" t="s">
        <v>539</v>
      </c>
      <c r="C6" s="360"/>
      <c r="D6" s="360"/>
      <c r="E6" s="360"/>
      <c r="F6" s="360"/>
    </row>
    <row r="7" spans="1:6" x14ac:dyDescent="0.35">
      <c r="A7" s="292"/>
      <c r="B7" s="293"/>
      <c r="C7" s="294"/>
      <c r="D7" s="293"/>
      <c r="E7" s="294"/>
      <c r="F7" s="293"/>
    </row>
    <row r="8" spans="1:6" x14ac:dyDescent="0.35">
      <c r="B8" s="293"/>
      <c r="C8" s="340">
        <v>2025</v>
      </c>
      <c r="D8" s="340"/>
      <c r="E8" s="340">
        <v>2024</v>
      </c>
      <c r="F8" s="340"/>
    </row>
    <row r="9" spans="1:6" x14ac:dyDescent="0.35">
      <c r="A9" s="295" t="s">
        <v>538</v>
      </c>
      <c r="B9" s="296"/>
      <c r="C9" s="297" t="s">
        <v>504</v>
      </c>
      <c r="D9" s="298">
        <v>1230171816.5799999</v>
      </c>
      <c r="E9" s="294" t="s">
        <v>504</v>
      </c>
      <c r="F9" s="298">
        <v>1217395525</v>
      </c>
    </row>
    <row r="10" spans="1:6" x14ac:dyDescent="0.35">
      <c r="A10" s="291" t="s">
        <v>502</v>
      </c>
      <c r="B10" s="296"/>
      <c r="D10" s="299"/>
      <c r="F10" s="299"/>
    </row>
    <row r="11" spans="1:6" x14ac:dyDescent="0.35">
      <c r="A11" s="300" t="s">
        <v>537</v>
      </c>
      <c r="B11" s="296"/>
      <c r="C11" s="294"/>
      <c r="D11" s="299">
        <v>0</v>
      </c>
      <c r="E11" s="294"/>
      <c r="F11" s="299">
        <v>0</v>
      </c>
    </row>
    <row r="12" spans="1:6" x14ac:dyDescent="0.35">
      <c r="A12" s="300" t="s">
        <v>536</v>
      </c>
      <c r="B12" s="296"/>
      <c r="D12" s="299">
        <v>-20311403.059999999</v>
      </c>
      <c r="F12" s="299">
        <v>-13397037.15</v>
      </c>
    </row>
    <row r="13" spans="1:6" x14ac:dyDescent="0.35">
      <c r="A13" s="295" t="s">
        <v>535</v>
      </c>
      <c r="B13" s="301"/>
      <c r="C13" s="294" t="s">
        <v>504</v>
      </c>
      <c r="D13" s="302">
        <v>1209860413.52</v>
      </c>
      <c r="E13" s="294" t="s">
        <v>504</v>
      </c>
      <c r="F13" s="302">
        <v>1203998487.8499999</v>
      </c>
    </row>
    <row r="14" spans="1:6" ht="24" customHeight="1" x14ac:dyDescent="0.35">
      <c r="A14" s="308" t="s">
        <v>534</v>
      </c>
      <c r="B14" s="301"/>
      <c r="D14" s="299"/>
      <c r="F14" s="299"/>
    </row>
    <row r="15" spans="1:6" ht="31" x14ac:dyDescent="0.35">
      <c r="A15" s="303" t="s">
        <v>533</v>
      </c>
      <c r="B15" s="301"/>
      <c r="D15" s="299">
        <v>58194918.090000004</v>
      </c>
      <c r="F15" s="299">
        <v>8688056.9900000002</v>
      </c>
    </row>
    <row r="16" spans="1:6" x14ac:dyDescent="0.35">
      <c r="A16" s="291" t="s">
        <v>532</v>
      </c>
      <c r="B16" s="296"/>
      <c r="D16" s="304">
        <v>79453897.819999993</v>
      </c>
      <c r="F16" s="304">
        <v>17485271.739999998</v>
      </c>
    </row>
    <row r="17" spans="1:6" ht="24.75" customHeight="1" x14ac:dyDescent="0.35">
      <c r="A17" s="308" t="s">
        <v>531</v>
      </c>
      <c r="B17" s="301"/>
      <c r="C17" s="294"/>
      <c r="D17" s="302">
        <v>137648815.91</v>
      </c>
      <c r="E17" s="294"/>
      <c r="F17" s="302">
        <v>26173328.729999997</v>
      </c>
    </row>
    <row r="18" spans="1:6" ht="16" thickBot="1" x14ac:dyDescent="0.4">
      <c r="A18" s="295" t="s">
        <v>530</v>
      </c>
      <c r="B18" s="296"/>
      <c r="C18" s="294" t="s">
        <v>504</v>
      </c>
      <c r="D18" s="305">
        <v>1347509229.4300001</v>
      </c>
      <c r="E18" s="294" t="s">
        <v>504</v>
      </c>
      <c r="F18" s="305">
        <v>1230171816.5799999</v>
      </c>
    </row>
    <row r="19" spans="1:6" ht="16" thickTop="1" x14ac:dyDescent="0.35">
      <c r="A19" s="306"/>
      <c r="B19" s="307"/>
      <c r="D19" s="299"/>
      <c r="F19" s="299"/>
    </row>
  </sheetData>
  <sheetProtection algorithmName="SHA-512" hashValue="GYwdEvkDTnZhz7FwryR/nY7OYbh8NrimZkenzKv09yN5l62GIJuzivpRzJaC5SgPucyqKAOaVoKaLoa1bHNfvw==" saltValue="9tghdug6QvISoNtubpb0tw==" spinCount="100000" sheet="1" objects="1" scenarios="1" selectLockedCells="1" selectUnlockedCells="1"/>
  <mergeCells count="8">
    <mergeCell ref="B6:F6"/>
    <mergeCell ref="C8:D8"/>
    <mergeCell ref="E8:F8"/>
    <mergeCell ref="A1:F1"/>
    <mergeCell ref="A2:F2"/>
    <mergeCell ref="A3:F3"/>
    <mergeCell ref="A4:F4"/>
    <mergeCell ref="B5:F5"/>
  </mergeCells>
  <hyperlinks>
    <hyperlink ref="A2:F2" r:id="rId1" display="CONSOLIDATED BALANCE SHEET" xr:uid="{00000000-0004-0000-0B00-000000000000}"/>
    <hyperlink ref="C2:D2" r:id="rId2" display="CONSOLIDATED BALANCE SHEET" xr:uid="{00000000-0004-0000-0B00-000001000000}"/>
  </hyperlinks>
  <printOptions horizontalCentered="1"/>
  <pageMargins left="1.49606299212598" right="0.98425196850393704" top="1.25984251968504" bottom="0.98425196850393704" header="0.23622047244094499" footer="0.31496062992126"/>
  <pageSetup scale="70" fitToHeight="0" orientation="portrait" horizontalDpi="4294967295" verticalDpi="4294967295" r:id="rId3"/>
  <headerFooter scaleWithDoc="0">
    <oddHeader xml:space="preserve">&amp;R&amp;"Times New Roman,Regular"&amp;12Annex D-1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1:F19"/>
  <sheetViews>
    <sheetView zoomScale="75" zoomScaleNormal="75" zoomScaleSheetLayoutView="85" workbookViewId="0">
      <selection sqref="A1:F1"/>
    </sheetView>
  </sheetViews>
  <sheetFormatPr defaultColWidth="9.1796875" defaultRowHeight="15.5" x14ac:dyDescent="0.35"/>
  <cols>
    <col min="1" max="1" width="64.81640625" style="291" customWidth="1"/>
    <col min="2" max="2" width="2.81640625" style="291" customWidth="1"/>
    <col min="3" max="3" width="3.1796875" style="297" customWidth="1"/>
    <col min="4" max="4" width="23.7265625" style="291" customWidth="1"/>
    <col min="5" max="5" width="3.453125" style="297" customWidth="1"/>
    <col min="6" max="6" width="23.7265625" style="291" customWidth="1"/>
    <col min="7" max="16384" width="9.1796875" style="291"/>
  </cols>
  <sheetData>
    <row r="1" spans="1:6" ht="25.5" customHeight="1" x14ac:dyDescent="0.35">
      <c r="A1" s="361" t="s">
        <v>1003</v>
      </c>
      <c r="B1" s="361"/>
      <c r="C1" s="361"/>
      <c r="D1" s="361"/>
      <c r="E1" s="361"/>
      <c r="F1" s="361"/>
    </row>
    <row r="2" spans="1:6" ht="27" customHeight="1" x14ac:dyDescent="0.35">
      <c r="A2" s="336" t="s">
        <v>998</v>
      </c>
      <c r="B2" s="336"/>
      <c r="C2" s="336"/>
      <c r="D2" s="336"/>
      <c r="E2" s="336"/>
      <c r="F2" s="336"/>
    </row>
    <row r="3" spans="1:6" ht="24.75" customHeight="1" x14ac:dyDescent="0.35">
      <c r="A3" s="337" t="s">
        <v>544</v>
      </c>
      <c r="B3" s="338"/>
      <c r="C3" s="338"/>
      <c r="D3" s="338"/>
      <c r="E3" s="338"/>
      <c r="F3" s="338"/>
    </row>
    <row r="4" spans="1:6" ht="27" customHeight="1" x14ac:dyDescent="0.35">
      <c r="A4" s="339" t="s">
        <v>543</v>
      </c>
      <c r="B4" s="339"/>
      <c r="C4" s="339"/>
      <c r="D4" s="339"/>
      <c r="E4" s="339"/>
      <c r="F4" s="339"/>
    </row>
    <row r="5" spans="1:6" x14ac:dyDescent="0.35">
      <c r="A5" s="292"/>
      <c r="B5" s="360" t="s">
        <v>540</v>
      </c>
      <c r="C5" s="360"/>
      <c r="D5" s="360"/>
      <c r="E5" s="360"/>
      <c r="F5" s="360"/>
    </row>
    <row r="6" spans="1:6" x14ac:dyDescent="0.35">
      <c r="A6" s="292"/>
      <c r="B6" s="360" t="s">
        <v>539</v>
      </c>
      <c r="C6" s="360"/>
      <c r="D6" s="360"/>
      <c r="E6" s="360"/>
      <c r="F6" s="360"/>
    </row>
    <row r="7" spans="1:6" x14ac:dyDescent="0.35">
      <c r="A7" s="292"/>
      <c r="B7" s="293"/>
      <c r="C7" s="294"/>
      <c r="D7" s="293"/>
      <c r="E7" s="294"/>
      <c r="F7" s="293"/>
    </row>
    <row r="8" spans="1:6" x14ac:dyDescent="0.35">
      <c r="B8" s="293"/>
      <c r="C8" s="340">
        <v>2025</v>
      </c>
      <c r="D8" s="340"/>
      <c r="E8" s="340">
        <v>2024</v>
      </c>
      <c r="F8" s="340"/>
    </row>
    <row r="9" spans="1:6" x14ac:dyDescent="0.35">
      <c r="A9" s="295" t="s">
        <v>538</v>
      </c>
      <c r="B9" s="296"/>
      <c r="C9" s="297" t="s">
        <v>504</v>
      </c>
      <c r="D9" s="298">
        <v>6983717.6100000003</v>
      </c>
      <c r="E9" s="294" t="s">
        <v>504</v>
      </c>
      <c r="F9" s="298">
        <v>6784498.9500000002</v>
      </c>
    </row>
    <row r="10" spans="1:6" x14ac:dyDescent="0.35">
      <c r="A10" s="291" t="s">
        <v>502</v>
      </c>
      <c r="B10" s="296"/>
      <c r="D10" s="299"/>
      <c r="F10" s="299"/>
    </row>
    <row r="11" spans="1:6" x14ac:dyDescent="0.35">
      <c r="A11" s="300" t="s">
        <v>537</v>
      </c>
      <c r="B11" s="296"/>
      <c r="D11" s="298">
        <v>0</v>
      </c>
      <c r="E11" s="294"/>
      <c r="F11" s="298">
        <v>0</v>
      </c>
    </row>
    <row r="12" spans="1:6" x14ac:dyDescent="0.35">
      <c r="A12" s="300" t="s">
        <v>536</v>
      </c>
      <c r="B12" s="296"/>
      <c r="D12" s="299">
        <v>0</v>
      </c>
      <c r="E12" s="294"/>
      <c r="F12" s="299">
        <v>0</v>
      </c>
    </row>
    <row r="13" spans="1:6" x14ac:dyDescent="0.35">
      <c r="A13" s="295" t="s">
        <v>535</v>
      </c>
      <c r="B13" s="301"/>
      <c r="C13" s="294" t="s">
        <v>504</v>
      </c>
      <c r="D13" s="302">
        <v>6983717.6100000003</v>
      </c>
      <c r="E13" s="294" t="s">
        <v>504</v>
      </c>
      <c r="F13" s="302">
        <v>6784498.9500000002</v>
      </c>
    </row>
    <row r="14" spans="1:6" x14ac:dyDescent="0.35">
      <c r="A14" s="295" t="s">
        <v>534</v>
      </c>
      <c r="B14" s="301"/>
      <c r="D14" s="299"/>
      <c r="F14" s="299"/>
    </row>
    <row r="15" spans="1:6" x14ac:dyDescent="0.35">
      <c r="A15" s="291" t="s">
        <v>533</v>
      </c>
      <c r="B15" s="301"/>
      <c r="D15" s="299"/>
      <c r="F15" s="299"/>
    </row>
    <row r="16" spans="1:6" x14ac:dyDescent="0.35">
      <c r="A16" s="291" t="s">
        <v>532</v>
      </c>
      <c r="B16" s="296"/>
      <c r="D16" s="304">
        <v>34305.050000000003</v>
      </c>
      <c r="F16" s="304">
        <v>199218.66</v>
      </c>
    </row>
    <row r="17" spans="1:6" x14ac:dyDescent="0.35">
      <c r="A17" s="295" t="s">
        <v>531</v>
      </c>
      <c r="B17" s="301"/>
      <c r="C17" s="294"/>
      <c r="D17" s="302">
        <v>34305.050000000003</v>
      </c>
      <c r="E17" s="294"/>
      <c r="F17" s="302">
        <v>199218.66</v>
      </c>
    </row>
    <row r="18" spans="1:6" ht="16" thickBot="1" x14ac:dyDescent="0.4">
      <c r="A18" s="295" t="s">
        <v>530</v>
      </c>
      <c r="B18" s="296"/>
      <c r="C18" s="294" t="s">
        <v>504</v>
      </c>
      <c r="D18" s="305">
        <v>7018022.6600000001</v>
      </c>
      <c r="E18" s="294" t="s">
        <v>504</v>
      </c>
      <c r="F18" s="305">
        <v>6983717.6100000003</v>
      </c>
    </row>
    <row r="19" spans="1:6" ht="16" thickTop="1" x14ac:dyDescent="0.35">
      <c r="A19" s="306"/>
      <c r="B19" s="307"/>
      <c r="D19" s="299"/>
      <c r="F19" s="299"/>
    </row>
  </sheetData>
  <sheetProtection algorithmName="SHA-512" hashValue="p0l/EvOqCDLbEEEwRrW7ZYvc+l2Jmu+SCLkizGz1+UY1BFzN9CJ46R3SjMsE6iqpa9wd7jtH0DinFlu73CTvnQ==" saltValue="BTgA+0ZRYA8zi8cFpyTc/g==" spinCount="100000" sheet="1" objects="1" scenarios="1" selectLockedCells="1" selectUnlockedCells="1"/>
  <mergeCells count="8">
    <mergeCell ref="C8:D8"/>
    <mergeCell ref="E8:F8"/>
    <mergeCell ref="B6:F6"/>
    <mergeCell ref="A1:F1"/>
    <mergeCell ref="A2:F2"/>
    <mergeCell ref="A3:F3"/>
    <mergeCell ref="A4:F4"/>
    <mergeCell ref="B5:F5"/>
  </mergeCells>
  <hyperlinks>
    <hyperlink ref="A2:F2" r:id="rId1" display="CONSOLIDATED BALANCE SHEET" xr:uid="{00000000-0004-0000-0C00-000000000000}"/>
    <hyperlink ref="C2:D2" r:id="rId2" display="CONSOLIDATED BALANCE SHEET" xr:uid="{00000000-0004-0000-0C00-000001000000}"/>
  </hyperlinks>
  <printOptions horizontalCentered="1"/>
  <pageMargins left="1.49606299212598" right="0.98425196850393704" top="1.25984251968504" bottom="0.98425196850393704" header="0.23622047244094499" footer="0.31496062992126"/>
  <pageSetup scale="75" orientation="portrait" horizontalDpi="4294967295" verticalDpi="4294967295" r:id="rId3"/>
  <headerFooter scaleWithDoc="0">
    <oddHeader xml:space="preserve">&amp;R&amp;"Times New Roman,Regular"&amp;12Annex D-2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F19"/>
  <sheetViews>
    <sheetView zoomScale="75" zoomScaleNormal="75" zoomScaleSheetLayoutView="85" workbookViewId="0">
      <selection sqref="A1:F1"/>
    </sheetView>
  </sheetViews>
  <sheetFormatPr defaultColWidth="9.1796875" defaultRowHeight="15.5" x14ac:dyDescent="0.35"/>
  <cols>
    <col min="1" max="1" width="66.54296875" style="291" customWidth="1"/>
    <col min="2" max="2" width="2.1796875" style="291" customWidth="1"/>
    <col min="3" max="3" width="3.453125" style="297" customWidth="1"/>
    <col min="4" max="4" width="17.1796875" style="291" customWidth="1"/>
    <col min="5" max="5" width="3.81640625" style="297" customWidth="1"/>
    <col min="6" max="6" width="18.453125" style="291" customWidth="1"/>
    <col min="7" max="16384" width="9.1796875" style="291"/>
  </cols>
  <sheetData>
    <row r="1" spans="1:6" ht="25.5" customHeight="1" x14ac:dyDescent="0.35">
      <c r="A1" s="361" t="s">
        <v>1003</v>
      </c>
      <c r="B1" s="361"/>
      <c r="C1" s="361"/>
      <c r="D1" s="361"/>
      <c r="E1" s="361"/>
      <c r="F1" s="361"/>
    </row>
    <row r="2" spans="1:6" ht="27" customHeight="1" x14ac:dyDescent="0.35">
      <c r="A2" s="336" t="s">
        <v>999</v>
      </c>
      <c r="B2" s="336"/>
      <c r="C2" s="336"/>
      <c r="D2" s="336"/>
      <c r="E2" s="336"/>
      <c r="F2" s="336"/>
    </row>
    <row r="3" spans="1:6" ht="24.75" customHeight="1" x14ac:dyDescent="0.35">
      <c r="A3" s="337" t="s">
        <v>544</v>
      </c>
      <c r="B3" s="338"/>
      <c r="C3" s="338"/>
      <c r="D3" s="338"/>
      <c r="E3" s="338"/>
      <c r="F3" s="338"/>
    </row>
    <row r="4" spans="1:6" ht="27" customHeight="1" x14ac:dyDescent="0.35">
      <c r="A4" s="339" t="s">
        <v>543</v>
      </c>
      <c r="B4" s="339"/>
      <c r="C4" s="339"/>
      <c r="D4" s="339"/>
      <c r="E4" s="339"/>
      <c r="F4" s="339"/>
    </row>
    <row r="5" spans="1:6" x14ac:dyDescent="0.35">
      <c r="A5" s="292"/>
      <c r="B5" s="360" t="s">
        <v>540</v>
      </c>
      <c r="C5" s="360"/>
      <c r="D5" s="360"/>
      <c r="E5" s="360"/>
      <c r="F5" s="360"/>
    </row>
    <row r="6" spans="1:6" x14ac:dyDescent="0.35">
      <c r="A6" s="292"/>
      <c r="B6" s="360" t="s">
        <v>539</v>
      </c>
      <c r="C6" s="360"/>
      <c r="D6" s="360"/>
      <c r="E6" s="360"/>
      <c r="F6" s="360"/>
    </row>
    <row r="7" spans="1:6" x14ac:dyDescent="0.35">
      <c r="A7" s="292"/>
      <c r="B7" s="293"/>
      <c r="C7" s="294"/>
      <c r="D7" s="293"/>
      <c r="E7" s="294"/>
      <c r="F7" s="293"/>
    </row>
    <row r="8" spans="1:6" x14ac:dyDescent="0.35">
      <c r="B8" s="293"/>
      <c r="C8" s="340">
        <v>2025</v>
      </c>
      <c r="D8" s="340"/>
      <c r="E8" s="340">
        <v>2024</v>
      </c>
      <c r="F8" s="340"/>
    </row>
    <row r="9" spans="1:6" x14ac:dyDescent="0.35">
      <c r="A9" s="295" t="s">
        <v>538</v>
      </c>
      <c r="B9" s="296"/>
      <c r="C9" s="297" t="s">
        <v>504</v>
      </c>
      <c r="D9" s="298">
        <v>394042.59</v>
      </c>
      <c r="E9" s="297" t="s">
        <v>504</v>
      </c>
      <c r="F9" s="298">
        <v>1067198.2</v>
      </c>
    </row>
    <row r="10" spans="1:6" x14ac:dyDescent="0.35">
      <c r="A10" s="291" t="s">
        <v>502</v>
      </c>
      <c r="B10" s="296"/>
      <c r="D10" s="298"/>
      <c r="F10" s="298"/>
    </row>
    <row r="11" spans="1:6" x14ac:dyDescent="0.35">
      <c r="A11" s="300" t="s">
        <v>537</v>
      </c>
      <c r="B11" s="296"/>
      <c r="D11" s="299">
        <v>0</v>
      </c>
      <c r="F11" s="298">
        <v>0</v>
      </c>
    </row>
    <row r="12" spans="1:6" x14ac:dyDescent="0.35">
      <c r="A12" s="300" t="s">
        <v>536</v>
      </c>
      <c r="B12" s="296"/>
      <c r="D12" s="299">
        <v>0</v>
      </c>
      <c r="F12" s="299">
        <v>-827151.41</v>
      </c>
    </row>
    <row r="13" spans="1:6" x14ac:dyDescent="0.35">
      <c r="A13" s="295" t="s">
        <v>535</v>
      </c>
      <c r="B13" s="301"/>
      <c r="C13" s="310" t="s">
        <v>504</v>
      </c>
      <c r="D13" s="302">
        <v>394042.59</v>
      </c>
      <c r="E13" s="294" t="s">
        <v>504</v>
      </c>
      <c r="F13" s="302">
        <v>240046.78999999992</v>
      </c>
    </row>
    <row r="14" spans="1:6" x14ac:dyDescent="0.35">
      <c r="A14" s="295" t="s">
        <v>534</v>
      </c>
      <c r="B14" s="301"/>
      <c r="D14" s="299"/>
      <c r="F14" s="299"/>
    </row>
    <row r="15" spans="1:6" x14ac:dyDescent="0.35">
      <c r="A15" s="303" t="s">
        <v>533</v>
      </c>
      <c r="B15" s="301"/>
      <c r="D15" s="299">
        <v>7508814.96</v>
      </c>
      <c r="E15" s="294"/>
      <c r="F15" s="298">
        <v>0</v>
      </c>
    </row>
    <row r="16" spans="1:6" x14ac:dyDescent="0.35">
      <c r="A16" s="291" t="s">
        <v>532</v>
      </c>
      <c r="B16" s="296"/>
      <c r="C16" s="311"/>
      <c r="D16" s="299">
        <v>14752.3</v>
      </c>
      <c r="E16" s="294"/>
      <c r="F16" s="299">
        <v>153995.79999999999</v>
      </c>
    </row>
    <row r="17" spans="1:6" x14ac:dyDescent="0.35">
      <c r="A17" s="295" t="s">
        <v>531</v>
      </c>
      <c r="B17" s="301"/>
      <c r="C17" s="310"/>
      <c r="D17" s="312">
        <v>7523567.2599999998</v>
      </c>
      <c r="E17" s="294"/>
      <c r="F17" s="312">
        <v>153995.79999999999</v>
      </c>
    </row>
    <row r="18" spans="1:6" ht="16" thickBot="1" x14ac:dyDescent="0.4">
      <c r="A18" s="295" t="s">
        <v>530</v>
      </c>
      <c r="B18" s="296"/>
      <c r="C18" s="313" t="s">
        <v>504</v>
      </c>
      <c r="D18" s="305">
        <v>7917609.8499999996</v>
      </c>
      <c r="E18" s="294" t="s">
        <v>504</v>
      </c>
      <c r="F18" s="305">
        <v>394042.58999999991</v>
      </c>
    </row>
    <row r="19" spans="1:6" ht="16" thickTop="1" x14ac:dyDescent="0.35"/>
  </sheetData>
  <sheetProtection algorithmName="SHA-512" hashValue="KjjI80P2WgQ9PypD31CaR/aK9reJfCutP7rS988HrINeQdCHRE1kGU98lnTZf1Buf9QDcZax2LHcGlCJzUa+VA==" saltValue="pK+TmEa61gdWcB0w0AdCsA==" spinCount="100000" sheet="1" objects="1" scenarios="1" selectLockedCells="1" selectUnlockedCells="1"/>
  <mergeCells count="8">
    <mergeCell ref="C8:D8"/>
    <mergeCell ref="E8:F8"/>
    <mergeCell ref="B6:F6"/>
    <mergeCell ref="A1:F1"/>
    <mergeCell ref="A2:F2"/>
    <mergeCell ref="A3:F3"/>
    <mergeCell ref="A4:F4"/>
    <mergeCell ref="B5:F5"/>
  </mergeCells>
  <hyperlinks>
    <hyperlink ref="A2:F2" r:id="rId1" display="CONSOLIDATED BALANCE SHEET" xr:uid="{00000000-0004-0000-0D00-000000000000}"/>
    <hyperlink ref="C2:D2" r:id="rId2" display="CONSOLIDATED BALANCE SHEET" xr:uid="{00000000-0004-0000-0D00-000001000000}"/>
  </hyperlinks>
  <printOptions horizontalCentered="1"/>
  <pageMargins left="0.73" right="0.73" top="1.25984251968504" bottom="0.98425196850393704" header="0.2" footer="0.31496062992126"/>
  <pageSetup scale="68" orientation="portrait" horizontalDpi="4294967295" verticalDpi="4294967295" r:id="rId3"/>
  <headerFooter scaleWithDoc="0">
    <oddHeader xml:space="preserve">&amp;R&amp;"Times New Roman,Regular"&amp;12Annex D-3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pageSetUpPr fitToPage="1"/>
  </sheetPr>
  <dimension ref="A1:F46"/>
  <sheetViews>
    <sheetView tabSelected="1" zoomScale="75" zoomScaleNormal="75" zoomScaleSheetLayoutView="85" workbookViewId="0">
      <selection sqref="A1:F1"/>
    </sheetView>
  </sheetViews>
  <sheetFormatPr defaultColWidth="9.1796875" defaultRowHeight="15.5" x14ac:dyDescent="0.35"/>
  <cols>
    <col min="1" max="1" width="56.453125" style="291" customWidth="1"/>
    <col min="2" max="2" width="3.81640625" style="291" customWidth="1"/>
    <col min="3" max="3" width="2.81640625" style="317" customWidth="1"/>
    <col min="4" max="4" width="23.81640625" style="291" customWidth="1"/>
    <col min="5" max="5" width="3.453125" style="297" customWidth="1"/>
    <col min="6" max="6" width="23.81640625" style="291" customWidth="1"/>
    <col min="7" max="16384" width="9.1796875" style="291"/>
  </cols>
  <sheetData>
    <row r="1" spans="1:6" ht="25.5" customHeight="1" x14ac:dyDescent="0.35">
      <c r="A1" s="361" t="s">
        <v>1003</v>
      </c>
      <c r="B1" s="361"/>
      <c r="C1" s="361"/>
      <c r="D1" s="361"/>
      <c r="E1" s="361"/>
      <c r="F1" s="361"/>
    </row>
    <row r="2" spans="1:6" ht="27" customHeight="1" x14ac:dyDescent="0.35">
      <c r="A2" s="336" t="s">
        <v>1000</v>
      </c>
      <c r="B2" s="336"/>
      <c r="C2" s="336"/>
      <c r="D2" s="336"/>
      <c r="E2" s="336"/>
      <c r="F2" s="336"/>
    </row>
    <row r="3" spans="1:6" ht="24.75" customHeight="1" x14ac:dyDescent="0.35">
      <c r="A3" s="337" t="s">
        <v>544</v>
      </c>
      <c r="B3" s="338"/>
      <c r="C3" s="338"/>
      <c r="D3" s="338"/>
      <c r="E3" s="338"/>
      <c r="F3" s="338"/>
    </row>
    <row r="4" spans="1:6" ht="27" customHeight="1" x14ac:dyDescent="0.35">
      <c r="A4" s="339" t="s">
        <v>543</v>
      </c>
      <c r="B4" s="339"/>
      <c r="C4" s="339"/>
      <c r="D4" s="339"/>
      <c r="E4" s="339"/>
      <c r="F4" s="339"/>
    </row>
    <row r="5" spans="1:6" x14ac:dyDescent="0.35">
      <c r="A5" s="292"/>
      <c r="B5" s="292"/>
      <c r="C5" s="314"/>
      <c r="D5" s="292"/>
      <c r="E5" s="315"/>
      <c r="F5" s="292"/>
    </row>
    <row r="6" spans="1:6" x14ac:dyDescent="0.35">
      <c r="B6" s="293"/>
      <c r="C6" s="340">
        <v>2025</v>
      </c>
      <c r="D6" s="340"/>
      <c r="E6" s="340">
        <v>2024</v>
      </c>
      <c r="F6" s="340"/>
    </row>
    <row r="7" spans="1:6" x14ac:dyDescent="0.35">
      <c r="A7" s="295" t="s">
        <v>529</v>
      </c>
      <c r="B7" s="293"/>
      <c r="C7" s="293"/>
      <c r="D7" s="293"/>
      <c r="E7" s="294"/>
      <c r="F7" s="293"/>
    </row>
    <row r="8" spans="1:6" x14ac:dyDescent="0.35">
      <c r="A8" s="316" t="s">
        <v>514</v>
      </c>
      <c r="B8" s="309"/>
      <c r="D8" s="309"/>
      <c r="F8" s="309"/>
    </row>
    <row r="9" spans="1:6" x14ac:dyDescent="0.35">
      <c r="A9" s="300" t="s">
        <v>528</v>
      </c>
      <c r="B9" s="296"/>
      <c r="C9" s="317" t="s">
        <v>504</v>
      </c>
      <c r="D9" s="318">
        <v>62387213.240000002</v>
      </c>
      <c r="E9" s="297" t="s">
        <v>504</v>
      </c>
      <c r="F9" s="318">
        <v>103300877.69</v>
      </c>
    </row>
    <row r="10" spans="1:6" x14ac:dyDescent="0.35">
      <c r="A10" s="300" t="s">
        <v>383</v>
      </c>
      <c r="B10" s="296"/>
      <c r="D10" s="318">
        <v>569103533</v>
      </c>
      <c r="F10" s="318">
        <v>479237737</v>
      </c>
    </row>
    <row r="11" spans="1:6" x14ac:dyDescent="0.35">
      <c r="A11" s="300" t="s">
        <v>527</v>
      </c>
      <c r="B11" s="296"/>
      <c r="D11" s="318">
        <v>23926398.420000002</v>
      </c>
      <c r="F11" s="318">
        <v>11769816</v>
      </c>
    </row>
    <row r="12" spans="1:6" x14ac:dyDescent="0.35">
      <c r="A12" s="300" t="s">
        <v>57</v>
      </c>
      <c r="B12" s="296"/>
      <c r="D12" s="318">
        <v>952120.91</v>
      </c>
      <c r="F12" s="318">
        <v>22354007.57</v>
      </c>
    </row>
    <row r="13" spans="1:6" x14ac:dyDescent="0.35">
      <c r="A13" s="300" t="s">
        <v>386</v>
      </c>
      <c r="B13" s="296"/>
      <c r="D13" s="318">
        <v>0</v>
      </c>
      <c r="F13" s="318">
        <v>753368.34</v>
      </c>
    </row>
    <row r="14" spans="1:6" x14ac:dyDescent="0.35">
      <c r="A14" s="300" t="s">
        <v>387</v>
      </c>
      <c r="B14" s="296"/>
      <c r="D14" s="319">
        <v>0</v>
      </c>
      <c r="F14" s="319">
        <v>3129011.27</v>
      </c>
    </row>
    <row r="15" spans="1:6" s="295" customFormat="1" ht="18" x14ac:dyDescent="0.3">
      <c r="A15" s="295" t="s">
        <v>526</v>
      </c>
      <c r="B15" s="320"/>
      <c r="C15" s="306"/>
      <c r="D15" s="321">
        <v>656369265.56999993</v>
      </c>
      <c r="E15" s="294"/>
      <c r="F15" s="322">
        <v>620544817.87000012</v>
      </c>
    </row>
    <row r="16" spans="1:6" x14ac:dyDescent="0.35">
      <c r="A16" s="316" t="s">
        <v>137</v>
      </c>
      <c r="B16" s="301"/>
      <c r="D16" s="323"/>
      <c r="F16" s="323"/>
    </row>
    <row r="17" spans="1:6" x14ac:dyDescent="0.35">
      <c r="A17" s="300" t="s">
        <v>525</v>
      </c>
      <c r="B17" s="324"/>
      <c r="D17" s="325"/>
      <c r="F17" s="325"/>
    </row>
    <row r="18" spans="1:6" x14ac:dyDescent="0.35">
      <c r="A18" s="300" t="s">
        <v>1035</v>
      </c>
      <c r="B18" s="296"/>
      <c r="D18" s="318">
        <v>315785928.38999999</v>
      </c>
      <c r="F18" s="318">
        <v>381895989.10000002</v>
      </c>
    </row>
    <row r="19" spans="1:6" x14ac:dyDescent="0.35">
      <c r="A19" s="300" t="s">
        <v>524</v>
      </c>
      <c r="B19" s="296"/>
      <c r="D19" s="318">
        <v>154969015.53</v>
      </c>
      <c r="F19" s="318">
        <v>114972132.15000001</v>
      </c>
    </row>
    <row r="20" spans="1:6" x14ac:dyDescent="0.35">
      <c r="A20" s="300" t="s">
        <v>103</v>
      </c>
      <c r="B20" s="296"/>
      <c r="D20" s="318">
        <v>2922260.87</v>
      </c>
      <c r="F20" s="318">
        <v>3234399.89</v>
      </c>
    </row>
    <row r="21" spans="1:6" x14ac:dyDescent="0.35">
      <c r="A21" s="300" t="s">
        <v>523</v>
      </c>
      <c r="B21" s="296"/>
      <c r="D21" s="318">
        <v>65588012.240000002</v>
      </c>
      <c r="F21" s="318">
        <v>2806000</v>
      </c>
    </row>
    <row r="22" spans="1:6" x14ac:dyDescent="0.35">
      <c r="A22" s="295" t="s">
        <v>510</v>
      </c>
      <c r="B22" s="301"/>
      <c r="C22" s="306"/>
      <c r="D22" s="326">
        <v>539265217.02999997</v>
      </c>
      <c r="E22" s="294"/>
      <c r="F22" s="326">
        <v>502908521.13999999</v>
      </c>
    </row>
    <row r="23" spans="1:6" x14ac:dyDescent="0.35">
      <c r="A23" s="295" t="s">
        <v>522</v>
      </c>
      <c r="B23" s="301"/>
      <c r="C23" s="306" t="s">
        <v>504</v>
      </c>
      <c r="D23" s="326">
        <v>117104048.53999996</v>
      </c>
      <c r="E23" s="294" t="s">
        <v>504</v>
      </c>
      <c r="F23" s="326">
        <v>117636296.73000014</v>
      </c>
    </row>
    <row r="24" spans="1:6" x14ac:dyDescent="0.35">
      <c r="A24" s="295" t="s">
        <v>521</v>
      </c>
      <c r="B24" s="320"/>
      <c r="C24" s="306"/>
      <c r="D24" s="327"/>
      <c r="E24" s="294"/>
      <c r="F24" s="327"/>
    </row>
    <row r="25" spans="1:6" x14ac:dyDescent="0.35">
      <c r="A25" s="316" t="s">
        <v>514</v>
      </c>
      <c r="B25" s="296"/>
      <c r="D25" s="323"/>
      <c r="F25" s="323"/>
    </row>
    <row r="26" spans="1:6" x14ac:dyDescent="0.35">
      <c r="A26" s="317" t="s">
        <v>520</v>
      </c>
      <c r="B26" s="296"/>
      <c r="C26" s="291"/>
      <c r="D26" s="323"/>
      <c r="E26" s="291"/>
      <c r="F26" s="323"/>
    </row>
    <row r="27" spans="1:6" x14ac:dyDescent="0.35">
      <c r="A27" s="317" t="s">
        <v>519</v>
      </c>
      <c r="B27" s="307"/>
      <c r="C27" s="317" t="s">
        <v>504</v>
      </c>
      <c r="D27" s="328">
        <v>0</v>
      </c>
      <c r="E27" s="317" t="s">
        <v>504</v>
      </c>
      <c r="F27" s="318">
        <v>65000000</v>
      </c>
    </row>
    <row r="28" spans="1:6" x14ac:dyDescent="0.35">
      <c r="A28" s="306" t="s">
        <v>512</v>
      </c>
      <c r="B28" s="307"/>
      <c r="D28" s="326">
        <v>0</v>
      </c>
      <c r="F28" s="326">
        <v>65000000</v>
      </c>
    </row>
    <row r="29" spans="1:6" x14ac:dyDescent="0.35">
      <c r="A29" s="329" t="s">
        <v>137</v>
      </c>
      <c r="B29" s="307"/>
      <c r="D29" s="323"/>
      <c r="F29" s="323"/>
    </row>
    <row r="30" spans="1:6" x14ac:dyDescent="0.35">
      <c r="A30" s="317" t="s">
        <v>518</v>
      </c>
      <c r="B30" s="307"/>
      <c r="D30" s="323"/>
      <c r="F30" s="323"/>
    </row>
    <row r="31" spans="1:6" x14ac:dyDescent="0.35">
      <c r="A31" s="317" t="s">
        <v>517</v>
      </c>
      <c r="B31" s="296"/>
      <c r="D31" s="318">
        <v>167455134.18000001</v>
      </c>
      <c r="F31" s="318">
        <v>221244308</v>
      </c>
    </row>
    <row r="32" spans="1:6" x14ac:dyDescent="0.35">
      <c r="A32" s="295" t="s">
        <v>510</v>
      </c>
      <c r="B32" s="296"/>
      <c r="D32" s="326">
        <v>167455134.18000001</v>
      </c>
      <c r="E32" s="294"/>
      <c r="F32" s="326">
        <v>221244308</v>
      </c>
    </row>
    <row r="33" spans="1:6" x14ac:dyDescent="0.35">
      <c r="A33" s="295" t="s">
        <v>516</v>
      </c>
      <c r="B33" s="307"/>
      <c r="C33" s="306" t="s">
        <v>504</v>
      </c>
      <c r="D33" s="326">
        <v>-167455134.18000001</v>
      </c>
      <c r="E33" s="306" t="s">
        <v>504</v>
      </c>
      <c r="F33" s="326">
        <v>-156244308</v>
      </c>
    </row>
    <row r="34" spans="1:6" x14ac:dyDescent="0.35">
      <c r="A34" s="295" t="s">
        <v>515</v>
      </c>
      <c r="B34" s="307"/>
      <c r="D34" s="323"/>
      <c r="F34" s="323"/>
    </row>
    <row r="35" spans="1:6" x14ac:dyDescent="0.35">
      <c r="A35" s="316" t="s">
        <v>514</v>
      </c>
      <c r="B35" s="307"/>
      <c r="D35" s="323"/>
      <c r="F35" s="323"/>
    </row>
    <row r="36" spans="1:6" x14ac:dyDescent="0.35">
      <c r="A36" s="300" t="s">
        <v>545</v>
      </c>
      <c r="B36" s="307"/>
      <c r="C36" s="317" t="s">
        <v>504</v>
      </c>
      <c r="D36" s="330">
        <v>0</v>
      </c>
      <c r="E36" s="317" t="s">
        <v>504</v>
      </c>
      <c r="F36" s="330">
        <v>0</v>
      </c>
    </row>
    <row r="37" spans="1:6" x14ac:dyDescent="0.35">
      <c r="A37" s="306" t="s">
        <v>512</v>
      </c>
      <c r="B37" s="307"/>
      <c r="D37" s="326">
        <v>0</v>
      </c>
      <c r="E37" s="294"/>
      <c r="F37" s="326">
        <v>0</v>
      </c>
    </row>
    <row r="38" spans="1:6" x14ac:dyDescent="0.35">
      <c r="A38" s="329" t="s">
        <v>137</v>
      </c>
      <c r="B38" s="307"/>
      <c r="D38" s="328"/>
      <c r="F38" s="328"/>
    </row>
    <row r="39" spans="1:6" x14ac:dyDescent="0.35">
      <c r="A39" s="331" t="s">
        <v>511</v>
      </c>
      <c r="B39" s="307"/>
      <c r="D39" s="318">
        <v>6716087.5999999996</v>
      </c>
      <c r="F39" s="318">
        <v>6616843.5199999996</v>
      </c>
    </row>
    <row r="40" spans="1:6" x14ac:dyDescent="0.35">
      <c r="A40" s="295" t="s">
        <v>510</v>
      </c>
      <c r="B40" s="307"/>
      <c r="D40" s="302">
        <v>6716087.5999999996</v>
      </c>
      <c r="F40" s="302">
        <v>6616843.5199999996</v>
      </c>
    </row>
    <row r="41" spans="1:6" x14ac:dyDescent="0.35">
      <c r="A41" s="295" t="s">
        <v>509</v>
      </c>
      <c r="B41" s="307"/>
      <c r="C41" s="306" t="s">
        <v>504</v>
      </c>
      <c r="D41" s="326">
        <v>-6716087.5999999996</v>
      </c>
      <c r="E41" s="306" t="s">
        <v>504</v>
      </c>
      <c r="F41" s="326">
        <v>-6616843.5199999996</v>
      </c>
    </row>
    <row r="42" spans="1:6" x14ac:dyDescent="0.35">
      <c r="A42" s="306" t="s">
        <v>508</v>
      </c>
      <c r="B42" s="307"/>
      <c r="D42" s="323"/>
      <c r="F42" s="323"/>
    </row>
    <row r="43" spans="1:6" x14ac:dyDescent="0.35">
      <c r="A43" s="306" t="s">
        <v>507</v>
      </c>
      <c r="B43" s="307"/>
      <c r="C43" s="306" t="s">
        <v>504</v>
      </c>
      <c r="D43" s="332">
        <v>-57067173.240000047</v>
      </c>
      <c r="E43" s="294" t="s">
        <v>504</v>
      </c>
      <c r="F43" s="332">
        <v>-45224854.789999858</v>
      </c>
    </row>
    <row r="44" spans="1:6" x14ac:dyDescent="0.35">
      <c r="A44" s="306" t="s">
        <v>506</v>
      </c>
      <c r="B44" s="307"/>
      <c r="D44" s="318">
        <v>425412044.23000002</v>
      </c>
      <c r="F44" s="318">
        <v>470636899.01999998</v>
      </c>
    </row>
    <row r="45" spans="1:6" ht="16" thickBot="1" x14ac:dyDescent="0.4">
      <c r="A45" s="306" t="s">
        <v>505</v>
      </c>
      <c r="B45" s="296"/>
      <c r="C45" s="306" t="s">
        <v>504</v>
      </c>
      <c r="D45" s="333">
        <v>368344870.98999995</v>
      </c>
      <c r="E45" s="294" t="s">
        <v>504</v>
      </c>
      <c r="F45" s="333">
        <v>425412044.23000014</v>
      </c>
    </row>
    <row r="46" spans="1:6" ht="16" thickTop="1" x14ac:dyDescent="0.35">
      <c r="A46" s="306"/>
      <c r="B46" s="296"/>
      <c r="C46" s="306"/>
      <c r="D46" s="327"/>
      <c r="E46" s="294"/>
      <c r="F46" s="320"/>
    </row>
  </sheetData>
  <sheetProtection algorithmName="SHA-512" hashValue="uVBquUTdxHnPNWgT2tLTc9AdeZyoia3ls+09BpD5O4C+QSfvdfoSW0dpJPvPdu5tRjDH5LX6coBHBr9XgvLe4A==" saltValue="y7lkbc5V+zMEQ5jDdvX7Gg==" spinCount="100000" sheet="1" objects="1" scenarios="1" selectLockedCells="1" selectUnlockedCells="1"/>
  <mergeCells count="6">
    <mergeCell ref="A1:F1"/>
    <mergeCell ref="A2:F2"/>
    <mergeCell ref="A3:F3"/>
    <mergeCell ref="A4:F4"/>
    <mergeCell ref="C6:D6"/>
    <mergeCell ref="E6:F6"/>
  </mergeCells>
  <hyperlinks>
    <hyperlink ref="A2:F2" r:id="rId1" display="CONSOLIDATED BALANCE SHEET" xr:uid="{00000000-0004-0000-0E00-000000000000}"/>
    <hyperlink ref="C2:D2" r:id="rId2" display="CONSOLIDATED BALANCE SHEET" xr:uid="{00000000-0004-0000-0E00-000001000000}"/>
  </hyperlinks>
  <printOptions horizontalCentered="1"/>
  <pageMargins left="1.49606299212598" right="0.98425196850393704" top="0.98425196850393704" bottom="0.98425196850393704" header="0.23622047244094499" footer="0.31496062992126"/>
  <pageSetup scale="68" fitToHeight="0" orientation="portrait" horizontalDpi="360" verticalDpi="360" r:id="rId3"/>
  <headerFooter scaleWithDoc="0">
    <oddHeader xml:space="preserve">&amp;R&amp;"Times New Roman,Regular"&amp;12Annex E-1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pageSetUpPr fitToPage="1"/>
  </sheetPr>
  <dimension ref="A1:F39"/>
  <sheetViews>
    <sheetView zoomScale="75" zoomScaleNormal="75" zoomScaleSheetLayoutView="85" workbookViewId="0">
      <selection sqref="A1:F1"/>
    </sheetView>
  </sheetViews>
  <sheetFormatPr defaultColWidth="9.1796875" defaultRowHeight="15.5" x14ac:dyDescent="0.35"/>
  <cols>
    <col min="1" max="1" width="57.1796875" style="291" customWidth="1"/>
    <col min="2" max="2" width="8.54296875" style="291" customWidth="1"/>
    <col min="3" max="3" width="2.81640625" style="317" customWidth="1"/>
    <col min="4" max="4" width="24" style="291" customWidth="1"/>
    <col min="5" max="5" width="2.81640625" style="317" customWidth="1"/>
    <col min="6" max="6" width="24" style="291" customWidth="1"/>
    <col min="7" max="16384" width="9.1796875" style="291"/>
  </cols>
  <sheetData>
    <row r="1" spans="1:6" ht="25.5" customHeight="1" x14ac:dyDescent="0.35">
      <c r="A1" s="361" t="s">
        <v>1003</v>
      </c>
      <c r="B1" s="361"/>
      <c r="C1" s="361"/>
      <c r="D1" s="361"/>
      <c r="E1" s="361"/>
      <c r="F1" s="361"/>
    </row>
    <row r="2" spans="1:6" ht="27" customHeight="1" x14ac:dyDescent="0.35">
      <c r="A2" s="336" t="s">
        <v>1001</v>
      </c>
      <c r="B2" s="336"/>
      <c r="C2" s="336"/>
      <c r="D2" s="336"/>
      <c r="E2" s="336"/>
      <c r="F2" s="336"/>
    </row>
    <row r="3" spans="1:6" ht="24.75" customHeight="1" x14ac:dyDescent="0.35">
      <c r="A3" s="337" t="s">
        <v>544</v>
      </c>
      <c r="B3" s="338"/>
      <c r="C3" s="338"/>
      <c r="D3" s="338"/>
      <c r="E3" s="338"/>
      <c r="F3" s="338"/>
    </row>
    <row r="4" spans="1:6" ht="24.75" customHeight="1" x14ac:dyDescent="0.35">
      <c r="A4" s="339" t="s">
        <v>543</v>
      </c>
      <c r="B4" s="339"/>
      <c r="C4" s="339"/>
      <c r="D4" s="339"/>
      <c r="E4" s="339"/>
      <c r="F4" s="339"/>
    </row>
    <row r="5" spans="1:6" x14ac:dyDescent="0.35">
      <c r="A5" s="292"/>
      <c r="B5" s="292"/>
      <c r="C5" s="314"/>
      <c r="D5" s="292"/>
      <c r="E5" s="314"/>
      <c r="F5" s="292"/>
    </row>
    <row r="6" spans="1:6" x14ac:dyDescent="0.35">
      <c r="B6" s="293"/>
      <c r="C6" s="340">
        <v>2025</v>
      </c>
      <c r="D6" s="340"/>
      <c r="E6" s="340">
        <v>2025</v>
      </c>
      <c r="F6" s="340"/>
    </row>
    <row r="7" spans="1:6" x14ac:dyDescent="0.35">
      <c r="A7" s="295" t="s">
        <v>529</v>
      </c>
      <c r="B7" s="293"/>
      <c r="C7" s="293"/>
      <c r="D7" s="293"/>
      <c r="E7" s="293"/>
      <c r="F7" s="293"/>
    </row>
    <row r="8" spans="1:6" x14ac:dyDescent="0.35">
      <c r="A8" s="316" t="s">
        <v>514</v>
      </c>
      <c r="B8" s="309"/>
      <c r="D8" s="309"/>
      <c r="F8" s="309"/>
    </row>
    <row r="9" spans="1:6" x14ac:dyDescent="0.35">
      <c r="A9" s="300" t="s">
        <v>528</v>
      </c>
      <c r="B9" s="296"/>
      <c r="C9" s="317" t="s">
        <v>504</v>
      </c>
      <c r="D9" s="325">
        <v>836864.19</v>
      </c>
      <c r="E9" s="317" t="s">
        <v>504</v>
      </c>
      <c r="F9" s="325">
        <v>2756875.87</v>
      </c>
    </row>
    <row r="10" spans="1:6" x14ac:dyDescent="0.35">
      <c r="A10" s="300" t="s">
        <v>57</v>
      </c>
      <c r="B10" s="296"/>
      <c r="D10" s="325">
        <v>4140.78</v>
      </c>
      <c r="F10" s="325">
        <v>0</v>
      </c>
    </row>
    <row r="11" spans="1:6" x14ac:dyDescent="0.35">
      <c r="A11" s="300" t="s">
        <v>387</v>
      </c>
      <c r="B11" s="296"/>
      <c r="D11" s="325">
        <v>1850093.88</v>
      </c>
      <c r="F11" s="325">
        <v>3594.22</v>
      </c>
    </row>
    <row r="12" spans="1:6" x14ac:dyDescent="0.35">
      <c r="A12" s="295" t="s">
        <v>526</v>
      </c>
      <c r="B12" s="301"/>
      <c r="C12" s="306"/>
      <c r="D12" s="302">
        <v>2691098.8499999996</v>
      </c>
      <c r="E12" s="306"/>
      <c r="F12" s="302">
        <v>2760470.0900000003</v>
      </c>
    </row>
    <row r="13" spans="1:6" x14ac:dyDescent="0.35">
      <c r="A13" s="316" t="s">
        <v>137</v>
      </c>
      <c r="B13" s="301"/>
      <c r="D13" s="299"/>
      <c r="F13" s="299"/>
    </row>
    <row r="14" spans="1:6" x14ac:dyDescent="0.35">
      <c r="A14" s="300" t="s">
        <v>1036</v>
      </c>
      <c r="B14" s="296"/>
      <c r="D14" s="304">
        <v>2381894.73</v>
      </c>
      <c r="F14" s="304">
        <v>1939971.86</v>
      </c>
    </row>
    <row r="15" spans="1:6" x14ac:dyDescent="0.35">
      <c r="A15" s="295" t="s">
        <v>510</v>
      </c>
      <c r="B15" s="301"/>
      <c r="C15" s="306"/>
      <c r="D15" s="302">
        <v>2381894.73</v>
      </c>
      <c r="E15" s="306"/>
      <c r="F15" s="302">
        <v>1939971.86</v>
      </c>
    </row>
    <row r="16" spans="1:6" x14ac:dyDescent="0.35">
      <c r="A16" s="295" t="s">
        <v>522</v>
      </c>
      <c r="B16" s="301"/>
      <c r="C16" s="306" t="s">
        <v>504</v>
      </c>
      <c r="D16" s="302">
        <v>309204.11999999965</v>
      </c>
      <c r="E16" s="306" t="s">
        <v>504</v>
      </c>
      <c r="F16" s="302">
        <v>820498.23000000021</v>
      </c>
    </row>
    <row r="17" spans="1:6" x14ac:dyDescent="0.35">
      <c r="A17" s="295" t="s">
        <v>521</v>
      </c>
      <c r="B17" s="320"/>
      <c r="C17" s="306"/>
      <c r="D17" s="320"/>
      <c r="E17" s="306"/>
      <c r="F17" s="320"/>
    </row>
    <row r="18" spans="1:6" x14ac:dyDescent="0.35">
      <c r="A18" s="316" t="s">
        <v>514</v>
      </c>
      <c r="B18" s="296"/>
      <c r="D18" s="299"/>
      <c r="F18" s="299"/>
    </row>
    <row r="19" spans="1:6" x14ac:dyDescent="0.35">
      <c r="A19" s="317" t="s">
        <v>520</v>
      </c>
      <c r="B19" s="296"/>
      <c r="D19" s="299"/>
      <c r="F19" s="299"/>
    </row>
    <row r="20" spans="1:6" x14ac:dyDescent="0.35">
      <c r="A20" s="317" t="s">
        <v>519</v>
      </c>
      <c r="B20" s="307"/>
      <c r="C20" s="317" t="s">
        <v>504</v>
      </c>
      <c r="D20" s="301">
        <v>0</v>
      </c>
      <c r="E20" s="317" t="s">
        <v>504</v>
      </c>
      <c r="F20" s="301">
        <v>0</v>
      </c>
    </row>
    <row r="21" spans="1:6" x14ac:dyDescent="0.35">
      <c r="A21" s="306" t="s">
        <v>512</v>
      </c>
      <c r="B21" s="307"/>
      <c r="D21" s="312">
        <v>0</v>
      </c>
      <c r="F21" s="312">
        <v>0</v>
      </c>
    </row>
    <row r="22" spans="1:6" x14ac:dyDescent="0.35">
      <c r="A22" s="329" t="s">
        <v>137</v>
      </c>
      <c r="B22" s="307"/>
      <c r="D22" s="299"/>
      <c r="F22" s="299"/>
    </row>
    <row r="23" spans="1:6" x14ac:dyDescent="0.35">
      <c r="A23" s="317" t="s">
        <v>518</v>
      </c>
      <c r="B23" s="307"/>
      <c r="D23" s="299"/>
      <c r="F23" s="299"/>
    </row>
    <row r="24" spans="1:6" x14ac:dyDescent="0.35">
      <c r="A24" s="317" t="s">
        <v>517</v>
      </c>
      <c r="B24" s="296"/>
      <c r="D24" s="299">
        <v>634740.54</v>
      </c>
      <c r="F24" s="299">
        <v>324781.24</v>
      </c>
    </row>
    <row r="25" spans="1:6" x14ac:dyDescent="0.35">
      <c r="A25" s="295" t="s">
        <v>510</v>
      </c>
      <c r="B25" s="307"/>
      <c r="D25" s="312">
        <v>634740.54</v>
      </c>
      <c r="F25" s="312">
        <v>324781.24</v>
      </c>
    </row>
    <row r="26" spans="1:6" x14ac:dyDescent="0.35">
      <c r="A26" s="295" t="s">
        <v>516</v>
      </c>
      <c r="B26" s="307"/>
      <c r="C26" s="306" t="s">
        <v>504</v>
      </c>
      <c r="D26" s="302">
        <v>-634740.54</v>
      </c>
      <c r="E26" s="306" t="s">
        <v>504</v>
      </c>
      <c r="F26" s="302">
        <v>-324781.24</v>
      </c>
    </row>
    <row r="27" spans="1:6" x14ac:dyDescent="0.35">
      <c r="A27" s="295" t="s">
        <v>515</v>
      </c>
      <c r="B27" s="307"/>
      <c r="D27" s="299"/>
      <c r="F27" s="299"/>
    </row>
    <row r="28" spans="1:6" x14ac:dyDescent="0.35">
      <c r="A28" s="316" t="s">
        <v>514</v>
      </c>
      <c r="B28" s="307"/>
      <c r="D28" s="299"/>
      <c r="F28" s="299"/>
    </row>
    <row r="29" spans="1:6" x14ac:dyDescent="0.35">
      <c r="A29" s="317" t="s">
        <v>513</v>
      </c>
      <c r="B29" s="307"/>
      <c r="C29" s="317" t="s">
        <v>504</v>
      </c>
      <c r="D29" s="304">
        <v>0</v>
      </c>
      <c r="E29" s="317" t="s">
        <v>504</v>
      </c>
      <c r="F29" s="304">
        <v>0</v>
      </c>
    </row>
    <row r="30" spans="1:6" x14ac:dyDescent="0.35">
      <c r="A30" s="306" t="s">
        <v>512</v>
      </c>
      <c r="B30" s="307"/>
      <c r="D30" s="312">
        <v>0</v>
      </c>
      <c r="F30" s="312">
        <v>0</v>
      </c>
    </row>
    <row r="31" spans="1:6" x14ac:dyDescent="0.35">
      <c r="A31" s="329" t="s">
        <v>137</v>
      </c>
      <c r="B31" s="307"/>
      <c r="D31" s="301"/>
      <c r="F31" s="301"/>
    </row>
    <row r="32" spans="1:6" x14ac:dyDescent="0.35">
      <c r="A32" s="331" t="s">
        <v>511</v>
      </c>
      <c r="B32" s="307"/>
      <c r="D32" s="304">
        <v>0</v>
      </c>
      <c r="F32" s="304">
        <v>0</v>
      </c>
    </row>
    <row r="33" spans="1:6" x14ac:dyDescent="0.35">
      <c r="A33" s="295" t="s">
        <v>510</v>
      </c>
      <c r="B33" s="307"/>
      <c r="D33" s="312">
        <v>0</v>
      </c>
      <c r="F33" s="312">
        <v>0</v>
      </c>
    </row>
    <row r="34" spans="1:6" x14ac:dyDescent="0.35">
      <c r="A34" s="295" t="s">
        <v>509</v>
      </c>
      <c r="B34" s="307"/>
      <c r="C34" s="306" t="s">
        <v>504</v>
      </c>
      <c r="D34" s="302">
        <v>0</v>
      </c>
      <c r="E34" s="306" t="s">
        <v>504</v>
      </c>
      <c r="F34" s="302">
        <v>0</v>
      </c>
    </row>
    <row r="35" spans="1:6" x14ac:dyDescent="0.35">
      <c r="A35" s="306" t="s">
        <v>508</v>
      </c>
      <c r="B35" s="307"/>
      <c r="D35" s="299"/>
      <c r="F35" s="299"/>
    </row>
    <row r="36" spans="1:6" x14ac:dyDescent="0.35">
      <c r="A36" s="306" t="s">
        <v>507</v>
      </c>
      <c r="B36" s="307"/>
      <c r="C36" s="306" t="s">
        <v>504</v>
      </c>
      <c r="D36" s="298">
        <v>-325536.42000000039</v>
      </c>
      <c r="E36" s="306" t="s">
        <v>504</v>
      </c>
      <c r="F36" s="298">
        <v>495716.99000000022</v>
      </c>
    </row>
    <row r="37" spans="1:6" x14ac:dyDescent="0.35">
      <c r="A37" s="306" t="s">
        <v>506</v>
      </c>
      <c r="B37" s="307"/>
      <c r="D37" s="304">
        <v>4027038.79</v>
      </c>
      <c r="F37" s="304">
        <v>3531321.8</v>
      </c>
    </row>
    <row r="38" spans="1:6" ht="16" thickBot="1" x14ac:dyDescent="0.4">
      <c r="A38" s="306" t="s">
        <v>505</v>
      </c>
      <c r="B38" s="296"/>
      <c r="C38" s="306" t="s">
        <v>504</v>
      </c>
      <c r="D38" s="305">
        <v>3701502.3699999996</v>
      </c>
      <c r="E38" s="306" t="s">
        <v>504</v>
      </c>
      <c r="F38" s="305">
        <v>4027038.79</v>
      </c>
    </row>
    <row r="39" spans="1:6" ht="16" thickTop="1" x14ac:dyDescent="0.35">
      <c r="A39" s="306"/>
      <c r="B39" s="296"/>
      <c r="C39" s="306"/>
      <c r="D39" s="320"/>
      <c r="E39" s="306"/>
      <c r="F39" s="320"/>
    </row>
  </sheetData>
  <sheetProtection algorithmName="SHA-512" hashValue="WUF+Tny2u3riEG7QKJx6oD6Mb7Rmf+9ksNd3b0qZ9JFgINgiJGxm5lA1w3IPJHlzSPLrq7H7Z9kmCqvbCxBXQw==" saltValue="D+nxrvpwdc1shRd6nPDJ6Q==" spinCount="100000" sheet="1" objects="1" scenarios="1" selectLockedCells="1" selectUnlockedCells="1"/>
  <mergeCells count="6">
    <mergeCell ref="A1:F1"/>
    <mergeCell ref="A2:F2"/>
    <mergeCell ref="A3:F3"/>
    <mergeCell ref="A4:F4"/>
    <mergeCell ref="C6:D6"/>
    <mergeCell ref="E6:F6"/>
  </mergeCells>
  <hyperlinks>
    <hyperlink ref="A2:F2" r:id="rId1" display="CONSOLIDATED BALANCE SHEET" xr:uid="{00000000-0004-0000-0F00-000000000000}"/>
    <hyperlink ref="C2:D2" r:id="rId2" display="CONSOLIDATED BALANCE SHEET" xr:uid="{00000000-0004-0000-0F00-000001000000}"/>
  </hyperlinks>
  <printOptions horizontalCentered="1"/>
  <pageMargins left="1.49606299212598" right="0.98425196850393704" top="0.98425196850393704" bottom="0.98425196850393704" header="0.23622047244094499" footer="0.31496062992126"/>
  <pageSetup scale="64" orientation="portrait" horizontalDpi="360" verticalDpi="360" r:id="rId3"/>
  <headerFooter scaleWithDoc="0">
    <oddHeader xml:space="preserve">&amp;R&amp;"Times New Roman,Regular"&amp;12Annex E-2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pageSetUpPr fitToPage="1"/>
  </sheetPr>
  <dimension ref="A1:F41"/>
  <sheetViews>
    <sheetView zoomScale="75" zoomScaleNormal="75" zoomScaleSheetLayoutView="85" workbookViewId="0">
      <selection sqref="A1:F1"/>
    </sheetView>
  </sheetViews>
  <sheetFormatPr defaultColWidth="9.1796875" defaultRowHeight="15.5" x14ac:dyDescent="0.35"/>
  <cols>
    <col min="1" max="1" width="57.1796875" style="291" customWidth="1"/>
    <col min="2" max="2" width="5.453125" style="291" customWidth="1"/>
    <col min="3" max="3" width="2.81640625" style="317" customWidth="1"/>
    <col min="4" max="4" width="24.26953125" style="291" customWidth="1"/>
    <col min="5" max="5" width="2.81640625" style="317" customWidth="1"/>
    <col min="6" max="6" width="24.26953125" style="291" customWidth="1"/>
    <col min="7" max="16384" width="9.1796875" style="291"/>
  </cols>
  <sheetData>
    <row r="1" spans="1:6" ht="25.5" customHeight="1" x14ac:dyDescent="0.35">
      <c r="A1" s="361" t="s">
        <v>1003</v>
      </c>
      <c r="B1" s="361"/>
      <c r="C1" s="361"/>
      <c r="D1" s="361"/>
      <c r="E1" s="361"/>
      <c r="F1" s="361"/>
    </row>
    <row r="2" spans="1:6" ht="27" customHeight="1" x14ac:dyDescent="0.35">
      <c r="A2" s="336" t="s">
        <v>1002</v>
      </c>
      <c r="B2" s="336"/>
      <c r="C2" s="336"/>
      <c r="D2" s="336"/>
      <c r="E2" s="336"/>
      <c r="F2" s="336"/>
    </row>
    <row r="3" spans="1:6" ht="24.75" customHeight="1" x14ac:dyDescent="0.35">
      <c r="A3" s="337" t="s">
        <v>544</v>
      </c>
      <c r="B3" s="338"/>
      <c r="C3" s="338"/>
      <c r="D3" s="338"/>
      <c r="E3" s="338"/>
      <c r="F3" s="338"/>
    </row>
    <row r="4" spans="1:6" ht="27" customHeight="1" x14ac:dyDescent="0.35">
      <c r="A4" s="339" t="s">
        <v>543</v>
      </c>
      <c r="B4" s="339"/>
      <c r="C4" s="339"/>
      <c r="D4" s="339"/>
      <c r="E4" s="339"/>
      <c r="F4" s="339"/>
    </row>
    <row r="5" spans="1:6" x14ac:dyDescent="0.35">
      <c r="A5" s="292"/>
      <c r="B5" s="292"/>
      <c r="C5" s="314"/>
      <c r="D5" s="292"/>
      <c r="E5" s="314"/>
      <c r="F5" s="292"/>
    </row>
    <row r="6" spans="1:6" x14ac:dyDescent="0.35">
      <c r="B6" s="293"/>
      <c r="C6" s="340">
        <v>2025</v>
      </c>
      <c r="D6" s="340"/>
      <c r="E6" s="340">
        <v>2024</v>
      </c>
      <c r="F6" s="340"/>
    </row>
    <row r="7" spans="1:6" x14ac:dyDescent="0.35">
      <c r="A7" s="295" t="s">
        <v>529</v>
      </c>
      <c r="B7" s="293"/>
      <c r="C7" s="293"/>
      <c r="D7" s="293"/>
      <c r="E7" s="293"/>
      <c r="F7" s="293"/>
    </row>
    <row r="8" spans="1:6" x14ac:dyDescent="0.35">
      <c r="A8" s="316" t="s">
        <v>514</v>
      </c>
      <c r="B8" s="309"/>
      <c r="D8" s="293"/>
      <c r="F8" s="293"/>
    </row>
    <row r="9" spans="1:6" x14ac:dyDescent="0.35">
      <c r="A9" s="300" t="s">
        <v>57</v>
      </c>
      <c r="B9" s="296"/>
      <c r="C9" s="317" t="s">
        <v>504</v>
      </c>
      <c r="D9" s="299">
        <v>118791.1</v>
      </c>
      <c r="E9" s="317" t="s">
        <v>504</v>
      </c>
      <c r="F9" s="299">
        <v>40929.39</v>
      </c>
    </row>
    <row r="10" spans="1:6" x14ac:dyDescent="0.35">
      <c r="A10" s="300" t="s">
        <v>387</v>
      </c>
      <c r="B10" s="296"/>
      <c r="D10" s="299">
        <v>77805606.609999999</v>
      </c>
      <c r="F10" s="299">
        <v>42381097.460000001</v>
      </c>
    </row>
    <row r="11" spans="1:6" x14ac:dyDescent="0.35">
      <c r="A11" s="295" t="s">
        <v>526</v>
      </c>
      <c r="B11" s="301"/>
      <c r="C11" s="306"/>
      <c r="D11" s="302">
        <v>77924397.709999993</v>
      </c>
      <c r="E11" s="306"/>
      <c r="F11" s="302">
        <v>42422026.850000001</v>
      </c>
    </row>
    <row r="12" spans="1:6" x14ac:dyDescent="0.35">
      <c r="A12" s="316" t="s">
        <v>137</v>
      </c>
      <c r="B12" s="301"/>
      <c r="D12" s="298"/>
      <c r="E12" s="306"/>
      <c r="F12" s="298"/>
    </row>
    <row r="13" spans="1:6" x14ac:dyDescent="0.35">
      <c r="A13" s="300" t="s">
        <v>1037</v>
      </c>
      <c r="B13" s="301"/>
      <c r="D13" s="318">
        <v>22424479.75</v>
      </c>
      <c r="E13" s="306"/>
      <c r="F13" s="318">
        <v>24845280.280000001</v>
      </c>
    </row>
    <row r="14" spans="1:6" x14ac:dyDescent="0.35">
      <c r="A14" s="300" t="s">
        <v>1038</v>
      </c>
      <c r="B14" s="296"/>
      <c r="D14" s="318">
        <v>2816923.4</v>
      </c>
      <c r="E14" s="306"/>
      <c r="F14" s="318">
        <v>995023.5</v>
      </c>
    </row>
    <row r="15" spans="1:6" x14ac:dyDescent="0.35">
      <c r="A15" s="300" t="s">
        <v>523</v>
      </c>
      <c r="B15" s="296"/>
      <c r="D15" s="318">
        <v>33162000</v>
      </c>
      <c r="F15" s="318">
        <v>10250000</v>
      </c>
    </row>
    <row r="16" spans="1:6" x14ac:dyDescent="0.35">
      <c r="A16" s="295" t="s">
        <v>510</v>
      </c>
      <c r="B16" s="301"/>
      <c r="C16" s="306"/>
      <c r="D16" s="302">
        <v>58403403.149999999</v>
      </c>
      <c r="E16" s="306"/>
      <c r="F16" s="302">
        <v>36090303.780000001</v>
      </c>
    </row>
    <row r="17" spans="1:6" x14ac:dyDescent="0.35">
      <c r="A17" s="295" t="s">
        <v>522</v>
      </c>
      <c r="B17" s="301"/>
      <c r="C17" s="306" t="s">
        <v>504</v>
      </c>
      <c r="D17" s="302">
        <v>19520994.559999995</v>
      </c>
      <c r="E17" s="306" t="s">
        <v>504</v>
      </c>
      <c r="F17" s="302">
        <v>6331723.0700000003</v>
      </c>
    </row>
    <row r="18" spans="1:6" x14ac:dyDescent="0.35">
      <c r="A18" s="295" t="s">
        <v>521</v>
      </c>
      <c r="B18" s="320"/>
      <c r="C18" s="306"/>
      <c r="D18" s="320"/>
      <c r="E18" s="306"/>
      <c r="F18" s="320"/>
    </row>
    <row r="19" spans="1:6" x14ac:dyDescent="0.35">
      <c r="A19" s="316" t="s">
        <v>514</v>
      </c>
      <c r="B19" s="296"/>
      <c r="D19" s="299"/>
      <c r="F19" s="299"/>
    </row>
    <row r="20" spans="1:6" x14ac:dyDescent="0.35">
      <c r="A20" s="317" t="s">
        <v>520</v>
      </c>
      <c r="B20" s="296"/>
      <c r="D20" s="299"/>
      <c r="F20" s="299"/>
    </row>
    <row r="21" spans="1:6" x14ac:dyDescent="0.35">
      <c r="A21" s="317" t="s">
        <v>519</v>
      </c>
      <c r="B21" s="307"/>
      <c r="C21" s="317" t="s">
        <v>504</v>
      </c>
      <c r="D21" s="320">
        <v>0</v>
      </c>
      <c r="E21" s="317" t="s">
        <v>504</v>
      </c>
      <c r="F21" s="301">
        <v>32500000</v>
      </c>
    </row>
    <row r="22" spans="1:6" x14ac:dyDescent="0.35">
      <c r="A22" s="317" t="s">
        <v>1039</v>
      </c>
      <c r="B22" s="307"/>
      <c r="D22" s="301">
        <v>66500000</v>
      </c>
      <c r="F22" s="320">
        <v>0</v>
      </c>
    </row>
    <row r="23" spans="1:6" x14ac:dyDescent="0.35">
      <c r="A23" s="306" t="s">
        <v>512</v>
      </c>
      <c r="B23" s="307"/>
      <c r="C23" s="306"/>
      <c r="D23" s="302">
        <v>66500000</v>
      </c>
      <c r="E23" s="306"/>
      <c r="F23" s="302">
        <v>32500000</v>
      </c>
    </row>
    <row r="24" spans="1:6" x14ac:dyDescent="0.35">
      <c r="A24" s="329" t="s">
        <v>137</v>
      </c>
      <c r="B24" s="307"/>
      <c r="C24" s="306"/>
      <c r="D24" s="298"/>
      <c r="E24" s="306"/>
      <c r="F24" s="298"/>
    </row>
    <row r="25" spans="1:6" x14ac:dyDescent="0.35">
      <c r="A25" s="317" t="s">
        <v>518</v>
      </c>
      <c r="B25" s="307"/>
      <c r="C25" s="306"/>
      <c r="D25" s="298"/>
      <c r="E25" s="306"/>
      <c r="F25" s="298"/>
    </row>
    <row r="26" spans="1:6" x14ac:dyDescent="0.35">
      <c r="A26" s="317" t="s">
        <v>517</v>
      </c>
      <c r="B26" s="307"/>
      <c r="C26" s="306"/>
      <c r="D26" s="299">
        <v>70097295.120000005</v>
      </c>
      <c r="E26" s="306"/>
      <c r="F26" s="299">
        <v>5820910.7000000002</v>
      </c>
    </row>
    <row r="27" spans="1:6" x14ac:dyDescent="0.35">
      <c r="A27" s="295" t="s">
        <v>510</v>
      </c>
      <c r="B27" s="307"/>
      <c r="C27" s="306"/>
      <c r="D27" s="302">
        <v>70097295.120000005</v>
      </c>
      <c r="E27" s="306"/>
      <c r="F27" s="302">
        <v>5820910.7000000002</v>
      </c>
    </row>
    <row r="28" spans="1:6" x14ac:dyDescent="0.35">
      <c r="A28" s="295" t="s">
        <v>516</v>
      </c>
      <c r="B28" s="307"/>
      <c r="C28" s="306" t="s">
        <v>504</v>
      </c>
      <c r="D28" s="302">
        <v>-3597295.1200000048</v>
      </c>
      <c r="E28" s="306" t="s">
        <v>504</v>
      </c>
      <c r="F28" s="302">
        <v>26679089.300000001</v>
      </c>
    </row>
    <row r="29" spans="1:6" x14ac:dyDescent="0.35">
      <c r="A29" s="295" t="s">
        <v>515</v>
      </c>
      <c r="B29" s="307"/>
      <c r="C29" s="306"/>
      <c r="D29" s="298"/>
      <c r="E29" s="306"/>
      <c r="F29" s="298"/>
    </row>
    <row r="30" spans="1:6" x14ac:dyDescent="0.35">
      <c r="A30" s="316" t="s">
        <v>514</v>
      </c>
      <c r="B30" s="307"/>
      <c r="C30" s="306"/>
      <c r="D30" s="298"/>
      <c r="E30" s="306"/>
      <c r="F30" s="298"/>
    </row>
    <row r="31" spans="1:6" x14ac:dyDescent="0.35">
      <c r="A31" s="317" t="s">
        <v>513</v>
      </c>
      <c r="B31" s="307"/>
      <c r="C31" s="317" t="s">
        <v>504</v>
      </c>
      <c r="D31" s="334">
        <v>0</v>
      </c>
      <c r="E31" s="317" t="s">
        <v>504</v>
      </c>
      <c r="F31" s="334">
        <v>0</v>
      </c>
    </row>
    <row r="32" spans="1:6" x14ac:dyDescent="0.35">
      <c r="A32" s="306" t="s">
        <v>512</v>
      </c>
      <c r="B32" s="307"/>
      <c r="D32" s="302">
        <v>0</v>
      </c>
      <c r="F32" s="302">
        <v>0</v>
      </c>
    </row>
    <row r="33" spans="1:6" x14ac:dyDescent="0.35">
      <c r="A33" s="329" t="s">
        <v>137</v>
      </c>
      <c r="B33" s="307"/>
      <c r="C33" s="306"/>
      <c r="D33" s="320"/>
      <c r="E33" s="306"/>
      <c r="F33" s="320"/>
    </row>
    <row r="34" spans="1:6" x14ac:dyDescent="0.35">
      <c r="A34" s="331" t="s">
        <v>511</v>
      </c>
      <c r="B34" s="307"/>
      <c r="C34" s="306"/>
      <c r="D34" s="320">
        <v>0</v>
      </c>
      <c r="E34" s="306"/>
      <c r="F34" s="320">
        <v>0</v>
      </c>
    </row>
    <row r="35" spans="1:6" x14ac:dyDescent="0.35">
      <c r="A35" s="295" t="s">
        <v>510</v>
      </c>
      <c r="B35" s="307"/>
      <c r="C35" s="306"/>
      <c r="D35" s="302">
        <v>0</v>
      </c>
      <c r="E35" s="306"/>
      <c r="F35" s="302">
        <v>0</v>
      </c>
    </row>
    <row r="36" spans="1:6" x14ac:dyDescent="0.35">
      <c r="A36" s="295" t="s">
        <v>509</v>
      </c>
      <c r="B36" s="307"/>
      <c r="C36" s="306" t="s">
        <v>504</v>
      </c>
      <c r="D36" s="302">
        <v>0</v>
      </c>
      <c r="E36" s="306" t="s">
        <v>504</v>
      </c>
      <c r="F36" s="302">
        <v>0</v>
      </c>
    </row>
    <row r="37" spans="1:6" x14ac:dyDescent="0.35">
      <c r="A37" s="306" t="s">
        <v>508</v>
      </c>
      <c r="B37" s="307"/>
      <c r="D37" s="299"/>
      <c r="F37" s="299"/>
    </row>
    <row r="38" spans="1:6" x14ac:dyDescent="0.35">
      <c r="A38" s="306" t="s">
        <v>507</v>
      </c>
      <c r="B38" s="307"/>
      <c r="C38" s="306" t="s">
        <v>504</v>
      </c>
      <c r="D38" s="298">
        <v>15923699.43999999</v>
      </c>
      <c r="E38" s="306" t="s">
        <v>504</v>
      </c>
      <c r="F38" s="298">
        <v>33010812.370000001</v>
      </c>
    </row>
    <row r="39" spans="1:6" x14ac:dyDescent="0.35">
      <c r="A39" s="306" t="s">
        <v>506</v>
      </c>
      <c r="B39" s="307"/>
      <c r="D39" s="304">
        <v>89686616.790000007</v>
      </c>
      <c r="F39" s="304">
        <v>56675804.420000002</v>
      </c>
    </row>
    <row r="40" spans="1:6" ht="16" thickBot="1" x14ac:dyDescent="0.4">
      <c r="A40" s="306" t="s">
        <v>505</v>
      </c>
      <c r="B40" s="296"/>
      <c r="C40" s="306" t="s">
        <v>504</v>
      </c>
      <c r="D40" s="305">
        <v>105610316.22999999</v>
      </c>
      <c r="E40" s="306" t="s">
        <v>504</v>
      </c>
      <c r="F40" s="305">
        <v>89686616.790000007</v>
      </c>
    </row>
    <row r="41" spans="1:6" ht="16" thickTop="1" x14ac:dyDescent="0.35">
      <c r="A41" s="306"/>
      <c r="B41" s="296"/>
      <c r="C41" s="306"/>
      <c r="D41" s="320"/>
      <c r="E41" s="306"/>
      <c r="F41" s="320"/>
    </row>
  </sheetData>
  <sheetProtection algorithmName="SHA-512" hashValue="QsgK3qD/zevdxeEbNH2Zao4ypnD5YMo19WxV2hweaqa0WI+B+EVzpJfEb2wdvjnP+4XeyEuBoQh0jsOf3GTHEw==" saltValue="OLSufrSxoalinAY3AYp6DQ==" spinCount="100000" sheet="1" objects="1" scenarios="1" selectLockedCells="1" selectUnlockedCells="1"/>
  <mergeCells count="6">
    <mergeCell ref="A1:F1"/>
    <mergeCell ref="A2:F2"/>
    <mergeCell ref="A3:F3"/>
    <mergeCell ref="A4:F4"/>
    <mergeCell ref="C6:D6"/>
    <mergeCell ref="E6:F6"/>
  </mergeCells>
  <hyperlinks>
    <hyperlink ref="A2:F2" r:id="rId1" display="CONSOLIDATED BALANCE SHEET" xr:uid="{00000000-0004-0000-1000-000000000000}"/>
    <hyperlink ref="C2:D2" r:id="rId2" display="CONSOLIDATED BALANCE SHEET" xr:uid="{00000000-0004-0000-1000-000001000000}"/>
  </hyperlinks>
  <printOptions horizontalCentered="1"/>
  <pageMargins left="1.49606299212598" right="0.98425196850393704" top="0.98425196850393704" bottom="0.98425196850393704" header="0.23622047244094499" footer="0.31496062992126"/>
  <pageSetup scale="66" fitToHeight="0" orientation="portrait" horizontalDpi="360" verticalDpi="360" r:id="rId3"/>
  <headerFooter scaleWithDoc="0">
    <oddHeader xml:space="preserve">&amp;R&amp;"Times New Roman,Regular"&amp;12Annex E-3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
  <sheetViews>
    <sheetView zoomScale="75" zoomScaleNormal="75" workbookViewId="0">
      <selection sqref="A1:A1048576"/>
    </sheetView>
  </sheetViews>
  <sheetFormatPr defaultRowHeight="12.5" x14ac:dyDescent="0.25"/>
  <cols>
    <col min="11" max="11" width="10.1796875" customWidth="1"/>
  </cols>
  <sheetData/>
  <sheetProtection algorithmName="SHA-512" hashValue="XNrPQbPO0aoZ7CVhYGB1uGcrHvYft09gByjdq5Z7wHymDGj+toTCZcYq7/dXJ869n3xa6GXMz2QNVI50Dn9ykg==" saltValue="bXLzn2czvXDL6o32F0Nviw==" spinCount="100000" sheet="1" objects="1" scenarios="1" selectLockedCells="1" selectUnlockedCells="1"/>
  <pageMargins left="1.1599999999999999" right="0.7" top="0.75" bottom="0.9" header="0.3" footer="0.3"/>
  <pageSetup paperSize="9" scale="84" fitToHeight="0" orientation="portrait" horizontalDpi="1200" verticalDpi="1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32"/>
  <sheetViews>
    <sheetView zoomScale="90" zoomScaleNormal="90" zoomScaleSheetLayoutView="100" workbookViewId="0"/>
  </sheetViews>
  <sheetFormatPr defaultColWidth="9.1796875" defaultRowHeight="14" x14ac:dyDescent="0.3"/>
  <cols>
    <col min="1" max="2" width="9.1796875" style="165"/>
    <col min="3" max="3" width="7.1796875" style="165" customWidth="1"/>
    <col min="4" max="4" width="12.1796875" style="165" customWidth="1"/>
    <col min="5" max="5" width="5.81640625" style="165" customWidth="1"/>
    <col min="6" max="6" width="14.453125" style="165" customWidth="1"/>
    <col min="7" max="7" width="6.7265625" style="165" customWidth="1"/>
    <col min="8" max="8" width="10.7265625" style="165" customWidth="1"/>
    <col min="9" max="9" width="3.7265625" style="165" customWidth="1"/>
    <col min="10" max="10" width="11.7265625" style="165" customWidth="1"/>
    <col min="11" max="16384" width="9.1796875" style="165"/>
  </cols>
  <sheetData>
    <row r="1" spans="1:10" ht="15.5" x14ac:dyDescent="0.35">
      <c r="A1" s="162"/>
      <c r="B1" s="163"/>
      <c r="C1" s="163"/>
      <c r="D1" s="163"/>
      <c r="E1" s="163"/>
      <c r="F1" s="163"/>
      <c r="G1" s="163"/>
      <c r="H1" s="163"/>
      <c r="I1" s="163"/>
      <c r="J1" s="164"/>
    </row>
    <row r="2" spans="1:10" x14ac:dyDescent="0.3">
      <c r="A2" s="379"/>
      <c r="B2" s="380"/>
      <c r="C2" s="380"/>
      <c r="D2" s="380"/>
      <c r="E2" s="380"/>
      <c r="F2" s="380"/>
      <c r="G2" s="380"/>
      <c r="H2" s="380"/>
      <c r="I2" s="380"/>
      <c r="J2" s="381"/>
    </row>
    <row r="3" spans="1:10" x14ac:dyDescent="0.3">
      <c r="A3" s="377" t="s">
        <v>1003</v>
      </c>
      <c r="B3" s="378"/>
      <c r="C3" s="378"/>
      <c r="D3" s="378"/>
      <c r="E3" s="378"/>
      <c r="F3" s="378"/>
      <c r="G3" s="378"/>
      <c r="H3" s="378"/>
      <c r="I3" s="378"/>
      <c r="J3" s="382"/>
    </row>
    <row r="4" spans="1:10" x14ac:dyDescent="0.3">
      <c r="A4" s="377" t="s">
        <v>1040</v>
      </c>
      <c r="B4" s="378"/>
      <c r="C4" s="378"/>
      <c r="D4" s="378"/>
      <c r="E4" s="378"/>
      <c r="F4" s="378"/>
      <c r="G4" s="378"/>
      <c r="H4" s="378"/>
      <c r="I4" s="378"/>
      <c r="J4" s="382"/>
    </row>
    <row r="5" spans="1:10" x14ac:dyDescent="0.3">
      <c r="A5" s="377" t="s">
        <v>1041</v>
      </c>
      <c r="B5" s="378"/>
      <c r="C5" s="378"/>
      <c r="D5" s="378"/>
      <c r="E5" s="378"/>
      <c r="F5" s="378"/>
      <c r="G5" s="378"/>
      <c r="H5" s="378"/>
      <c r="I5" s="378"/>
      <c r="J5" s="382"/>
    </row>
    <row r="6" spans="1:10" x14ac:dyDescent="0.3">
      <c r="A6" s="377" t="s">
        <v>1088</v>
      </c>
      <c r="B6" s="378"/>
      <c r="C6" s="378"/>
      <c r="D6" s="378"/>
      <c r="E6" s="378"/>
      <c r="F6" s="378"/>
      <c r="G6" s="378"/>
      <c r="H6" s="378"/>
      <c r="I6" s="378"/>
      <c r="J6" s="382"/>
    </row>
    <row r="7" spans="1:10" x14ac:dyDescent="0.3">
      <c r="A7" s="377"/>
      <c r="B7" s="378"/>
      <c r="C7" s="378"/>
      <c r="D7" s="378"/>
      <c r="E7" s="378"/>
      <c r="F7" s="378"/>
      <c r="G7" s="378"/>
      <c r="H7" s="378"/>
      <c r="I7" s="378"/>
      <c r="J7" s="166"/>
    </row>
    <row r="8" spans="1:10" x14ac:dyDescent="0.3">
      <c r="A8" s="364" t="s">
        <v>1042</v>
      </c>
      <c r="B8" s="365"/>
      <c r="C8" s="365"/>
      <c r="D8" s="365"/>
      <c r="E8" s="365"/>
      <c r="F8" s="167" t="s">
        <v>1043</v>
      </c>
      <c r="G8" s="167"/>
      <c r="H8" s="167"/>
      <c r="I8" s="167"/>
      <c r="J8" s="168"/>
    </row>
    <row r="9" spans="1:10" x14ac:dyDescent="0.3">
      <c r="A9" s="169" t="s">
        <v>1044</v>
      </c>
      <c r="B9" s="167"/>
      <c r="C9" s="167"/>
      <c r="D9" s="167"/>
      <c r="E9" s="170" t="s">
        <v>1045</v>
      </c>
      <c r="F9" s="167"/>
      <c r="G9" s="167"/>
      <c r="H9" s="167"/>
      <c r="I9" s="167"/>
      <c r="J9" s="168"/>
    </row>
    <row r="10" spans="1:10" x14ac:dyDescent="0.3">
      <c r="A10" s="169" t="s">
        <v>1046</v>
      </c>
      <c r="B10" s="167"/>
      <c r="C10" s="167"/>
      <c r="D10" s="167"/>
      <c r="E10" s="170" t="s">
        <v>1045</v>
      </c>
      <c r="F10" s="171" t="s">
        <v>1047</v>
      </c>
      <c r="G10" s="171"/>
      <c r="H10" s="171"/>
      <c r="I10" s="171"/>
      <c r="J10" s="172"/>
    </row>
    <row r="11" spans="1:10" x14ac:dyDescent="0.3">
      <c r="A11" s="169" t="s">
        <v>1048</v>
      </c>
      <c r="B11" s="167"/>
      <c r="C11" s="167"/>
      <c r="D11" s="167"/>
      <c r="E11" s="170" t="s">
        <v>1045</v>
      </c>
      <c r="F11" s="171" t="s">
        <v>1049</v>
      </c>
      <c r="G11" s="171"/>
      <c r="H11" s="171"/>
      <c r="I11" s="171"/>
      <c r="J11" s="172"/>
    </row>
    <row r="12" spans="1:10" x14ac:dyDescent="0.3">
      <c r="A12" s="169" t="s">
        <v>1050</v>
      </c>
      <c r="B12" s="167"/>
      <c r="C12" s="167"/>
      <c r="D12" s="167"/>
      <c r="E12" s="170" t="s">
        <v>1045</v>
      </c>
      <c r="F12" s="171" t="s">
        <v>1051</v>
      </c>
      <c r="G12" s="171"/>
      <c r="H12" s="171"/>
      <c r="I12" s="171"/>
      <c r="J12" s="172"/>
    </row>
    <row r="13" spans="1:10" x14ac:dyDescent="0.3">
      <c r="A13" s="169" t="s">
        <v>1052</v>
      </c>
      <c r="B13" s="167"/>
      <c r="C13" s="167"/>
      <c r="D13" s="167"/>
      <c r="E13" s="170" t="s">
        <v>1045</v>
      </c>
      <c r="F13" s="171" t="s">
        <v>1053</v>
      </c>
      <c r="G13" s="171"/>
      <c r="H13" s="171"/>
      <c r="I13" s="171"/>
      <c r="J13" s="172"/>
    </row>
    <row r="14" spans="1:10" x14ac:dyDescent="0.3">
      <c r="A14" s="169" t="s">
        <v>1054</v>
      </c>
      <c r="B14" s="167"/>
      <c r="C14" s="167"/>
      <c r="D14" s="167"/>
      <c r="E14" s="170" t="s">
        <v>1045</v>
      </c>
      <c r="F14" s="173">
        <v>36225580</v>
      </c>
      <c r="G14" s="171"/>
      <c r="H14" s="167" t="s">
        <v>1055</v>
      </c>
      <c r="I14" s="171"/>
      <c r="J14" s="172"/>
    </row>
    <row r="15" spans="1:10" x14ac:dyDescent="0.3">
      <c r="A15" s="169" t="s">
        <v>1056</v>
      </c>
      <c r="B15" s="167"/>
      <c r="C15" s="167"/>
      <c r="D15" s="167"/>
      <c r="E15" s="170" t="s">
        <v>1045</v>
      </c>
      <c r="F15" s="366" t="s">
        <v>1057</v>
      </c>
      <c r="G15" s="367"/>
      <c r="H15" s="171"/>
      <c r="I15" s="171"/>
      <c r="J15" s="172"/>
    </row>
    <row r="16" spans="1:10" x14ac:dyDescent="0.3">
      <c r="A16" s="174" t="s">
        <v>1058</v>
      </c>
      <c r="B16" s="175"/>
      <c r="C16" s="175"/>
      <c r="D16" s="175"/>
      <c r="E16" s="176" t="s">
        <v>1045</v>
      </c>
      <c r="F16" s="177" t="s">
        <v>1059</v>
      </c>
      <c r="G16" s="177"/>
      <c r="H16" s="177"/>
      <c r="I16" s="177"/>
      <c r="J16" s="178"/>
    </row>
    <row r="17" spans="1:10" x14ac:dyDescent="0.3">
      <c r="A17" s="179"/>
      <c r="B17" s="180"/>
      <c r="C17" s="180"/>
      <c r="D17" s="180"/>
      <c r="E17" s="180"/>
      <c r="F17" s="181"/>
      <c r="G17" s="181"/>
      <c r="H17" s="181"/>
      <c r="I17" s="181"/>
      <c r="J17" s="182"/>
    </row>
    <row r="18" spans="1:10" x14ac:dyDescent="0.3">
      <c r="A18" s="169" t="s">
        <v>1060</v>
      </c>
      <c r="B18" s="167"/>
      <c r="C18" s="167"/>
      <c r="D18" s="167"/>
      <c r="E18" s="170" t="s">
        <v>1045</v>
      </c>
      <c r="F18" s="183">
        <v>0.03</v>
      </c>
      <c r="G18" s="167" t="s">
        <v>1061</v>
      </c>
      <c r="H18" s="171"/>
      <c r="I18" s="368">
        <v>9988795.1300000008</v>
      </c>
      <c r="J18" s="369"/>
    </row>
    <row r="19" spans="1:10" x14ac:dyDescent="0.3">
      <c r="A19" s="169" t="s">
        <v>1062</v>
      </c>
      <c r="B19" s="167"/>
      <c r="C19" s="167"/>
      <c r="D19" s="167"/>
      <c r="E19" s="170" t="s">
        <v>1045</v>
      </c>
      <c r="F19" s="171"/>
      <c r="G19" s="171"/>
      <c r="H19" s="171"/>
      <c r="I19" s="171"/>
      <c r="J19" s="172"/>
    </row>
    <row r="20" spans="1:10" x14ac:dyDescent="0.3">
      <c r="A20" s="184" t="s">
        <v>1063</v>
      </c>
      <c r="B20" s="185"/>
      <c r="C20" s="185"/>
      <c r="D20" s="185"/>
      <c r="E20" s="185"/>
      <c r="F20" s="186"/>
      <c r="G20" s="186"/>
      <c r="H20" s="187"/>
      <c r="I20" s="187"/>
      <c r="J20" s="188"/>
    </row>
    <row r="21" spans="1:10" x14ac:dyDescent="0.3">
      <c r="A21" s="370" t="s">
        <v>1064</v>
      </c>
      <c r="B21" s="371"/>
      <c r="C21" s="371"/>
      <c r="D21" s="371"/>
      <c r="E21" s="371"/>
      <c r="F21" s="371"/>
      <c r="G21" s="371"/>
      <c r="H21" s="371"/>
      <c r="I21" s="371"/>
      <c r="J21" s="372"/>
    </row>
    <row r="22" spans="1:10" x14ac:dyDescent="0.3">
      <c r="A22" s="189" t="s">
        <v>1065</v>
      </c>
      <c r="B22" s="190"/>
      <c r="C22" s="190"/>
      <c r="D22" s="190"/>
      <c r="E22" s="191"/>
      <c r="F22" s="192"/>
      <c r="G22" s="192"/>
      <c r="H22" s="192"/>
      <c r="I22" s="373">
        <v>14763000</v>
      </c>
      <c r="J22" s="374"/>
    </row>
    <row r="23" spans="1:10" x14ac:dyDescent="0.3">
      <c r="A23" s="189" t="s">
        <v>1066</v>
      </c>
      <c r="B23" s="190"/>
      <c r="C23" s="190"/>
      <c r="D23" s="190"/>
      <c r="E23" s="191"/>
      <c r="F23" s="192"/>
      <c r="G23" s="192"/>
      <c r="H23" s="192"/>
      <c r="I23" s="375">
        <v>21462580</v>
      </c>
      <c r="J23" s="376"/>
    </row>
    <row r="24" spans="1:10" x14ac:dyDescent="0.3">
      <c r="A24" s="174" t="s">
        <v>1067</v>
      </c>
      <c r="B24" s="175"/>
      <c r="C24" s="175"/>
      <c r="D24" s="175"/>
      <c r="E24" s="175"/>
      <c r="F24" s="177" t="s">
        <v>1068</v>
      </c>
      <c r="G24" s="177"/>
      <c r="H24" s="177"/>
      <c r="I24" s="177"/>
      <c r="J24" s="178"/>
    </row>
    <row r="25" spans="1:10" x14ac:dyDescent="0.3">
      <c r="A25" s="193"/>
      <c r="B25" s="194"/>
      <c r="C25" s="194"/>
      <c r="D25" s="194"/>
      <c r="E25" s="194"/>
      <c r="F25" s="195"/>
      <c r="G25" s="195"/>
      <c r="H25" s="195"/>
      <c r="I25" s="195"/>
      <c r="J25" s="196"/>
    </row>
    <row r="26" spans="1:10" x14ac:dyDescent="0.3">
      <c r="A26" s="197" t="s">
        <v>1069</v>
      </c>
      <c r="B26" s="198"/>
      <c r="C26" s="198"/>
      <c r="D26" s="198"/>
      <c r="E26" s="199" t="s">
        <v>1045</v>
      </c>
      <c r="F26" s="362" t="s">
        <v>1070</v>
      </c>
      <c r="G26" s="362"/>
      <c r="H26" s="362"/>
      <c r="I26" s="362"/>
      <c r="J26" s="200"/>
    </row>
    <row r="27" spans="1:10" ht="15" customHeight="1" x14ac:dyDescent="0.3">
      <c r="A27" s="201"/>
      <c r="B27" s="202"/>
      <c r="C27" s="202"/>
      <c r="D27" s="202"/>
      <c r="E27" s="203" t="s">
        <v>1045</v>
      </c>
      <c r="F27" s="204"/>
      <c r="G27" s="204"/>
      <c r="H27" s="204"/>
      <c r="I27" s="204"/>
      <c r="J27" s="205"/>
    </row>
    <row r="28" spans="1:10" x14ac:dyDescent="0.3">
      <c r="A28" s="206" t="s">
        <v>1071</v>
      </c>
      <c r="B28" s="207"/>
      <c r="C28" s="207"/>
      <c r="D28" s="207"/>
      <c r="E28" s="208" t="s">
        <v>1045</v>
      </c>
      <c r="F28" s="363">
        <v>5266800.51</v>
      </c>
      <c r="G28" s="363">
        <v>18213914.109999999</v>
      </c>
      <c r="H28" s="363">
        <v>18213914.109999999</v>
      </c>
      <c r="I28" s="209"/>
      <c r="J28" s="196"/>
    </row>
    <row r="29" spans="1:10" x14ac:dyDescent="0.3">
      <c r="A29" s="169" t="s">
        <v>1072</v>
      </c>
      <c r="B29" s="167"/>
      <c r="C29" s="167"/>
      <c r="D29" s="167"/>
      <c r="E29" s="170" t="s">
        <v>1045</v>
      </c>
      <c r="F29" s="167" t="s">
        <v>1073</v>
      </c>
      <c r="G29" s="167"/>
      <c r="H29" s="167" t="s">
        <v>1074</v>
      </c>
      <c r="I29" s="171"/>
      <c r="J29" s="172"/>
    </row>
    <row r="30" spans="1:10" x14ac:dyDescent="0.3">
      <c r="A30" s="210" t="s">
        <v>1075</v>
      </c>
      <c r="B30" s="211"/>
      <c r="C30" s="211"/>
      <c r="D30" s="211"/>
      <c r="E30" s="211"/>
      <c r="F30" s="212"/>
      <c r="G30" s="212"/>
      <c r="H30" s="212"/>
      <c r="I30" s="212"/>
      <c r="J30" s="213"/>
    </row>
    <row r="31" spans="1:10" x14ac:dyDescent="0.3">
      <c r="A31" s="209"/>
      <c r="B31" s="209"/>
      <c r="C31" s="209"/>
      <c r="D31" s="209"/>
      <c r="E31" s="209"/>
      <c r="F31" s="209"/>
      <c r="G31" s="209"/>
      <c r="H31" s="209"/>
      <c r="I31" s="209"/>
      <c r="J31" s="209"/>
    </row>
    <row r="32" spans="1:10" x14ac:dyDescent="0.3">
      <c r="A32" s="390"/>
      <c r="B32" s="390"/>
      <c r="C32" s="390"/>
      <c r="D32" s="390"/>
      <c r="E32" s="390"/>
      <c r="F32" s="390"/>
      <c r="G32" s="390"/>
      <c r="H32" s="390"/>
      <c r="I32" s="390"/>
      <c r="J32" s="390"/>
    </row>
  </sheetData>
  <sheetProtection algorithmName="SHA-512" hashValue="8NRbtmrFqUa4DQwkHn0i1QDmgkh5/YneLimG1xAfLmXFbIK/Rfl3ohoSKHB/5mbfjQLhK3uKPhon7NRUDlpUhg==" saltValue="ajqeO6zTWQxk3HbhWk2njA==" spinCount="100000" sheet="1" objects="1" scenarios="1" selectLockedCells="1" selectUnlockedCells="1"/>
  <mergeCells count="14">
    <mergeCell ref="A7:I7"/>
    <mergeCell ref="A2:J2"/>
    <mergeCell ref="A3:J3"/>
    <mergeCell ref="A4:J4"/>
    <mergeCell ref="A5:J5"/>
    <mergeCell ref="A6:J6"/>
    <mergeCell ref="F26:I26"/>
    <mergeCell ref="F28:H28"/>
    <mergeCell ref="A8:E8"/>
    <mergeCell ref="F15:G15"/>
    <mergeCell ref="I18:J18"/>
    <mergeCell ref="A21:J21"/>
    <mergeCell ref="I22:J22"/>
    <mergeCell ref="I23:J23"/>
  </mergeCells>
  <pageMargins left="1.49606299212598" right="0.98425196850393704" top="0.98425196850393704" bottom="0.98425196850393704" header="0.31496062992126" footer="0.31496062992126"/>
  <pageSetup scale="85" fitToHeight="0" orientation="portrait" r:id="rId1"/>
  <headerFooter>
    <oddHeader>&amp;L1&amp;RAnnex G-1</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J32"/>
  <sheetViews>
    <sheetView showGridLines="0" zoomScale="90" zoomScaleNormal="90" zoomScaleSheetLayoutView="55" workbookViewId="0"/>
  </sheetViews>
  <sheetFormatPr defaultColWidth="9.1796875" defaultRowHeight="14" x14ac:dyDescent="0.3"/>
  <cols>
    <col min="1" max="2" width="9.1796875" style="165"/>
    <col min="3" max="3" width="7.1796875" style="165" customWidth="1"/>
    <col min="4" max="4" width="12.1796875" style="165" customWidth="1"/>
    <col min="5" max="5" width="5.81640625" style="165" customWidth="1"/>
    <col min="6" max="6" width="14.453125" style="165" customWidth="1"/>
    <col min="7" max="7" width="6.7265625" style="165" customWidth="1"/>
    <col min="8" max="8" width="10.7265625" style="165" customWidth="1"/>
    <col min="9" max="9" width="3.7265625" style="165" customWidth="1"/>
    <col min="10" max="10" width="11.7265625" style="165" customWidth="1"/>
    <col min="11" max="16384" width="9.1796875" style="165"/>
  </cols>
  <sheetData>
    <row r="1" spans="1:10" ht="15.5" x14ac:dyDescent="0.35">
      <c r="A1" s="162"/>
      <c r="B1" s="163"/>
      <c r="C1" s="163"/>
      <c r="D1" s="163"/>
      <c r="E1" s="163"/>
      <c r="F1" s="163"/>
      <c r="G1" s="163"/>
      <c r="H1" s="163"/>
      <c r="I1" s="163"/>
      <c r="J1" s="164"/>
    </row>
    <row r="2" spans="1:10" x14ac:dyDescent="0.3">
      <c r="A2" s="379"/>
      <c r="B2" s="380"/>
      <c r="C2" s="380"/>
      <c r="D2" s="380"/>
      <c r="E2" s="380"/>
      <c r="F2" s="380"/>
      <c r="G2" s="380"/>
      <c r="H2" s="380"/>
      <c r="I2" s="380"/>
      <c r="J2" s="381"/>
    </row>
    <row r="3" spans="1:10" x14ac:dyDescent="0.3">
      <c r="A3" s="377" t="s">
        <v>1003</v>
      </c>
      <c r="B3" s="378"/>
      <c r="C3" s="378"/>
      <c r="D3" s="378"/>
      <c r="E3" s="378"/>
      <c r="F3" s="378"/>
      <c r="G3" s="378"/>
      <c r="H3" s="378"/>
      <c r="I3" s="378"/>
      <c r="J3" s="382"/>
    </row>
    <row r="4" spans="1:10" x14ac:dyDescent="0.3">
      <c r="A4" s="377" t="s">
        <v>1040</v>
      </c>
      <c r="B4" s="378"/>
      <c r="C4" s="378"/>
      <c r="D4" s="378"/>
      <c r="E4" s="378"/>
      <c r="F4" s="378"/>
      <c r="G4" s="378"/>
      <c r="H4" s="378"/>
      <c r="I4" s="378"/>
      <c r="J4" s="382"/>
    </row>
    <row r="5" spans="1:10" x14ac:dyDescent="0.3">
      <c r="A5" s="377" t="s">
        <v>1041</v>
      </c>
      <c r="B5" s="378"/>
      <c r="C5" s="378"/>
      <c r="D5" s="378"/>
      <c r="E5" s="378"/>
      <c r="F5" s="378"/>
      <c r="G5" s="378"/>
      <c r="H5" s="378"/>
      <c r="I5" s="378"/>
      <c r="J5" s="382"/>
    </row>
    <row r="6" spans="1:10" x14ac:dyDescent="0.3">
      <c r="A6" s="377" t="s">
        <v>1088</v>
      </c>
      <c r="B6" s="378"/>
      <c r="C6" s="378"/>
      <c r="D6" s="378"/>
      <c r="E6" s="378"/>
      <c r="F6" s="378"/>
      <c r="G6" s="378"/>
      <c r="H6" s="378"/>
      <c r="I6" s="378"/>
      <c r="J6" s="382"/>
    </row>
    <row r="7" spans="1:10" x14ac:dyDescent="0.3">
      <c r="A7" s="377"/>
      <c r="B7" s="378"/>
      <c r="C7" s="378"/>
      <c r="D7" s="378"/>
      <c r="E7" s="378"/>
      <c r="F7" s="378"/>
      <c r="G7" s="378"/>
      <c r="H7" s="378"/>
      <c r="I7" s="378"/>
      <c r="J7" s="166"/>
    </row>
    <row r="8" spans="1:10" ht="27.65" customHeight="1" x14ac:dyDescent="0.3">
      <c r="A8" s="214" t="s">
        <v>1076</v>
      </c>
      <c r="B8" s="215"/>
      <c r="C8" s="167"/>
      <c r="D8" s="167"/>
      <c r="E8" s="216" t="s">
        <v>1045</v>
      </c>
      <c r="F8" s="383" t="s">
        <v>1077</v>
      </c>
      <c r="G8" s="383"/>
      <c r="H8" s="383"/>
      <c r="I8" s="383"/>
      <c r="J8" s="384"/>
    </row>
    <row r="9" spans="1:10" x14ac:dyDescent="0.3">
      <c r="A9" s="169" t="s">
        <v>1044</v>
      </c>
      <c r="B9" s="167"/>
      <c r="C9" s="167"/>
      <c r="D9" s="167"/>
      <c r="E9" s="170" t="s">
        <v>1045</v>
      </c>
      <c r="F9" s="167" t="s">
        <v>1078</v>
      </c>
      <c r="G9" s="167"/>
      <c r="H9" s="167"/>
      <c r="I9" s="167"/>
      <c r="J9" s="168"/>
    </row>
    <row r="10" spans="1:10" x14ac:dyDescent="0.3">
      <c r="A10" s="169" t="s">
        <v>1046</v>
      </c>
      <c r="B10" s="167"/>
      <c r="C10" s="167"/>
      <c r="D10" s="167"/>
      <c r="E10" s="170" t="s">
        <v>1045</v>
      </c>
      <c r="F10" s="171" t="s">
        <v>1047</v>
      </c>
      <c r="G10" s="171"/>
      <c r="H10" s="171"/>
      <c r="I10" s="171"/>
      <c r="J10" s="172"/>
    </row>
    <row r="11" spans="1:10" x14ac:dyDescent="0.3">
      <c r="A11" s="169" t="s">
        <v>1048</v>
      </c>
      <c r="B11" s="167"/>
      <c r="C11" s="167"/>
      <c r="D11" s="167"/>
      <c r="E11" s="170" t="s">
        <v>1045</v>
      </c>
      <c r="F11" s="171" t="s">
        <v>1079</v>
      </c>
      <c r="G11" s="171"/>
      <c r="H11" s="171"/>
      <c r="I11" s="171"/>
      <c r="J11" s="172"/>
    </row>
    <row r="12" spans="1:10" x14ac:dyDescent="0.3">
      <c r="A12" s="169" t="s">
        <v>1050</v>
      </c>
      <c r="B12" s="167"/>
      <c r="C12" s="167"/>
      <c r="D12" s="167"/>
      <c r="E12" s="170" t="s">
        <v>1045</v>
      </c>
      <c r="F12" s="171" t="s">
        <v>1080</v>
      </c>
      <c r="G12" s="171"/>
      <c r="H12" s="171"/>
      <c r="I12" s="171"/>
      <c r="J12" s="172"/>
    </row>
    <row r="13" spans="1:10" x14ac:dyDescent="0.3">
      <c r="A13" s="169" t="s">
        <v>1052</v>
      </c>
      <c r="B13" s="167"/>
      <c r="C13" s="167"/>
      <c r="D13" s="167"/>
      <c r="E13" s="170" t="s">
        <v>1045</v>
      </c>
      <c r="F13" s="171" t="s">
        <v>1081</v>
      </c>
      <c r="G13" s="171"/>
      <c r="H13" s="171"/>
      <c r="I13" s="171"/>
      <c r="J13" s="172"/>
    </row>
    <row r="14" spans="1:10" x14ac:dyDescent="0.3">
      <c r="A14" s="169" t="s">
        <v>1054</v>
      </c>
      <c r="B14" s="167"/>
      <c r="C14" s="167"/>
      <c r="D14" s="167"/>
      <c r="E14" s="170" t="s">
        <v>1045</v>
      </c>
      <c r="F14" s="173">
        <v>49444444.439999998</v>
      </c>
      <c r="G14" s="171"/>
      <c r="H14" s="167" t="s">
        <v>1082</v>
      </c>
      <c r="I14" s="171"/>
      <c r="J14" s="172"/>
    </row>
    <row r="15" spans="1:10" x14ac:dyDescent="0.3">
      <c r="A15" s="169" t="s">
        <v>1056</v>
      </c>
      <c r="B15" s="167"/>
      <c r="C15" s="167"/>
      <c r="D15" s="167"/>
      <c r="E15" s="170" t="s">
        <v>1045</v>
      </c>
      <c r="F15" s="366" t="s">
        <v>1083</v>
      </c>
      <c r="G15" s="367"/>
      <c r="H15" s="171"/>
      <c r="I15" s="171"/>
      <c r="J15" s="172"/>
    </row>
    <row r="16" spans="1:10" x14ac:dyDescent="0.3">
      <c r="A16" s="174" t="s">
        <v>1058</v>
      </c>
      <c r="B16" s="175"/>
      <c r="C16" s="175"/>
      <c r="D16" s="175"/>
      <c r="E16" s="176" t="s">
        <v>1045</v>
      </c>
      <c r="F16" s="177" t="s">
        <v>1059</v>
      </c>
      <c r="G16" s="177"/>
      <c r="H16" s="177"/>
      <c r="I16" s="177"/>
      <c r="J16" s="178"/>
    </row>
    <row r="17" spans="1:10" x14ac:dyDescent="0.3">
      <c r="A17" s="179"/>
      <c r="B17" s="180"/>
      <c r="C17" s="180"/>
      <c r="D17" s="180"/>
      <c r="E17" s="180"/>
      <c r="F17" s="181"/>
      <c r="G17" s="181"/>
      <c r="H17" s="181"/>
      <c r="I17" s="181"/>
      <c r="J17" s="182"/>
    </row>
    <row r="18" spans="1:10" x14ac:dyDescent="0.3">
      <c r="A18" s="169" t="s">
        <v>1060</v>
      </c>
      <c r="B18" s="167"/>
      <c r="C18" s="167"/>
      <c r="D18" s="167"/>
      <c r="E18" s="170" t="s">
        <v>1045</v>
      </c>
      <c r="F18" s="183">
        <v>0.06</v>
      </c>
      <c r="G18" s="167" t="s">
        <v>1061</v>
      </c>
      <c r="H18" s="171"/>
      <c r="I18" s="368">
        <v>22448610.949999999</v>
      </c>
      <c r="J18" s="369"/>
    </row>
    <row r="19" spans="1:10" x14ac:dyDescent="0.3">
      <c r="A19" s="169" t="s">
        <v>1084</v>
      </c>
      <c r="B19" s="167"/>
      <c r="C19" s="167"/>
      <c r="D19" s="167"/>
      <c r="E19" s="170" t="s">
        <v>1045</v>
      </c>
      <c r="F19" s="171" t="s">
        <v>1085</v>
      </c>
      <c r="G19" s="171"/>
      <c r="H19" s="171"/>
      <c r="I19" s="171"/>
      <c r="J19" s="172"/>
    </row>
    <row r="20" spans="1:10" x14ac:dyDescent="0.3">
      <c r="A20" s="184" t="s">
        <v>1063</v>
      </c>
      <c r="B20" s="185"/>
      <c r="C20" s="185"/>
      <c r="D20" s="185"/>
      <c r="E20" s="185"/>
      <c r="F20" s="186"/>
      <c r="G20" s="186"/>
      <c r="H20" s="187"/>
      <c r="I20" s="187"/>
      <c r="J20" s="188"/>
    </row>
    <row r="21" spans="1:10" x14ac:dyDescent="0.3">
      <c r="A21" s="370" t="s">
        <v>1079</v>
      </c>
      <c r="B21" s="371"/>
      <c r="C21" s="371"/>
      <c r="D21" s="371"/>
      <c r="E21" s="371"/>
      <c r="F21" s="371"/>
      <c r="G21" s="371"/>
      <c r="H21" s="371"/>
      <c r="I21" s="371"/>
      <c r="J21" s="372"/>
    </row>
    <row r="22" spans="1:10" x14ac:dyDescent="0.3">
      <c r="A22" s="217" t="s">
        <v>1086</v>
      </c>
      <c r="B22" s="190"/>
      <c r="C22" s="190"/>
      <c r="D22" s="190"/>
      <c r="E22" s="191"/>
      <c r="F22" s="192"/>
      <c r="G22" s="192"/>
      <c r="H22" s="192"/>
      <c r="I22" s="373"/>
      <c r="J22" s="374"/>
    </row>
    <row r="23" spans="1:10" x14ac:dyDescent="0.3">
      <c r="A23" s="217" t="s">
        <v>1087</v>
      </c>
      <c r="B23" s="190"/>
      <c r="C23" s="190"/>
      <c r="D23" s="190"/>
      <c r="E23" s="191"/>
      <c r="F23" s="192"/>
      <c r="G23" s="192"/>
      <c r="H23" s="192"/>
      <c r="I23" s="375"/>
      <c r="J23" s="376"/>
    </row>
    <row r="24" spans="1:10" x14ac:dyDescent="0.3">
      <c r="A24" s="174" t="s">
        <v>1067</v>
      </c>
      <c r="B24" s="175"/>
      <c r="C24" s="175"/>
      <c r="D24" s="175"/>
      <c r="E24" s="175"/>
      <c r="F24" s="177" t="s">
        <v>108</v>
      </c>
      <c r="G24" s="177"/>
      <c r="H24" s="177"/>
      <c r="I24" s="177"/>
      <c r="J24" s="178"/>
    </row>
    <row r="25" spans="1:10" x14ac:dyDescent="0.3">
      <c r="A25" s="193"/>
      <c r="B25" s="194"/>
      <c r="C25" s="194"/>
      <c r="D25" s="194"/>
      <c r="E25" s="194"/>
      <c r="F25" s="195"/>
      <c r="G25" s="195"/>
      <c r="H25" s="195"/>
      <c r="I25" s="195"/>
      <c r="J25" s="196"/>
    </row>
    <row r="26" spans="1:10" x14ac:dyDescent="0.3">
      <c r="A26" s="197" t="s">
        <v>1069</v>
      </c>
      <c r="B26" s="198"/>
      <c r="C26" s="198"/>
      <c r="D26" s="198"/>
      <c r="E26" s="199" t="s">
        <v>1045</v>
      </c>
      <c r="F26" s="362" t="s">
        <v>1070</v>
      </c>
      <c r="G26" s="362"/>
      <c r="H26" s="362"/>
      <c r="I26" s="362"/>
      <c r="J26" s="200"/>
    </row>
    <row r="27" spans="1:10" ht="15" customHeight="1" x14ac:dyDescent="0.3">
      <c r="A27" s="201"/>
      <c r="B27" s="202"/>
      <c r="C27" s="202"/>
      <c r="D27" s="202"/>
      <c r="E27" s="203" t="s">
        <v>1045</v>
      </c>
      <c r="F27" s="204"/>
      <c r="G27" s="204"/>
      <c r="H27" s="204"/>
      <c r="I27" s="204"/>
      <c r="J27" s="205"/>
    </row>
    <row r="28" spans="1:10" x14ac:dyDescent="0.3">
      <c r="A28" s="206" t="s">
        <v>1071</v>
      </c>
      <c r="B28" s="207"/>
      <c r="C28" s="207"/>
      <c r="D28" s="207"/>
      <c r="E28" s="208" t="s">
        <v>1045</v>
      </c>
      <c r="F28" s="363">
        <v>41944444.380000003</v>
      </c>
      <c r="G28" s="363">
        <v>18213914.109999999</v>
      </c>
      <c r="H28" s="363">
        <v>18213914.109999999</v>
      </c>
      <c r="I28" s="209"/>
      <c r="J28" s="196"/>
    </row>
    <row r="29" spans="1:10" x14ac:dyDescent="0.3">
      <c r="A29" s="169" t="s">
        <v>1072</v>
      </c>
      <c r="B29" s="167"/>
      <c r="C29" s="167"/>
      <c r="D29" s="167"/>
      <c r="E29" s="170" t="s">
        <v>1045</v>
      </c>
      <c r="F29" s="167" t="s">
        <v>1073</v>
      </c>
      <c r="G29" s="167"/>
      <c r="H29" s="167" t="s">
        <v>1074</v>
      </c>
      <c r="I29" s="171"/>
      <c r="J29" s="172"/>
    </row>
    <row r="30" spans="1:10" x14ac:dyDescent="0.3">
      <c r="A30" s="210" t="s">
        <v>1075</v>
      </c>
      <c r="B30" s="211"/>
      <c r="C30" s="211"/>
      <c r="D30" s="211"/>
      <c r="E30" s="211"/>
      <c r="F30" s="212"/>
      <c r="G30" s="212"/>
      <c r="H30" s="212"/>
      <c r="I30" s="212"/>
      <c r="J30" s="213"/>
    </row>
    <row r="31" spans="1:10" x14ac:dyDescent="0.3">
      <c r="A31" s="209"/>
      <c r="B31" s="209"/>
      <c r="C31" s="209"/>
      <c r="D31" s="209"/>
      <c r="E31" s="209"/>
      <c r="F31" s="209"/>
      <c r="G31" s="209"/>
      <c r="H31" s="209"/>
      <c r="I31" s="209"/>
      <c r="J31" s="209"/>
    </row>
    <row r="32" spans="1:10" x14ac:dyDescent="0.3">
      <c r="A32" s="391"/>
      <c r="B32" s="392"/>
      <c r="C32" s="392"/>
      <c r="D32" s="392"/>
      <c r="E32" s="392"/>
      <c r="F32" s="392"/>
      <c r="G32" s="392"/>
      <c r="H32" s="392"/>
      <c r="I32" s="392"/>
      <c r="J32" s="392"/>
    </row>
  </sheetData>
  <sheetProtection algorithmName="SHA-512" hashValue="69HWJjgkIxWxXArbh2JUHhhDsfg3N46mrGX+aKF1oPfaTnXyKrpO4Pihj9ehGNNd5JeFjyKfisojmvJCwd/MYQ==" saltValue="03h4zOwVEB+CTiCy/iqg2A==" spinCount="100000" sheet="1" objects="1" scenarios="1" selectLockedCells="1" selectUnlockedCells="1"/>
  <mergeCells count="14">
    <mergeCell ref="A7:I7"/>
    <mergeCell ref="A2:J2"/>
    <mergeCell ref="A3:J3"/>
    <mergeCell ref="A4:J4"/>
    <mergeCell ref="A5:J5"/>
    <mergeCell ref="A6:J6"/>
    <mergeCell ref="F26:I26"/>
    <mergeCell ref="F28:H28"/>
    <mergeCell ref="F8:J8"/>
    <mergeCell ref="F15:G15"/>
    <mergeCell ref="I18:J18"/>
    <mergeCell ref="A21:J21"/>
    <mergeCell ref="I22:J22"/>
    <mergeCell ref="I23:J23"/>
  </mergeCells>
  <pageMargins left="1.49606299212598" right="0.98425196850393704" top="0.98425196850393704" bottom="0.98425196850393704" header="0.31496062992126" footer="0.31496062992126"/>
  <pageSetup scale="85" fitToHeight="0" orientation="portrait" horizontalDpi="4294967293" verticalDpi="300" r:id="rId1"/>
  <headerFooter>
    <oddHeader>&amp;RAnnex G-2</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sheetPr>
  <dimension ref="A1:E329"/>
  <sheetViews>
    <sheetView topLeftCell="A51" zoomScale="68" workbookViewId="0">
      <selection activeCell="M225" sqref="M225"/>
    </sheetView>
  </sheetViews>
  <sheetFormatPr defaultColWidth="8.81640625" defaultRowHeight="12.5" x14ac:dyDescent="0.25"/>
  <cols>
    <col min="1" max="1" width="80.26953125" style="113" customWidth="1"/>
    <col min="2" max="2" width="19.81640625" style="110" customWidth="1"/>
    <col min="3" max="5" width="18.7265625" style="110" customWidth="1"/>
    <col min="6" max="6" width="10.453125" style="110" bestFit="1" customWidth="1"/>
    <col min="7" max="16384" width="8.81640625" style="110"/>
  </cols>
  <sheetData>
    <row r="1" spans="1:5" ht="15" x14ac:dyDescent="0.25">
      <c r="A1" s="111" t="s">
        <v>546</v>
      </c>
    </row>
    <row r="2" spans="1:5" ht="15" x14ac:dyDescent="0.25">
      <c r="A2" s="111" t="s">
        <v>814</v>
      </c>
    </row>
    <row r="3" spans="1:5" ht="15.5" x14ac:dyDescent="0.25">
      <c r="A3" s="112" t="s">
        <v>542</v>
      </c>
    </row>
    <row r="5" spans="1:5" s="114" customFormat="1" ht="28" x14ac:dyDescent="0.25">
      <c r="A5" s="115" t="s">
        <v>556</v>
      </c>
      <c r="B5" s="115" t="s">
        <v>558</v>
      </c>
      <c r="C5" s="115" t="s">
        <v>559</v>
      </c>
      <c r="D5" s="115" t="s">
        <v>815</v>
      </c>
      <c r="E5" s="115" t="s">
        <v>547</v>
      </c>
    </row>
    <row r="6" spans="1:5" ht="14" x14ac:dyDescent="0.3">
      <c r="A6" s="116" t="s">
        <v>557</v>
      </c>
      <c r="B6" s="117"/>
      <c r="C6" s="117"/>
      <c r="D6" s="118"/>
      <c r="E6" s="118"/>
    </row>
    <row r="7" spans="1:5" ht="14" x14ac:dyDescent="0.3">
      <c r="A7" s="119" t="s">
        <v>731</v>
      </c>
      <c r="B7" s="120">
        <v>37683</v>
      </c>
      <c r="C7" s="121">
        <v>1684</v>
      </c>
      <c r="D7" s="121">
        <v>1599.8016666666667</v>
      </c>
      <c r="E7" s="121">
        <v>84.198333333333267</v>
      </c>
    </row>
    <row r="8" spans="1:5" ht="14" x14ac:dyDescent="0.3">
      <c r="A8" s="119" t="s">
        <v>568</v>
      </c>
      <c r="B8" s="120">
        <v>37683</v>
      </c>
      <c r="C8" s="121">
        <v>782.5</v>
      </c>
      <c r="D8" s="121">
        <v>743.37354166666671</v>
      </c>
      <c r="E8" s="121">
        <v>39.126458333333289</v>
      </c>
    </row>
    <row r="9" spans="1:5" ht="14" x14ac:dyDescent="0.3">
      <c r="A9" s="119" t="s">
        <v>569</v>
      </c>
      <c r="B9" s="120">
        <v>37904</v>
      </c>
      <c r="C9" s="121">
        <v>265</v>
      </c>
      <c r="D9" s="121">
        <v>251.75708333333336</v>
      </c>
      <c r="E9" s="121">
        <v>13.242916666666645</v>
      </c>
    </row>
    <row r="10" spans="1:5" ht="14" x14ac:dyDescent="0.3">
      <c r="A10" s="119" t="s">
        <v>570</v>
      </c>
      <c r="B10" s="120">
        <v>37904</v>
      </c>
      <c r="C10" s="121">
        <v>600</v>
      </c>
      <c r="D10" s="121">
        <v>570</v>
      </c>
      <c r="E10" s="121">
        <v>30</v>
      </c>
    </row>
    <row r="11" spans="1:5" ht="14" x14ac:dyDescent="0.3">
      <c r="A11" s="119" t="s">
        <v>571</v>
      </c>
      <c r="B11" s="120">
        <v>37904</v>
      </c>
      <c r="C11" s="121">
        <v>250</v>
      </c>
      <c r="D11" s="121">
        <v>237.51083333333335</v>
      </c>
      <c r="E11" s="121">
        <v>12.489166666666648</v>
      </c>
    </row>
    <row r="12" spans="1:5" ht="14" x14ac:dyDescent="0.3">
      <c r="A12" s="119" t="s">
        <v>572</v>
      </c>
      <c r="B12" s="120">
        <v>37904</v>
      </c>
      <c r="C12" s="121">
        <v>145</v>
      </c>
      <c r="D12" s="121">
        <v>137.75708333333333</v>
      </c>
      <c r="E12" s="121">
        <v>7.2429166666666731</v>
      </c>
    </row>
    <row r="13" spans="1:5" ht="14" x14ac:dyDescent="0.3">
      <c r="A13" s="119" t="s">
        <v>573</v>
      </c>
      <c r="B13" s="120">
        <v>37904</v>
      </c>
      <c r="C13" s="121">
        <v>194</v>
      </c>
      <c r="D13" s="121">
        <v>184.31416666666667</v>
      </c>
      <c r="E13" s="121">
        <v>9.6858333333333348</v>
      </c>
    </row>
    <row r="14" spans="1:5" ht="14" x14ac:dyDescent="0.3">
      <c r="A14" s="119" t="s">
        <v>574</v>
      </c>
      <c r="B14" s="120">
        <v>37923</v>
      </c>
      <c r="C14" s="121">
        <v>375</v>
      </c>
      <c r="D14" s="121">
        <v>356.24624999999997</v>
      </c>
      <c r="E14" s="121">
        <v>18.753750000000025</v>
      </c>
    </row>
    <row r="15" spans="1:5" ht="14" x14ac:dyDescent="0.3">
      <c r="A15" s="119" t="s">
        <v>575</v>
      </c>
      <c r="B15" s="120">
        <v>37923</v>
      </c>
      <c r="C15" s="121">
        <v>150</v>
      </c>
      <c r="D15" s="121">
        <v>142.51249999999999</v>
      </c>
      <c r="E15" s="121">
        <v>7.4875000000000114</v>
      </c>
    </row>
    <row r="16" spans="1:5" ht="14" x14ac:dyDescent="0.3">
      <c r="A16" s="119" t="s">
        <v>576</v>
      </c>
      <c r="B16" s="120">
        <v>37923</v>
      </c>
      <c r="C16" s="121">
        <v>210</v>
      </c>
      <c r="D16" s="121">
        <v>199.50749999999999</v>
      </c>
      <c r="E16" s="121">
        <v>10.492500000000007</v>
      </c>
    </row>
    <row r="17" spans="1:5" ht="14" x14ac:dyDescent="0.3">
      <c r="A17" s="119" t="s">
        <v>577</v>
      </c>
      <c r="B17" s="120">
        <v>37923</v>
      </c>
      <c r="C17" s="121">
        <v>210</v>
      </c>
      <c r="D17" s="121">
        <v>199.50749999999999</v>
      </c>
      <c r="E17" s="121">
        <v>10.492500000000007</v>
      </c>
    </row>
    <row r="18" spans="1:5" ht="14" x14ac:dyDescent="0.3">
      <c r="A18" s="119" t="s">
        <v>578</v>
      </c>
      <c r="B18" s="120">
        <v>37923</v>
      </c>
      <c r="C18" s="121">
        <v>162</v>
      </c>
      <c r="D18" s="121">
        <v>153.9075</v>
      </c>
      <c r="E18" s="121">
        <v>8.0925000000000011</v>
      </c>
    </row>
    <row r="19" spans="1:5" ht="14" x14ac:dyDescent="0.3">
      <c r="A19" s="119" t="s">
        <v>579</v>
      </c>
      <c r="B19" s="120">
        <v>37923</v>
      </c>
      <c r="C19" s="121">
        <v>300</v>
      </c>
      <c r="D19" s="121">
        <v>285.005</v>
      </c>
      <c r="E19" s="121">
        <v>14.995000000000005</v>
      </c>
    </row>
    <row r="20" spans="1:5" ht="14" x14ac:dyDescent="0.3">
      <c r="A20" s="119" t="s">
        <v>580</v>
      </c>
      <c r="B20" s="120">
        <v>37923</v>
      </c>
      <c r="C20" s="121">
        <v>75</v>
      </c>
      <c r="D20" s="121">
        <v>71.241249999999994</v>
      </c>
      <c r="E20" s="121">
        <v>3.7587500000000063</v>
      </c>
    </row>
    <row r="21" spans="1:5" ht="14" x14ac:dyDescent="0.3">
      <c r="A21" s="119" t="s">
        <v>581</v>
      </c>
      <c r="B21" s="120">
        <v>37923</v>
      </c>
      <c r="C21" s="121">
        <v>345</v>
      </c>
      <c r="D21" s="121">
        <v>327.75374999999997</v>
      </c>
      <c r="E21" s="121">
        <v>17.246250000000032</v>
      </c>
    </row>
    <row r="22" spans="1:5" ht="14" x14ac:dyDescent="0.3">
      <c r="A22" s="119" t="s">
        <v>582</v>
      </c>
      <c r="B22" s="120">
        <v>37930</v>
      </c>
      <c r="C22" s="121">
        <v>21450</v>
      </c>
      <c r="D22" s="121">
        <v>20377.5075</v>
      </c>
      <c r="E22" s="121">
        <v>1072.4925000000003</v>
      </c>
    </row>
    <row r="23" spans="1:5" ht="14" x14ac:dyDescent="0.3">
      <c r="A23" s="119" t="s">
        <v>583</v>
      </c>
      <c r="B23" s="120">
        <v>37930</v>
      </c>
      <c r="C23" s="121">
        <v>1050</v>
      </c>
      <c r="D23" s="121">
        <v>997.50750000000005</v>
      </c>
      <c r="E23" s="121">
        <v>52.49249999999995</v>
      </c>
    </row>
    <row r="24" spans="1:5" ht="14" x14ac:dyDescent="0.3">
      <c r="A24" s="119" t="s">
        <v>584</v>
      </c>
      <c r="B24" s="120">
        <v>37930</v>
      </c>
      <c r="C24" s="121">
        <v>1050</v>
      </c>
      <c r="D24" s="121">
        <v>997.50750000000005</v>
      </c>
      <c r="E24" s="121">
        <v>52.49249999999995</v>
      </c>
    </row>
    <row r="25" spans="1:5" ht="14" x14ac:dyDescent="0.3">
      <c r="A25" s="119" t="s">
        <v>585</v>
      </c>
      <c r="B25" s="120">
        <v>37930</v>
      </c>
      <c r="C25" s="121">
        <v>1050</v>
      </c>
      <c r="D25" s="121">
        <v>997.50750000000005</v>
      </c>
      <c r="E25" s="121">
        <v>52.49249999999995</v>
      </c>
    </row>
    <row r="26" spans="1:5" ht="14" x14ac:dyDescent="0.3">
      <c r="A26" s="119" t="s">
        <v>586</v>
      </c>
      <c r="B26" s="120">
        <v>37930</v>
      </c>
      <c r="C26" s="121">
        <v>5850</v>
      </c>
      <c r="D26" s="121">
        <v>5557.5074999999997</v>
      </c>
      <c r="E26" s="121">
        <v>292.49250000000029</v>
      </c>
    </row>
    <row r="27" spans="1:5" ht="14" x14ac:dyDescent="0.3">
      <c r="A27" s="119" t="s">
        <v>587</v>
      </c>
      <c r="B27" s="120">
        <v>37930</v>
      </c>
      <c r="C27" s="121">
        <v>5850</v>
      </c>
      <c r="D27" s="121">
        <v>5557.5074999999997</v>
      </c>
      <c r="E27" s="121">
        <v>292.49250000000029</v>
      </c>
    </row>
    <row r="28" spans="1:5" ht="14" x14ac:dyDescent="0.3">
      <c r="A28" s="119" t="s">
        <v>588</v>
      </c>
      <c r="B28" s="120">
        <v>37930</v>
      </c>
      <c r="C28" s="121">
        <v>2850</v>
      </c>
      <c r="D28" s="121">
        <v>2707.5075000000002</v>
      </c>
      <c r="E28" s="121">
        <v>142.49249999999984</v>
      </c>
    </row>
    <row r="29" spans="1:5" ht="14" x14ac:dyDescent="0.3">
      <c r="A29" s="119" t="s">
        <v>589</v>
      </c>
      <c r="B29" s="120">
        <v>37930</v>
      </c>
      <c r="C29" s="121">
        <v>2850</v>
      </c>
      <c r="D29" s="121">
        <v>2707.5075000000002</v>
      </c>
      <c r="E29" s="121">
        <v>142.49249999999984</v>
      </c>
    </row>
    <row r="30" spans="1:5" ht="14" x14ac:dyDescent="0.3">
      <c r="A30" s="119" t="s">
        <v>590</v>
      </c>
      <c r="B30" s="120">
        <v>37930</v>
      </c>
      <c r="C30" s="121">
        <v>2500</v>
      </c>
      <c r="D30" s="121">
        <v>2374.9983333333334</v>
      </c>
      <c r="E30" s="121">
        <v>125.00166666666655</v>
      </c>
    </row>
    <row r="31" spans="1:5" ht="14" x14ac:dyDescent="0.3">
      <c r="A31" s="119" t="s">
        <v>591</v>
      </c>
      <c r="B31" s="120">
        <v>37930</v>
      </c>
      <c r="C31" s="121">
        <v>2850</v>
      </c>
      <c r="D31" s="121">
        <v>2708.0075000000002</v>
      </c>
      <c r="E31" s="121">
        <v>141.99249999999984</v>
      </c>
    </row>
    <row r="32" spans="1:5" ht="14" x14ac:dyDescent="0.3">
      <c r="A32" s="119" t="s">
        <v>592</v>
      </c>
      <c r="B32" s="120">
        <v>37930</v>
      </c>
      <c r="C32" s="121">
        <v>2850</v>
      </c>
      <c r="D32" s="121">
        <v>2708.0075000000002</v>
      </c>
      <c r="E32" s="121">
        <v>141.99249999999984</v>
      </c>
    </row>
    <row r="33" spans="1:5" ht="14" x14ac:dyDescent="0.3">
      <c r="A33" s="119" t="s">
        <v>593</v>
      </c>
      <c r="B33" s="120">
        <v>38058</v>
      </c>
      <c r="C33" s="121">
        <v>2729</v>
      </c>
      <c r="D33" s="121">
        <v>2592.5595833333332</v>
      </c>
      <c r="E33" s="121">
        <v>136.44041666666681</v>
      </c>
    </row>
    <row r="34" spans="1:5" ht="14" x14ac:dyDescent="0.3">
      <c r="A34" s="119" t="s">
        <v>594</v>
      </c>
      <c r="B34" s="120">
        <v>38149</v>
      </c>
      <c r="C34" s="121">
        <v>6000</v>
      </c>
      <c r="D34" s="121">
        <v>5700</v>
      </c>
      <c r="E34" s="121">
        <v>300</v>
      </c>
    </row>
    <row r="35" spans="1:5" ht="14" x14ac:dyDescent="0.3">
      <c r="A35" s="119" t="s">
        <v>595</v>
      </c>
      <c r="B35" s="120">
        <v>38337</v>
      </c>
      <c r="C35" s="121">
        <v>32034</v>
      </c>
      <c r="D35" s="121">
        <v>30432.313750000005</v>
      </c>
      <c r="E35" s="121">
        <v>1601.6862499999952</v>
      </c>
    </row>
    <row r="36" spans="1:5" ht="14" x14ac:dyDescent="0.3">
      <c r="A36" s="119" t="s">
        <v>596</v>
      </c>
      <c r="B36" s="120">
        <v>38337</v>
      </c>
      <c r="C36" s="121">
        <v>27056</v>
      </c>
      <c r="D36" s="121">
        <v>25703.203333333331</v>
      </c>
      <c r="E36" s="121">
        <v>1352.7966666666689</v>
      </c>
    </row>
    <row r="37" spans="1:5" ht="14" x14ac:dyDescent="0.3">
      <c r="A37" s="119" t="s">
        <v>597</v>
      </c>
      <c r="B37" s="120">
        <v>38337</v>
      </c>
      <c r="C37" s="121">
        <v>19380</v>
      </c>
      <c r="D37" s="121">
        <v>18410.997500000001</v>
      </c>
      <c r="E37" s="121">
        <v>969.00249999999869</v>
      </c>
    </row>
    <row r="38" spans="1:5" ht="14" x14ac:dyDescent="0.3">
      <c r="A38" s="119" t="s">
        <v>598</v>
      </c>
      <c r="B38" s="120">
        <v>38419</v>
      </c>
      <c r="C38" s="121">
        <v>19000</v>
      </c>
      <c r="D38" s="121">
        <v>18049.998333333333</v>
      </c>
      <c r="E38" s="121">
        <v>950.00166666666701</v>
      </c>
    </row>
    <row r="39" spans="1:5" ht="14" x14ac:dyDescent="0.3">
      <c r="A39" s="119" t="s">
        <v>732</v>
      </c>
      <c r="B39" s="120">
        <v>38590</v>
      </c>
      <c r="C39" s="121">
        <v>16200</v>
      </c>
      <c r="D39" s="121">
        <v>15390</v>
      </c>
      <c r="E39" s="121">
        <v>810</v>
      </c>
    </row>
    <row r="40" spans="1:5" ht="14" x14ac:dyDescent="0.3">
      <c r="A40" s="119" t="s">
        <v>733</v>
      </c>
      <c r="B40" s="120">
        <v>38590</v>
      </c>
      <c r="C40" s="121">
        <v>11873</v>
      </c>
      <c r="D40" s="121">
        <v>11279.356250000001</v>
      </c>
      <c r="E40" s="121">
        <v>593.64374999999927</v>
      </c>
    </row>
    <row r="41" spans="1:5" ht="28" x14ac:dyDescent="0.3">
      <c r="A41" s="119" t="s">
        <v>599</v>
      </c>
      <c r="B41" s="120">
        <v>38590</v>
      </c>
      <c r="C41" s="121">
        <v>9173</v>
      </c>
      <c r="D41" s="121">
        <v>8714.3512499999997</v>
      </c>
      <c r="E41" s="121">
        <v>458.64875000000029</v>
      </c>
    </row>
    <row r="42" spans="1:5" ht="14" x14ac:dyDescent="0.3">
      <c r="A42" s="119" t="s">
        <v>600</v>
      </c>
      <c r="B42" s="120">
        <v>38590</v>
      </c>
      <c r="C42" s="121">
        <v>7688</v>
      </c>
      <c r="D42" s="121">
        <v>7303.6000000000013</v>
      </c>
      <c r="E42" s="121">
        <v>384.39999999999873</v>
      </c>
    </row>
    <row r="43" spans="1:5" ht="14" x14ac:dyDescent="0.3">
      <c r="A43" s="119" t="s">
        <v>601</v>
      </c>
      <c r="B43" s="120">
        <v>38590</v>
      </c>
      <c r="C43" s="121">
        <v>9308</v>
      </c>
      <c r="D43" s="121">
        <v>8842.6050000000014</v>
      </c>
      <c r="E43" s="121">
        <v>465.39499999999862</v>
      </c>
    </row>
    <row r="44" spans="1:5" ht="14" x14ac:dyDescent="0.3">
      <c r="A44" s="119" t="s">
        <v>602</v>
      </c>
      <c r="B44" s="120">
        <v>38590</v>
      </c>
      <c r="C44" s="121">
        <v>5373</v>
      </c>
      <c r="D44" s="121">
        <v>5104.3512499999997</v>
      </c>
      <c r="E44" s="121">
        <v>268.64875000000029</v>
      </c>
    </row>
    <row r="45" spans="1:5" ht="14" x14ac:dyDescent="0.3">
      <c r="A45" s="119" t="s">
        <v>603</v>
      </c>
      <c r="B45" s="120">
        <v>38590</v>
      </c>
      <c r="C45" s="121">
        <v>6608</v>
      </c>
      <c r="D45" s="121">
        <v>6277.6</v>
      </c>
      <c r="E45" s="121">
        <v>330.39999999999964</v>
      </c>
    </row>
    <row r="46" spans="1:5" ht="28" x14ac:dyDescent="0.3">
      <c r="A46" s="119" t="s">
        <v>604</v>
      </c>
      <c r="B46" s="120">
        <v>38590</v>
      </c>
      <c r="C46" s="121">
        <v>6203</v>
      </c>
      <c r="D46" s="121">
        <v>5892.8487500000001</v>
      </c>
      <c r="E46" s="121">
        <v>310.15124999999989</v>
      </c>
    </row>
    <row r="47" spans="1:5" ht="14" x14ac:dyDescent="0.3">
      <c r="A47" s="119" t="s">
        <v>605</v>
      </c>
      <c r="B47" s="120">
        <v>38590</v>
      </c>
      <c r="C47" s="121">
        <v>9308</v>
      </c>
      <c r="D47" s="121">
        <v>8842.6050000000014</v>
      </c>
      <c r="E47" s="121">
        <v>465.39499999999862</v>
      </c>
    </row>
    <row r="48" spans="1:5" ht="14" x14ac:dyDescent="0.3">
      <c r="A48" s="119" t="s">
        <v>606</v>
      </c>
      <c r="B48" s="120">
        <v>38590</v>
      </c>
      <c r="C48" s="121">
        <v>13493</v>
      </c>
      <c r="D48" s="121">
        <v>12818.351249999998</v>
      </c>
      <c r="E48" s="121">
        <v>674.64875000000211</v>
      </c>
    </row>
    <row r="49" spans="1:5" ht="14" x14ac:dyDescent="0.3">
      <c r="A49" s="119" t="s">
        <v>607</v>
      </c>
      <c r="B49" s="120">
        <v>38590</v>
      </c>
      <c r="C49" s="121">
        <v>1551</v>
      </c>
      <c r="D49" s="121">
        <v>1473.4437499999997</v>
      </c>
      <c r="E49" s="121">
        <v>77.556250000000318</v>
      </c>
    </row>
    <row r="50" spans="1:5" ht="14" x14ac:dyDescent="0.3">
      <c r="A50" s="119" t="s">
        <v>608</v>
      </c>
      <c r="B50" s="120">
        <v>38590</v>
      </c>
      <c r="C50" s="121">
        <v>1670</v>
      </c>
      <c r="D50" s="121">
        <v>1586.5074999999999</v>
      </c>
      <c r="E50" s="121">
        <v>83.492500000000064</v>
      </c>
    </row>
    <row r="51" spans="1:5" ht="14" x14ac:dyDescent="0.3">
      <c r="A51" s="119" t="s">
        <v>609</v>
      </c>
      <c r="B51" s="120">
        <v>38590</v>
      </c>
      <c r="C51" s="121">
        <v>1782</v>
      </c>
      <c r="D51" s="121">
        <v>1692.9075</v>
      </c>
      <c r="E51" s="121">
        <v>89.092499999999973</v>
      </c>
    </row>
    <row r="52" spans="1:5" ht="14" x14ac:dyDescent="0.3">
      <c r="A52" s="119" t="s">
        <v>610</v>
      </c>
      <c r="B52" s="120">
        <v>38590</v>
      </c>
      <c r="C52" s="121">
        <v>2210</v>
      </c>
      <c r="D52" s="121">
        <v>2099.5124999999998</v>
      </c>
      <c r="E52" s="121">
        <v>110.48750000000018</v>
      </c>
    </row>
    <row r="53" spans="1:5" ht="14" x14ac:dyDescent="0.3">
      <c r="A53" s="119" t="s">
        <v>611</v>
      </c>
      <c r="B53" s="120">
        <v>38590</v>
      </c>
      <c r="C53" s="121">
        <v>5589</v>
      </c>
      <c r="D53" s="121">
        <v>5309.5512500000004</v>
      </c>
      <c r="E53" s="121">
        <v>279.44874999999956</v>
      </c>
    </row>
    <row r="54" spans="1:5" ht="14" x14ac:dyDescent="0.3">
      <c r="A54" s="119" t="s">
        <v>612</v>
      </c>
      <c r="B54" s="120">
        <v>38590</v>
      </c>
      <c r="C54" s="121">
        <v>260.55</v>
      </c>
      <c r="D54" s="121">
        <v>247.52643750000001</v>
      </c>
      <c r="E54" s="121">
        <v>13.023562499999997</v>
      </c>
    </row>
    <row r="55" spans="1:5" ht="14" x14ac:dyDescent="0.3">
      <c r="A55" s="119" t="s">
        <v>613</v>
      </c>
      <c r="B55" s="120">
        <v>38602</v>
      </c>
      <c r="C55" s="121">
        <v>340</v>
      </c>
      <c r="D55" s="121">
        <v>323.00083333333333</v>
      </c>
      <c r="E55" s="121">
        <v>16.999166666666667</v>
      </c>
    </row>
    <row r="56" spans="1:5" ht="14" x14ac:dyDescent="0.3">
      <c r="A56" s="119" t="s">
        <v>614</v>
      </c>
      <c r="B56" s="120">
        <v>38602</v>
      </c>
      <c r="C56" s="121">
        <v>985</v>
      </c>
      <c r="D56" s="121">
        <v>935.8352083333333</v>
      </c>
      <c r="E56" s="121">
        <v>49.164791666666702</v>
      </c>
    </row>
    <row r="57" spans="1:5" ht="14" x14ac:dyDescent="0.3">
      <c r="A57" s="119" t="s">
        <v>615</v>
      </c>
      <c r="B57" s="120">
        <v>38602</v>
      </c>
      <c r="C57" s="121">
        <v>830</v>
      </c>
      <c r="D57" s="121">
        <v>788.51291666666668</v>
      </c>
      <c r="E57" s="121">
        <v>41.487083333333317</v>
      </c>
    </row>
    <row r="58" spans="1:5" ht="14" x14ac:dyDescent="0.3">
      <c r="A58" s="119" t="s">
        <v>616</v>
      </c>
      <c r="B58" s="120">
        <v>38602</v>
      </c>
      <c r="C58" s="121">
        <v>480</v>
      </c>
      <c r="D58" s="121">
        <v>456</v>
      </c>
      <c r="E58" s="121">
        <v>24</v>
      </c>
    </row>
    <row r="59" spans="1:5" ht="14" x14ac:dyDescent="0.3">
      <c r="A59" s="119" t="s">
        <v>617</v>
      </c>
      <c r="B59" s="120">
        <v>38602</v>
      </c>
      <c r="C59" s="121">
        <v>300</v>
      </c>
      <c r="D59" s="121">
        <v>285.0025</v>
      </c>
      <c r="E59" s="121">
        <v>14.997500000000002</v>
      </c>
    </row>
    <row r="60" spans="1:5" ht="14" x14ac:dyDescent="0.3">
      <c r="A60" s="119" t="s">
        <v>618</v>
      </c>
      <c r="B60" s="120">
        <v>38602</v>
      </c>
      <c r="C60" s="121">
        <v>400</v>
      </c>
      <c r="D60" s="121">
        <v>380.00333333333333</v>
      </c>
      <c r="E60" s="121">
        <v>19.99666666666667</v>
      </c>
    </row>
    <row r="61" spans="1:5" ht="14" x14ac:dyDescent="0.3">
      <c r="A61" s="119" t="s">
        <v>619</v>
      </c>
      <c r="B61" s="120">
        <v>38602</v>
      </c>
      <c r="C61" s="121">
        <v>350</v>
      </c>
      <c r="D61" s="121">
        <v>332.51291666666668</v>
      </c>
      <c r="E61" s="121">
        <v>17.487083333333317</v>
      </c>
    </row>
    <row r="62" spans="1:5" ht="14" x14ac:dyDescent="0.3">
      <c r="A62" s="119" t="s">
        <v>734</v>
      </c>
      <c r="B62" s="120">
        <v>38735</v>
      </c>
      <c r="C62" s="121">
        <v>1809</v>
      </c>
      <c r="D62" s="121">
        <v>1718.5575000000001</v>
      </c>
      <c r="E62" s="121">
        <v>90.442499999999882</v>
      </c>
    </row>
    <row r="63" spans="1:5" ht="14" x14ac:dyDescent="0.3">
      <c r="A63" s="119" t="s">
        <v>620</v>
      </c>
      <c r="B63" s="120">
        <v>38735</v>
      </c>
      <c r="C63" s="121">
        <v>2802</v>
      </c>
      <c r="D63" s="121">
        <v>2661.915</v>
      </c>
      <c r="E63" s="121">
        <v>140.08500000000004</v>
      </c>
    </row>
    <row r="64" spans="1:5" ht="14" x14ac:dyDescent="0.3">
      <c r="A64" s="119" t="s">
        <v>726</v>
      </c>
      <c r="B64" s="120">
        <v>38735</v>
      </c>
      <c r="C64" s="121">
        <v>1566</v>
      </c>
      <c r="D64" s="121">
        <v>1487.7149999999999</v>
      </c>
      <c r="E64" s="121">
        <v>78.285000000000082</v>
      </c>
    </row>
    <row r="65" spans="1:5" ht="14" x14ac:dyDescent="0.3">
      <c r="A65" s="119" t="s">
        <v>621</v>
      </c>
      <c r="B65" s="120">
        <v>38735</v>
      </c>
      <c r="C65" s="121">
        <v>1285</v>
      </c>
      <c r="D65" s="121">
        <v>1220.7541666666666</v>
      </c>
      <c r="E65" s="121">
        <v>64.245833333333394</v>
      </c>
    </row>
    <row r="66" spans="1:5" ht="14" x14ac:dyDescent="0.3">
      <c r="A66" s="119" t="s">
        <v>622</v>
      </c>
      <c r="B66" s="120">
        <v>38735</v>
      </c>
      <c r="C66" s="121">
        <v>495</v>
      </c>
      <c r="D66" s="121">
        <v>470.24249999999995</v>
      </c>
      <c r="E66" s="121">
        <v>24.75750000000005</v>
      </c>
    </row>
    <row r="67" spans="1:5" ht="14" x14ac:dyDescent="0.3">
      <c r="A67" s="119" t="s">
        <v>623</v>
      </c>
      <c r="B67" s="120">
        <v>38735</v>
      </c>
      <c r="C67" s="121">
        <v>450</v>
      </c>
      <c r="D67" s="121">
        <v>427.51499999999999</v>
      </c>
      <c r="E67" s="121">
        <v>22.485000000000014</v>
      </c>
    </row>
    <row r="68" spans="1:5" ht="14" x14ac:dyDescent="0.3">
      <c r="A68" s="119" t="s">
        <v>624</v>
      </c>
      <c r="B68" s="120">
        <v>38735</v>
      </c>
      <c r="C68" s="121">
        <v>420</v>
      </c>
      <c r="D68" s="121">
        <v>399</v>
      </c>
      <c r="E68" s="121">
        <v>21</v>
      </c>
    </row>
    <row r="69" spans="1:5" ht="14" x14ac:dyDescent="0.3">
      <c r="A69" s="119" t="s">
        <v>625</v>
      </c>
      <c r="B69" s="120">
        <v>38763</v>
      </c>
      <c r="C69" s="121">
        <v>4400</v>
      </c>
      <c r="D69" s="121">
        <v>4162.58</v>
      </c>
      <c r="E69" s="121">
        <v>237.42000000000007</v>
      </c>
    </row>
    <row r="70" spans="1:5" ht="14" x14ac:dyDescent="0.3">
      <c r="A70" s="119" t="s">
        <v>626</v>
      </c>
      <c r="B70" s="120">
        <v>38765</v>
      </c>
      <c r="C70" s="121">
        <v>3595</v>
      </c>
      <c r="D70" s="121">
        <v>3401.0099999999993</v>
      </c>
      <c r="E70" s="121">
        <v>193.99000000000069</v>
      </c>
    </row>
    <row r="71" spans="1:5" ht="14" x14ac:dyDescent="0.3">
      <c r="A71" s="119" t="s">
        <v>626</v>
      </c>
      <c r="B71" s="120">
        <v>38765</v>
      </c>
      <c r="C71" s="121">
        <v>3595</v>
      </c>
      <c r="D71" s="121">
        <v>3401.0099999999993</v>
      </c>
      <c r="E71" s="121">
        <v>193.99000000000069</v>
      </c>
    </row>
    <row r="72" spans="1:5" ht="14" x14ac:dyDescent="0.3">
      <c r="A72" s="119" t="s">
        <v>626</v>
      </c>
      <c r="B72" s="120">
        <v>38765</v>
      </c>
      <c r="C72" s="121">
        <v>3595</v>
      </c>
      <c r="D72" s="121">
        <v>3401.0099999999993</v>
      </c>
      <c r="E72" s="121">
        <v>193.99000000000069</v>
      </c>
    </row>
    <row r="73" spans="1:5" ht="14" x14ac:dyDescent="0.3">
      <c r="A73" s="119" t="s">
        <v>627</v>
      </c>
      <c r="B73" s="120">
        <v>38776</v>
      </c>
      <c r="C73" s="121">
        <v>3595</v>
      </c>
      <c r="D73" s="121">
        <v>3401.0099999999993</v>
      </c>
      <c r="E73" s="121">
        <v>193.99000000000069</v>
      </c>
    </row>
    <row r="74" spans="1:5" ht="14" x14ac:dyDescent="0.3">
      <c r="A74" s="119" t="s">
        <v>628</v>
      </c>
      <c r="B74" s="120">
        <v>38793</v>
      </c>
      <c r="C74" s="121">
        <v>3595</v>
      </c>
      <c r="D74" s="121">
        <v>3401.0099999999998</v>
      </c>
      <c r="E74" s="121">
        <v>193.99000000000024</v>
      </c>
    </row>
    <row r="75" spans="1:5" ht="14" x14ac:dyDescent="0.3">
      <c r="A75" s="119" t="s">
        <v>629</v>
      </c>
      <c r="B75" s="120">
        <v>38793</v>
      </c>
      <c r="C75" s="121">
        <v>4595</v>
      </c>
      <c r="D75" s="121">
        <v>4347.0599999999995</v>
      </c>
      <c r="E75" s="121">
        <v>247.94000000000051</v>
      </c>
    </row>
    <row r="76" spans="1:5" ht="14" x14ac:dyDescent="0.3">
      <c r="A76" s="119" t="s">
        <v>630</v>
      </c>
      <c r="B76" s="120">
        <v>38793</v>
      </c>
      <c r="C76" s="121">
        <v>3595</v>
      </c>
      <c r="D76" s="121">
        <v>3386.7799999999997</v>
      </c>
      <c r="E76" s="121">
        <v>208.22000000000025</v>
      </c>
    </row>
    <row r="77" spans="1:5" ht="14" x14ac:dyDescent="0.3">
      <c r="A77" s="119" t="s">
        <v>630</v>
      </c>
      <c r="B77" s="120">
        <v>38793</v>
      </c>
      <c r="C77" s="121">
        <v>3595</v>
      </c>
      <c r="D77" s="121">
        <v>3386.7799999999997</v>
      </c>
      <c r="E77" s="121">
        <v>208.22000000000025</v>
      </c>
    </row>
    <row r="78" spans="1:5" ht="14" x14ac:dyDescent="0.3">
      <c r="A78" s="119" t="s">
        <v>630</v>
      </c>
      <c r="B78" s="120">
        <v>38793</v>
      </c>
      <c r="C78" s="121">
        <v>3595</v>
      </c>
      <c r="D78" s="121">
        <v>3386.7799999999997</v>
      </c>
      <c r="E78" s="121">
        <v>208.22000000000025</v>
      </c>
    </row>
    <row r="79" spans="1:5" ht="14" x14ac:dyDescent="0.3">
      <c r="A79" s="119" t="s">
        <v>630</v>
      </c>
      <c r="B79" s="120">
        <v>38793</v>
      </c>
      <c r="C79" s="121">
        <v>3595</v>
      </c>
      <c r="D79" s="121">
        <v>3401.0099999999998</v>
      </c>
      <c r="E79" s="121">
        <v>193.99000000000024</v>
      </c>
    </row>
    <row r="80" spans="1:5" ht="14" x14ac:dyDescent="0.3">
      <c r="A80" s="119" t="s">
        <v>631</v>
      </c>
      <c r="B80" s="120">
        <v>38798</v>
      </c>
      <c r="C80" s="121">
        <v>1495</v>
      </c>
      <c r="D80" s="121">
        <v>1408.41</v>
      </c>
      <c r="E80" s="121">
        <v>86.589999999999918</v>
      </c>
    </row>
    <row r="81" spans="1:5" ht="14" x14ac:dyDescent="0.3">
      <c r="A81" s="119" t="s">
        <v>632</v>
      </c>
      <c r="B81" s="120">
        <v>38798</v>
      </c>
      <c r="C81" s="121">
        <v>750</v>
      </c>
      <c r="D81" s="121">
        <v>706.57</v>
      </c>
      <c r="E81" s="121">
        <v>43.42999999999995</v>
      </c>
    </row>
    <row r="82" spans="1:5" ht="14" x14ac:dyDescent="0.3">
      <c r="A82" s="119" t="s">
        <v>633</v>
      </c>
      <c r="B82" s="120">
        <v>38798</v>
      </c>
      <c r="C82" s="121">
        <v>750</v>
      </c>
      <c r="D82" s="121">
        <v>706.57</v>
      </c>
      <c r="E82" s="121">
        <v>43.42999999999995</v>
      </c>
    </row>
    <row r="83" spans="1:5" ht="14" x14ac:dyDescent="0.3">
      <c r="A83" s="119" t="s">
        <v>634</v>
      </c>
      <c r="B83" s="120">
        <v>38831</v>
      </c>
      <c r="C83" s="121">
        <v>3595</v>
      </c>
      <c r="D83" s="121">
        <v>3372.5499999999993</v>
      </c>
      <c r="E83" s="121">
        <v>222.45000000000073</v>
      </c>
    </row>
    <row r="84" spans="1:5" ht="14" x14ac:dyDescent="0.3">
      <c r="A84" s="119" t="s">
        <v>635</v>
      </c>
      <c r="B84" s="120">
        <v>38832</v>
      </c>
      <c r="C84" s="121">
        <v>985</v>
      </c>
      <c r="D84" s="121">
        <v>924.06000000000006</v>
      </c>
      <c r="E84" s="121">
        <v>60.939999999999941</v>
      </c>
    </row>
    <row r="85" spans="1:5" ht="14" x14ac:dyDescent="0.3">
      <c r="A85" s="119" t="s">
        <v>634</v>
      </c>
      <c r="B85" s="120">
        <v>38834</v>
      </c>
      <c r="C85" s="121">
        <v>3595</v>
      </c>
      <c r="D85" s="121">
        <v>3372.5499999999993</v>
      </c>
      <c r="E85" s="121">
        <v>222.45000000000073</v>
      </c>
    </row>
    <row r="86" spans="1:5" ht="14" x14ac:dyDescent="0.3">
      <c r="A86" s="119" t="s">
        <v>636</v>
      </c>
      <c r="B86" s="120">
        <v>38869</v>
      </c>
      <c r="C86" s="121">
        <v>3595</v>
      </c>
      <c r="D86" s="121">
        <v>3344.0899999999992</v>
      </c>
      <c r="E86" s="121">
        <v>250.91000000000076</v>
      </c>
    </row>
    <row r="87" spans="1:5" ht="14" x14ac:dyDescent="0.3">
      <c r="A87" s="119" t="s">
        <v>636</v>
      </c>
      <c r="B87" s="120">
        <v>38869</v>
      </c>
      <c r="C87" s="121">
        <v>4995</v>
      </c>
      <c r="D87" s="121">
        <v>4646.3899999999994</v>
      </c>
      <c r="E87" s="121">
        <v>348.61000000000058</v>
      </c>
    </row>
    <row r="88" spans="1:5" ht="14" x14ac:dyDescent="0.3">
      <c r="A88" s="119" t="s">
        <v>637</v>
      </c>
      <c r="B88" s="120">
        <v>38916</v>
      </c>
      <c r="C88" s="121">
        <v>3595</v>
      </c>
      <c r="D88" s="121">
        <v>3329.8599999999997</v>
      </c>
      <c r="E88" s="121">
        <v>265.14000000000033</v>
      </c>
    </row>
    <row r="89" spans="1:5" ht="14" x14ac:dyDescent="0.3">
      <c r="A89" s="119" t="s">
        <v>638</v>
      </c>
      <c r="B89" s="120">
        <v>38916</v>
      </c>
      <c r="C89" s="121">
        <v>3595</v>
      </c>
      <c r="D89" s="121">
        <v>3329.8599999999997</v>
      </c>
      <c r="E89" s="121">
        <v>265.14000000000033</v>
      </c>
    </row>
    <row r="90" spans="1:5" ht="14" x14ac:dyDescent="0.3">
      <c r="A90" s="119" t="s">
        <v>639</v>
      </c>
      <c r="B90" s="120">
        <v>38952</v>
      </c>
      <c r="C90" s="121">
        <v>2350</v>
      </c>
      <c r="D90" s="121">
        <v>2167.4</v>
      </c>
      <c r="E90" s="121">
        <v>182.59999999999991</v>
      </c>
    </row>
    <row r="91" spans="1:5" ht="14" x14ac:dyDescent="0.3">
      <c r="A91" s="119" t="s">
        <v>640</v>
      </c>
      <c r="B91" s="120">
        <v>38952</v>
      </c>
      <c r="C91" s="121">
        <v>3595</v>
      </c>
      <c r="D91" s="121">
        <v>3315.6299999999992</v>
      </c>
      <c r="E91" s="121">
        <v>279.3700000000008</v>
      </c>
    </row>
    <row r="92" spans="1:5" ht="14" x14ac:dyDescent="0.3">
      <c r="A92" s="119" t="s">
        <v>641</v>
      </c>
      <c r="B92" s="120">
        <v>38952</v>
      </c>
      <c r="C92" s="121">
        <v>5295</v>
      </c>
      <c r="D92" s="121">
        <v>4883.5300000000007</v>
      </c>
      <c r="E92" s="121">
        <v>411.46999999999935</v>
      </c>
    </row>
    <row r="93" spans="1:5" ht="14" x14ac:dyDescent="0.3">
      <c r="A93" s="119" t="s">
        <v>642</v>
      </c>
      <c r="B93" s="120">
        <v>38952</v>
      </c>
      <c r="C93" s="121">
        <v>2345</v>
      </c>
      <c r="D93" s="121">
        <v>2162.7799999999997</v>
      </c>
      <c r="E93" s="121">
        <v>182.22000000000025</v>
      </c>
    </row>
    <row r="94" spans="1:5" ht="14" x14ac:dyDescent="0.3">
      <c r="A94" s="119" t="s">
        <v>643</v>
      </c>
      <c r="B94" s="120">
        <v>38952</v>
      </c>
      <c r="C94" s="121">
        <v>1295</v>
      </c>
      <c r="D94" s="121">
        <v>1194.3600000000001</v>
      </c>
      <c r="E94" s="121">
        <v>100.63999999999987</v>
      </c>
    </row>
    <row r="95" spans="1:5" ht="14" x14ac:dyDescent="0.3">
      <c r="A95" s="119" t="s">
        <v>644</v>
      </c>
      <c r="B95" s="120">
        <v>38952</v>
      </c>
      <c r="C95" s="121">
        <v>3595</v>
      </c>
      <c r="D95" s="121">
        <v>3315.6299999999992</v>
      </c>
      <c r="E95" s="121">
        <v>279.3700000000008</v>
      </c>
    </row>
    <row r="96" spans="1:5" ht="14" x14ac:dyDescent="0.3">
      <c r="A96" s="119" t="s">
        <v>645</v>
      </c>
      <c r="B96" s="120">
        <v>38952</v>
      </c>
      <c r="C96" s="121">
        <v>1295</v>
      </c>
      <c r="D96" s="121">
        <v>1194.3600000000001</v>
      </c>
      <c r="E96" s="121">
        <v>100.63999999999987</v>
      </c>
    </row>
    <row r="97" spans="1:5" ht="14" x14ac:dyDescent="0.3">
      <c r="A97" s="119" t="s">
        <v>646</v>
      </c>
      <c r="B97" s="120">
        <v>38952</v>
      </c>
      <c r="C97" s="121">
        <v>1295</v>
      </c>
      <c r="D97" s="121">
        <v>1194.3600000000001</v>
      </c>
      <c r="E97" s="121">
        <v>100.63999999999987</v>
      </c>
    </row>
    <row r="98" spans="1:5" ht="14" x14ac:dyDescent="0.3">
      <c r="A98" s="119" t="s">
        <v>637</v>
      </c>
      <c r="B98" s="120">
        <v>38952</v>
      </c>
      <c r="C98" s="121">
        <v>3595</v>
      </c>
      <c r="D98" s="121">
        <v>3315.6299999999992</v>
      </c>
      <c r="E98" s="121">
        <v>279.3700000000008</v>
      </c>
    </row>
    <row r="99" spans="1:5" ht="14" x14ac:dyDescent="0.3">
      <c r="A99" s="119" t="s">
        <v>640</v>
      </c>
      <c r="B99" s="120">
        <v>39001</v>
      </c>
      <c r="C99" s="121">
        <v>3595</v>
      </c>
      <c r="D99" s="121">
        <v>3287.1699999999992</v>
      </c>
      <c r="E99" s="121">
        <v>307.83000000000084</v>
      </c>
    </row>
    <row r="100" spans="1:5" ht="14" x14ac:dyDescent="0.3">
      <c r="A100" s="119" t="s">
        <v>647</v>
      </c>
      <c r="B100" s="120">
        <v>39017</v>
      </c>
      <c r="C100" s="121">
        <v>1495</v>
      </c>
      <c r="D100" s="121">
        <v>1366.9900000000002</v>
      </c>
      <c r="E100" s="121">
        <v>128.00999999999976</v>
      </c>
    </row>
    <row r="101" spans="1:5" ht="14" x14ac:dyDescent="0.3">
      <c r="A101" s="119" t="s">
        <v>648</v>
      </c>
      <c r="B101" s="120">
        <v>39017</v>
      </c>
      <c r="C101" s="121">
        <v>4995</v>
      </c>
      <c r="D101" s="121">
        <v>4567.3</v>
      </c>
      <c r="E101" s="121">
        <v>427.69999999999982</v>
      </c>
    </row>
    <row r="102" spans="1:5" ht="14" x14ac:dyDescent="0.3">
      <c r="A102" s="119" t="s">
        <v>649</v>
      </c>
      <c r="B102" s="120">
        <v>39017</v>
      </c>
      <c r="C102" s="121">
        <v>2295</v>
      </c>
      <c r="D102" s="121">
        <v>2098.4899999999998</v>
      </c>
      <c r="E102" s="121">
        <v>196.51000000000022</v>
      </c>
    </row>
    <row r="103" spans="1:5" ht="14" x14ac:dyDescent="0.3">
      <c r="A103" s="119" t="s">
        <v>650</v>
      </c>
      <c r="B103" s="120">
        <v>39017</v>
      </c>
      <c r="C103" s="121">
        <v>1395</v>
      </c>
      <c r="D103" s="121">
        <v>1275.55</v>
      </c>
      <c r="E103" s="121">
        <v>119.45000000000005</v>
      </c>
    </row>
    <row r="104" spans="1:5" ht="14" x14ac:dyDescent="0.3">
      <c r="A104" s="119" t="s">
        <v>651</v>
      </c>
      <c r="B104" s="120">
        <v>39017</v>
      </c>
      <c r="C104" s="121">
        <v>2495</v>
      </c>
      <c r="D104" s="121">
        <v>2281.36</v>
      </c>
      <c r="E104" s="121">
        <v>213.63999999999987</v>
      </c>
    </row>
    <row r="105" spans="1:5" ht="14" x14ac:dyDescent="0.3">
      <c r="A105" s="119" t="s">
        <v>551</v>
      </c>
      <c r="B105" s="120">
        <v>39139</v>
      </c>
      <c r="C105" s="121">
        <v>4960</v>
      </c>
      <c r="D105" s="121">
        <v>4456.7699999999995</v>
      </c>
      <c r="E105" s="121">
        <v>503.23000000000047</v>
      </c>
    </row>
    <row r="106" spans="1:5" ht="14" x14ac:dyDescent="0.3">
      <c r="A106" s="119" t="s">
        <v>652</v>
      </c>
      <c r="B106" s="120">
        <v>39147</v>
      </c>
      <c r="C106" s="121">
        <v>4395</v>
      </c>
      <c r="D106" s="121">
        <v>3931.6899999999991</v>
      </c>
      <c r="E106" s="121">
        <v>463.31000000000085</v>
      </c>
    </row>
    <row r="107" spans="1:5" ht="14" x14ac:dyDescent="0.3">
      <c r="A107" s="119" t="s">
        <v>552</v>
      </c>
      <c r="B107" s="120">
        <v>39434</v>
      </c>
      <c r="C107" s="121">
        <v>4995</v>
      </c>
      <c r="D107" s="121">
        <v>4310.2599999999993</v>
      </c>
      <c r="E107" s="121">
        <v>684.74000000000069</v>
      </c>
    </row>
    <row r="108" spans="1:5" ht="14" x14ac:dyDescent="0.3">
      <c r="A108" s="119" t="s">
        <v>553</v>
      </c>
      <c r="B108" s="120">
        <v>39434</v>
      </c>
      <c r="C108" s="121">
        <v>4995</v>
      </c>
      <c r="D108" s="121">
        <v>4310.2599999999993</v>
      </c>
      <c r="E108" s="121">
        <v>684.74000000000069</v>
      </c>
    </row>
    <row r="109" spans="1:5" ht="14" x14ac:dyDescent="0.3">
      <c r="A109" s="119" t="s">
        <v>554</v>
      </c>
      <c r="B109" s="120">
        <v>39443</v>
      </c>
      <c r="C109" s="121">
        <v>4995</v>
      </c>
      <c r="D109" s="121">
        <v>4270.7199999999993</v>
      </c>
      <c r="E109" s="121">
        <v>724.28000000000065</v>
      </c>
    </row>
    <row r="110" spans="1:5" ht="14" x14ac:dyDescent="0.3">
      <c r="A110" s="119" t="s">
        <v>555</v>
      </c>
      <c r="B110" s="120">
        <v>39477</v>
      </c>
      <c r="C110" s="121">
        <v>3995</v>
      </c>
      <c r="D110" s="121">
        <v>3399.9099999999994</v>
      </c>
      <c r="E110" s="121">
        <v>595.0900000000006</v>
      </c>
    </row>
    <row r="111" spans="1:5" ht="14" x14ac:dyDescent="0.3">
      <c r="A111" s="119" t="s">
        <v>653</v>
      </c>
      <c r="B111" s="120">
        <v>42835</v>
      </c>
      <c r="C111" s="121">
        <v>1600</v>
      </c>
      <c r="D111" s="121">
        <v>665</v>
      </c>
      <c r="E111" s="121">
        <v>935</v>
      </c>
    </row>
    <row r="112" spans="1:5" ht="14" x14ac:dyDescent="0.3">
      <c r="A112" s="119" t="s">
        <v>654</v>
      </c>
      <c r="B112" s="120">
        <v>43087</v>
      </c>
      <c r="C112" s="121">
        <v>3640</v>
      </c>
      <c r="D112" s="121">
        <v>1397.6100000000001</v>
      </c>
      <c r="E112" s="121">
        <v>2242.39</v>
      </c>
    </row>
    <row r="113" spans="1:5" ht="14" x14ac:dyDescent="0.3">
      <c r="A113" s="119" t="s">
        <v>655</v>
      </c>
      <c r="B113" s="120">
        <v>43098</v>
      </c>
      <c r="C113" s="121">
        <v>10875</v>
      </c>
      <c r="D113" s="121">
        <v>4218.59</v>
      </c>
      <c r="E113" s="121">
        <v>6656.41</v>
      </c>
    </row>
    <row r="114" spans="1:5" ht="14" x14ac:dyDescent="0.3">
      <c r="A114" s="119" t="s">
        <v>656</v>
      </c>
      <c r="B114" s="120">
        <v>43098</v>
      </c>
      <c r="C114" s="121">
        <v>9975</v>
      </c>
      <c r="D114" s="121">
        <v>3869.46</v>
      </c>
      <c r="E114" s="121">
        <v>6105.54</v>
      </c>
    </row>
    <row r="115" spans="1:5" ht="14" x14ac:dyDescent="0.3">
      <c r="A115" s="119" t="s">
        <v>657</v>
      </c>
      <c r="B115" s="120">
        <v>43098</v>
      </c>
      <c r="C115" s="121">
        <v>8025</v>
      </c>
      <c r="D115" s="121">
        <v>3113.04</v>
      </c>
      <c r="E115" s="121">
        <v>4911.96</v>
      </c>
    </row>
    <row r="116" spans="1:5" ht="14" x14ac:dyDescent="0.3">
      <c r="A116" s="119" t="s">
        <v>658</v>
      </c>
      <c r="B116" s="120">
        <v>43241</v>
      </c>
      <c r="C116" s="121">
        <v>2090</v>
      </c>
      <c r="D116" s="121">
        <v>769.39</v>
      </c>
      <c r="E116" s="121">
        <v>1320.6100000000001</v>
      </c>
    </row>
    <row r="117" spans="1:5" ht="14" x14ac:dyDescent="0.3">
      <c r="A117" s="119" t="s">
        <v>659</v>
      </c>
      <c r="B117" s="120">
        <v>43241</v>
      </c>
      <c r="C117" s="121">
        <v>1460</v>
      </c>
      <c r="D117" s="121">
        <v>537.46</v>
      </c>
      <c r="E117" s="121">
        <v>922.54</v>
      </c>
    </row>
    <row r="118" spans="1:5" ht="14" x14ac:dyDescent="0.3">
      <c r="A118" s="119" t="s">
        <v>660</v>
      </c>
      <c r="B118" s="120">
        <v>43241</v>
      </c>
      <c r="C118" s="121">
        <v>1030</v>
      </c>
      <c r="D118" s="121">
        <v>379.17999999999995</v>
      </c>
      <c r="E118" s="121">
        <v>650.82000000000005</v>
      </c>
    </row>
    <row r="119" spans="1:5" ht="14" x14ac:dyDescent="0.3">
      <c r="A119" s="119" t="s">
        <v>735</v>
      </c>
      <c r="B119" s="120">
        <v>43241</v>
      </c>
      <c r="C119" s="121">
        <v>2965</v>
      </c>
      <c r="D119" s="121">
        <v>1091.5</v>
      </c>
      <c r="E119" s="121">
        <v>1873.5</v>
      </c>
    </row>
    <row r="120" spans="1:5" ht="14" x14ac:dyDescent="0.3">
      <c r="A120" s="119" t="s">
        <v>661</v>
      </c>
      <c r="B120" s="120">
        <v>43241</v>
      </c>
      <c r="C120" s="121">
        <v>1165</v>
      </c>
      <c r="D120" s="121">
        <v>428.86999999999995</v>
      </c>
      <c r="E120" s="121">
        <v>736.13000000000011</v>
      </c>
    </row>
    <row r="121" spans="1:5" ht="14" x14ac:dyDescent="0.3">
      <c r="A121" s="119" t="s">
        <v>662</v>
      </c>
      <c r="B121" s="120">
        <v>43241</v>
      </c>
      <c r="C121" s="121">
        <v>523</v>
      </c>
      <c r="D121" s="121">
        <v>192.51999999999998</v>
      </c>
      <c r="E121" s="121">
        <v>330.48</v>
      </c>
    </row>
    <row r="122" spans="1:5" ht="14" x14ac:dyDescent="0.3">
      <c r="A122" s="119" t="s">
        <v>663</v>
      </c>
      <c r="B122" s="120">
        <v>43262</v>
      </c>
      <c r="C122" s="121">
        <v>14875</v>
      </c>
      <c r="D122" s="121">
        <v>5475.8499999999995</v>
      </c>
      <c r="E122" s="121">
        <v>9399.1500000000015</v>
      </c>
    </row>
    <row r="123" spans="1:5" ht="14" x14ac:dyDescent="0.3">
      <c r="A123" s="119" t="s">
        <v>664</v>
      </c>
      <c r="B123" s="120">
        <v>43262</v>
      </c>
      <c r="C123" s="121">
        <v>24500</v>
      </c>
      <c r="D123" s="121">
        <v>9019.0600000000013</v>
      </c>
      <c r="E123" s="121">
        <v>15480.939999999999</v>
      </c>
    </row>
    <row r="124" spans="1:5" ht="14" x14ac:dyDescent="0.3">
      <c r="A124" s="119" t="s">
        <v>665</v>
      </c>
      <c r="B124" s="120">
        <v>43262</v>
      </c>
      <c r="C124" s="121">
        <v>10000</v>
      </c>
      <c r="D124" s="121">
        <v>3681.25</v>
      </c>
      <c r="E124" s="121">
        <v>6318.75</v>
      </c>
    </row>
    <row r="125" spans="1:5" ht="14" x14ac:dyDescent="0.3">
      <c r="A125" s="119" t="s">
        <v>666</v>
      </c>
      <c r="B125" s="120">
        <v>43262</v>
      </c>
      <c r="C125" s="121">
        <v>14875</v>
      </c>
      <c r="D125" s="121">
        <v>5475.8499999999995</v>
      </c>
      <c r="E125" s="121">
        <v>9399.1500000000015</v>
      </c>
    </row>
    <row r="126" spans="1:5" ht="14" x14ac:dyDescent="0.3">
      <c r="A126" s="119" t="s">
        <v>667</v>
      </c>
      <c r="B126" s="120">
        <v>43364</v>
      </c>
      <c r="C126" s="121">
        <v>1900</v>
      </c>
      <c r="D126" s="121">
        <v>699.44</v>
      </c>
      <c r="E126" s="121">
        <v>1200.56</v>
      </c>
    </row>
    <row r="127" spans="1:5" ht="14" x14ac:dyDescent="0.3">
      <c r="A127" s="119" t="s">
        <v>668</v>
      </c>
      <c r="B127" s="120">
        <v>43440</v>
      </c>
      <c r="C127" s="121">
        <v>3256</v>
      </c>
      <c r="D127" s="121">
        <v>1185.73</v>
      </c>
      <c r="E127" s="121">
        <v>2070.27</v>
      </c>
    </row>
    <row r="128" spans="1:5" ht="14" x14ac:dyDescent="0.3">
      <c r="A128" s="119" t="s">
        <v>669</v>
      </c>
      <c r="B128" s="120">
        <v>43815</v>
      </c>
      <c r="C128" s="121">
        <v>6000</v>
      </c>
      <c r="D128" s="121">
        <v>1710</v>
      </c>
      <c r="E128" s="121">
        <v>4290</v>
      </c>
    </row>
    <row r="129" spans="1:5" ht="14" x14ac:dyDescent="0.3">
      <c r="A129" s="119" t="s">
        <v>670</v>
      </c>
      <c r="B129" s="120">
        <v>43844</v>
      </c>
      <c r="C129" s="121">
        <v>1000</v>
      </c>
      <c r="D129" s="121">
        <v>950</v>
      </c>
      <c r="E129" s="121">
        <v>50</v>
      </c>
    </row>
    <row r="130" spans="1:5" ht="14" x14ac:dyDescent="0.3">
      <c r="A130" s="122" t="s">
        <v>730</v>
      </c>
      <c r="B130" s="123"/>
      <c r="C130" s="124">
        <f>SUM(C7:C129)</f>
        <v>540267.05000000005</v>
      </c>
      <c r="D130" s="124">
        <f>SUM(D7:D129)</f>
        <v>440178.92602083349</v>
      </c>
      <c r="E130" s="124">
        <f>SUM(E7:E129)</f>
        <v>100088.12397916669</v>
      </c>
    </row>
    <row r="131" spans="1:5" ht="14" x14ac:dyDescent="0.3">
      <c r="A131" s="125" t="s">
        <v>24</v>
      </c>
      <c r="B131" s="118"/>
      <c r="C131" s="118"/>
      <c r="D131" s="121"/>
      <c r="E131" s="121"/>
    </row>
    <row r="132" spans="1:5" ht="14" x14ac:dyDescent="0.3">
      <c r="A132" s="119" t="s">
        <v>671</v>
      </c>
      <c r="B132" s="120">
        <v>38175</v>
      </c>
      <c r="C132" s="121">
        <v>45000</v>
      </c>
      <c r="D132" s="121">
        <v>40500</v>
      </c>
      <c r="E132" s="121">
        <v>4500</v>
      </c>
    </row>
    <row r="133" spans="1:5" ht="14" x14ac:dyDescent="0.3">
      <c r="A133" s="119" t="s">
        <v>560</v>
      </c>
      <c r="B133" s="120">
        <v>38253</v>
      </c>
      <c r="C133" s="121">
        <v>16500</v>
      </c>
      <c r="D133" s="121">
        <v>15675</v>
      </c>
      <c r="E133" s="121">
        <v>825</v>
      </c>
    </row>
    <row r="134" spans="1:5" ht="14" x14ac:dyDescent="0.3">
      <c r="A134" s="126" t="s">
        <v>730</v>
      </c>
      <c r="B134" s="123"/>
      <c r="C134" s="124">
        <f>SUM(C132:C133)</f>
        <v>61500</v>
      </c>
      <c r="D134" s="124">
        <f>SUM(D132:D133)</f>
        <v>56175</v>
      </c>
      <c r="E134" s="124">
        <f>SUM(E132:E133)</f>
        <v>5325</v>
      </c>
    </row>
    <row r="135" spans="1:5" ht="14" x14ac:dyDescent="0.3">
      <c r="A135" s="116" t="s">
        <v>21</v>
      </c>
      <c r="B135" s="118"/>
      <c r="C135" s="118"/>
      <c r="D135" s="121"/>
      <c r="E135" s="121"/>
    </row>
    <row r="136" spans="1:5" ht="14" x14ac:dyDescent="0.3">
      <c r="A136" s="119" t="s">
        <v>672</v>
      </c>
      <c r="B136" s="120">
        <v>40175</v>
      </c>
      <c r="C136" s="121">
        <v>68800</v>
      </c>
      <c r="D136" s="121">
        <v>65360</v>
      </c>
      <c r="E136" s="121">
        <v>3440</v>
      </c>
    </row>
    <row r="137" spans="1:5" ht="14" x14ac:dyDescent="0.3">
      <c r="A137" s="126" t="s">
        <v>730</v>
      </c>
      <c r="B137" s="123"/>
      <c r="C137" s="124">
        <f>SUM(C136:C136)</f>
        <v>68800</v>
      </c>
      <c r="D137" s="124">
        <f>SUM(D136:D136)</f>
        <v>65360</v>
      </c>
      <c r="E137" s="124">
        <f>SUM(E136:E136)</f>
        <v>3440</v>
      </c>
    </row>
    <row r="138" spans="1:5" ht="14" x14ac:dyDescent="0.3">
      <c r="A138" s="116" t="s">
        <v>25</v>
      </c>
      <c r="B138" s="118"/>
      <c r="C138" s="118"/>
      <c r="D138" s="121"/>
      <c r="E138" s="121"/>
    </row>
    <row r="139" spans="1:5" ht="14" x14ac:dyDescent="0.3">
      <c r="A139" s="119" t="s">
        <v>673</v>
      </c>
      <c r="B139" s="120">
        <v>42433</v>
      </c>
      <c r="C139" s="121">
        <v>45900</v>
      </c>
      <c r="D139" s="121">
        <v>42877.84</v>
      </c>
      <c r="E139" s="121">
        <v>3022.16</v>
      </c>
    </row>
    <row r="140" spans="1:5" ht="14" x14ac:dyDescent="0.3">
      <c r="A140" s="126" t="s">
        <v>730</v>
      </c>
      <c r="B140" s="123"/>
      <c r="C140" s="124">
        <f>SUM(C139:C139)</f>
        <v>45900</v>
      </c>
      <c r="D140" s="124">
        <f>SUM(D139:D139)</f>
        <v>42877.84</v>
      </c>
      <c r="E140" s="124">
        <f>SUM(E139:E139)</f>
        <v>3022.16</v>
      </c>
    </row>
    <row r="141" spans="1:5" ht="14" x14ac:dyDescent="0.3">
      <c r="A141" s="116" t="s">
        <v>550</v>
      </c>
      <c r="B141" s="118"/>
      <c r="C141" s="118"/>
      <c r="D141" s="121"/>
      <c r="E141" s="121"/>
    </row>
    <row r="142" spans="1:5" ht="14" x14ac:dyDescent="0.3">
      <c r="A142" s="119" t="s">
        <v>674</v>
      </c>
      <c r="B142" s="120">
        <v>38832</v>
      </c>
      <c r="C142" s="121">
        <v>4100</v>
      </c>
      <c r="D142" s="121">
        <v>3895.2</v>
      </c>
      <c r="E142" s="121">
        <v>204.80000000000018</v>
      </c>
    </row>
    <row r="143" spans="1:5" ht="14" x14ac:dyDescent="0.3">
      <c r="A143" s="119" t="s">
        <v>736</v>
      </c>
      <c r="B143" s="120">
        <v>39183</v>
      </c>
      <c r="C143" s="121">
        <v>48888</v>
      </c>
      <c r="D143" s="121">
        <v>46443.6</v>
      </c>
      <c r="E143" s="121">
        <v>2444.4000000000015</v>
      </c>
    </row>
    <row r="144" spans="1:5" ht="14" x14ac:dyDescent="0.3">
      <c r="A144" s="119" t="s">
        <v>675</v>
      </c>
      <c r="B144" s="120">
        <v>39427</v>
      </c>
      <c r="C144" s="121">
        <v>10560</v>
      </c>
      <c r="D144" s="121">
        <v>10032</v>
      </c>
      <c r="E144" s="121">
        <v>528</v>
      </c>
    </row>
    <row r="145" spans="1:5" ht="28" x14ac:dyDescent="0.3">
      <c r="A145" s="119" t="s">
        <v>676</v>
      </c>
      <c r="B145" s="120">
        <v>40137</v>
      </c>
      <c r="C145" s="121">
        <v>38500</v>
      </c>
      <c r="D145" s="121">
        <v>36575</v>
      </c>
      <c r="E145" s="121">
        <v>1925</v>
      </c>
    </row>
    <row r="146" spans="1:5" ht="14" x14ac:dyDescent="0.3">
      <c r="A146" s="119" t="s">
        <v>561</v>
      </c>
      <c r="B146" s="120">
        <v>40694</v>
      </c>
      <c r="C146" s="121">
        <v>150000</v>
      </c>
      <c r="D146" s="121">
        <v>142500</v>
      </c>
      <c r="E146" s="121">
        <v>7500</v>
      </c>
    </row>
    <row r="147" spans="1:5" ht="14" x14ac:dyDescent="0.3">
      <c r="A147" s="119" t="s">
        <v>677</v>
      </c>
      <c r="B147" s="120">
        <v>41285</v>
      </c>
      <c r="C147" s="121">
        <v>37500</v>
      </c>
      <c r="D147" s="121">
        <v>35625</v>
      </c>
      <c r="E147" s="121">
        <v>1875</v>
      </c>
    </row>
    <row r="148" spans="1:5" ht="14" x14ac:dyDescent="0.3">
      <c r="A148" s="119" t="s">
        <v>678</v>
      </c>
      <c r="B148" s="120">
        <v>44433</v>
      </c>
      <c r="C148" s="121">
        <v>49500</v>
      </c>
      <c r="D148" s="121">
        <v>40755</v>
      </c>
      <c r="E148" s="121">
        <v>8745</v>
      </c>
    </row>
    <row r="149" spans="1:5" ht="14" x14ac:dyDescent="0.3">
      <c r="A149" s="119" t="s">
        <v>737</v>
      </c>
      <c r="B149" s="120">
        <v>45541</v>
      </c>
      <c r="C149" s="121">
        <v>52770</v>
      </c>
      <c r="D149" s="121">
        <v>13368.4</v>
      </c>
      <c r="E149" s="121">
        <v>39401.599999999999</v>
      </c>
    </row>
    <row r="150" spans="1:5" ht="56" x14ac:dyDescent="0.3">
      <c r="A150" s="119" t="s">
        <v>679</v>
      </c>
      <c r="B150" s="120">
        <v>45735</v>
      </c>
      <c r="C150" s="121">
        <v>49500</v>
      </c>
      <c r="D150" s="121">
        <v>7053.75</v>
      </c>
      <c r="E150" s="121">
        <v>42446.25</v>
      </c>
    </row>
    <row r="151" spans="1:5" ht="14" x14ac:dyDescent="0.3">
      <c r="A151" s="126" t="s">
        <v>730</v>
      </c>
      <c r="B151" s="127"/>
      <c r="C151" s="124">
        <f>SUM(C142:C150)</f>
        <v>441318</v>
      </c>
      <c r="D151" s="124">
        <f>SUM(D142:D150)</f>
        <v>336247.95</v>
      </c>
      <c r="E151" s="124">
        <f>SUM(E142:E150)</f>
        <v>105070.05</v>
      </c>
    </row>
    <row r="152" spans="1:5" ht="14" x14ac:dyDescent="0.3">
      <c r="A152" s="116" t="s">
        <v>811</v>
      </c>
      <c r="B152" s="118"/>
      <c r="C152" s="118"/>
      <c r="D152" s="121"/>
      <c r="E152" s="121"/>
    </row>
    <row r="153" spans="1:5" ht="14" x14ac:dyDescent="0.3">
      <c r="A153" s="119" t="s">
        <v>680</v>
      </c>
      <c r="B153" s="120">
        <v>43098</v>
      </c>
      <c r="C153" s="121">
        <v>45600</v>
      </c>
      <c r="D153" s="121">
        <v>43319.69</v>
      </c>
      <c r="E153" s="121">
        <v>2280.31</v>
      </c>
    </row>
    <row r="154" spans="1:5" ht="14" x14ac:dyDescent="0.3">
      <c r="A154" s="119" t="s">
        <v>680</v>
      </c>
      <c r="B154" s="120">
        <v>43098</v>
      </c>
      <c r="C154" s="121">
        <v>45600</v>
      </c>
      <c r="D154" s="121">
        <v>43319.69</v>
      </c>
      <c r="E154" s="121">
        <v>2280.31</v>
      </c>
    </row>
    <row r="155" spans="1:5" ht="42" x14ac:dyDescent="0.3">
      <c r="A155" s="119" t="s">
        <v>681</v>
      </c>
      <c r="B155" s="120">
        <v>43318</v>
      </c>
      <c r="C155" s="121">
        <v>36625</v>
      </c>
      <c r="D155" s="121">
        <v>34793.660000000003</v>
      </c>
      <c r="E155" s="121">
        <v>1831.34</v>
      </c>
    </row>
    <row r="156" spans="1:5" ht="14" x14ac:dyDescent="0.3">
      <c r="A156" s="119" t="s">
        <v>682</v>
      </c>
      <c r="B156" s="120">
        <v>44333</v>
      </c>
      <c r="C156" s="121">
        <v>47500</v>
      </c>
      <c r="D156" s="121">
        <v>29546.09</v>
      </c>
      <c r="E156" s="121">
        <v>17953.91</v>
      </c>
    </row>
    <row r="157" spans="1:5" ht="14" x14ac:dyDescent="0.3">
      <c r="A157" s="126" t="s">
        <v>730</v>
      </c>
      <c r="B157" s="123"/>
      <c r="C157" s="124">
        <f>SUM(C153:C156)</f>
        <v>175325</v>
      </c>
      <c r="D157" s="124">
        <f>SUM(D153:D156)</f>
        <v>150979.13</v>
      </c>
      <c r="E157" s="124">
        <f>SUM(E153:E156)</f>
        <v>24345.87</v>
      </c>
    </row>
    <row r="158" spans="1:5" ht="14" x14ac:dyDescent="0.3">
      <c r="A158" s="116" t="s">
        <v>20</v>
      </c>
      <c r="B158" s="118"/>
      <c r="C158" s="118"/>
      <c r="D158" s="121"/>
      <c r="E158" s="121"/>
    </row>
    <row r="159" spans="1:5" ht="42" x14ac:dyDescent="0.3">
      <c r="A159" s="119" t="s">
        <v>812</v>
      </c>
      <c r="B159" s="120">
        <v>43376</v>
      </c>
      <c r="C159" s="121">
        <v>36200</v>
      </c>
      <c r="D159" s="121">
        <v>34390.096666666665</v>
      </c>
      <c r="E159" s="121">
        <v>1809.9033333333355</v>
      </c>
    </row>
    <row r="160" spans="1:5" ht="14" x14ac:dyDescent="0.3">
      <c r="A160" s="119" t="s">
        <v>738</v>
      </c>
      <c r="B160" s="120">
        <v>45084</v>
      </c>
      <c r="C160" s="121">
        <v>38600</v>
      </c>
      <c r="D160" s="121">
        <v>18946.166666666664</v>
      </c>
      <c r="E160" s="121">
        <v>19653.833333333336</v>
      </c>
    </row>
    <row r="161" spans="1:5" ht="14" x14ac:dyDescent="0.3">
      <c r="A161" s="119" t="s">
        <v>738</v>
      </c>
      <c r="B161" s="120">
        <v>45084</v>
      </c>
      <c r="C161" s="121">
        <v>38600</v>
      </c>
      <c r="D161" s="121">
        <v>18946.166666666664</v>
      </c>
      <c r="E161" s="121">
        <v>19653.833333333336</v>
      </c>
    </row>
    <row r="162" spans="1:5" ht="14" x14ac:dyDescent="0.3">
      <c r="A162" s="126" t="s">
        <v>730</v>
      </c>
      <c r="B162" s="123"/>
      <c r="C162" s="124">
        <f>SUM(C159:C161)</f>
        <v>113400</v>
      </c>
      <c r="D162" s="124">
        <f>SUM(D159:D161)</f>
        <v>72282.429999999993</v>
      </c>
      <c r="E162" s="124">
        <f>SUM(E159:E161)</f>
        <v>41117.570000000007</v>
      </c>
    </row>
    <row r="163" spans="1:5" ht="14" x14ac:dyDescent="0.3">
      <c r="A163" s="116" t="s">
        <v>817</v>
      </c>
      <c r="B163" s="118"/>
      <c r="C163" s="118"/>
      <c r="D163" s="121"/>
      <c r="E163" s="121"/>
    </row>
    <row r="164" spans="1:5" ht="14" x14ac:dyDescent="0.3">
      <c r="A164" s="119" t="s">
        <v>683</v>
      </c>
      <c r="B164" s="120">
        <v>42877</v>
      </c>
      <c r="C164" s="121">
        <v>435000</v>
      </c>
      <c r="D164" s="121">
        <v>354706.25</v>
      </c>
      <c r="E164" s="121">
        <v>80293.75</v>
      </c>
    </row>
    <row r="165" spans="1:5" ht="14" x14ac:dyDescent="0.3">
      <c r="A165" s="126" t="s">
        <v>730</v>
      </c>
      <c r="B165" s="123"/>
      <c r="C165" s="124">
        <f>SUM(C164:C164)</f>
        <v>435000</v>
      </c>
      <c r="D165" s="124">
        <f>SUM(D164:D164)</f>
        <v>354706.25</v>
      </c>
      <c r="E165" s="124">
        <f>SUM(E164:E164)</f>
        <v>80293.75</v>
      </c>
    </row>
    <row r="166" spans="1:5" ht="14" x14ac:dyDescent="0.3">
      <c r="A166" s="116" t="s">
        <v>19</v>
      </c>
      <c r="B166" s="118"/>
      <c r="C166" s="118"/>
      <c r="D166" s="121"/>
      <c r="E166" s="121"/>
    </row>
    <row r="167" spans="1:5" ht="14" x14ac:dyDescent="0.3">
      <c r="A167" s="119" t="s">
        <v>562</v>
      </c>
      <c r="B167" s="120">
        <v>38673</v>
      </c>
      <c r="C167" s="121">
        <v>233800</v>
      </c>
      <c r="D167" s="121">
        <v>210420</v>
      </c>
      <c r="E167" s="121">
        <v>23380</v>
      </c>
    </row>
    <row r="168" spans="1:5" ht="14" x14ac:dyDescent="0.3">
      <c r="A168" s="119" t="s">
        <v>563</v>
      </c>
      <c r="B168" s="120">
        <v>38705</v>
      </c>
      <c r="C168" s="121">
        <v>162000</v>
      </c>
      <c r="D168" s="121">
        <v>145800</v>
      </c>
      <c r="E168" s="121">
        <v>16200</v>
      </c>
    </row>
    <row r="169" spans="1:5" ht="14" x14ac:dyDescent="0.3">
      <c r="A169" s="126" t="s">
        <v>730</v>
      </c>
      <c r="B169" s="123"/>
      <c r="C169" s="124">
        <f>SUM(C167:C168)</f>
        <v>395800</v>
      </c>
      <c r="D169" s="124">
        <f>SUM(D167:D168)</f>
        <v>356220</v>
      </c>
      <c r="E169" s="124">
        <f>SUM(E167:E168)</f>
        <v>39580</v>
      </c>
    </row>
    <row r="170" spans="1:5" ht="14" x14ac:dyDescent="0.3">
      <c r="A170" s="116" t="s">
        <v>19</v>
      </c>
      <c r="B170" s="118"/>
      <c r="C170" s="118"/>
      <c r="D170" s="121"/>
      <c r="E170" s="121"/>
    </row>
    <row r="171" spans="1:5" ht="14" x14ac:dyDescent="0.3">
      <c r="A171" s="119" t="s">
        <v>564</v>
      </c>
      <c r="B171" s="120">
        <v>38210</v>
      </c>
      <c r="C171" s="121">
        <v>1950</v>
      </c>
      <c r="D171" s="121">
        <v>1755.6</v>
      </c>
      <c r="E171" s="121">
        <v>194.4</v>
      </c>
    </row>
    <row r="172" spans="1:5" ht="14" x14ac:dyDescent="0.3">
      <c r="A172" s="119" t="s">
        <v>565</v>
      </c>
      <c r="B172" s="120">
        <v>38210</v>
      </c>
      <c r="C172" s="121">
        <v>39850</v>
      </c>
      <c r="D172" s="121">
        <v>35865.599999999999</v>
      </c>
      <c r="E172" s="121">
        <v>3984.4</v>
      </c>
    </row>
    <row r="173" spans="1:5" ht="14" x14ac:dyDescent="0.3">
      <c r="A173" s="119" t="s">
        <v>684</v>
      </c>
      <c r="B173" s="120">
        <v>38210</v>
      </c>
      <c r="C173" s="121">
        <v>20500</v>
      </c>
      <c r="D173" s="121">
        <v>18450</v>
      </c>
      <c r="E173" s="121">
        <v>2050</v>
      </c>
    </row>
    <row r="174" spans="1:5" ht="14" x14ac:dyDescent="0.3">
      <c r="A174" s="119" t="s">
        <v>566</v>
      </c>
      <c r="B174" s="120">
        <v>38210</v>
      </c>
      <c r="C174" s="121">
        <v>3250</v>
      </c>
      <c r="D174" s="121">
        <v>2925.6</v>
      </c>
      <c r="E174" s="121">
        <v>324.39999999999998</v>
      </c>
    </row>
    <row r="175" spans="1:5" ht="14" x14ac:dyDescent="0.3">
      <c r="A175" s="119" t="s">
        <v>685</v>
      </c>
      <c r="B175" s="120">
        <v>38210</v>
      </c>
      <c r="C175" s="121">
        <v>44225</v>
      </c>
      <c r="D175" s="121">
        <v>39802.5</v>
      </c>
      <c r="E175" s="121">
        <v>4422.5</v>
      </c>
    </row>
    <row r="176" spans="1:5" ht="14" x14ac:dyDescent="0.3">
      <c r="A176" s="119" t="s">
        <v>686</v>
      </c>
      <c r="B176" s="120">
        <v>39805</v>
      </c>
      <c r="C176" s="121">
        <v>26106.959999999999</v>
      </c>
      <c r="D176" s="121">
        <v>23496.26</v>
      </c>
      <c r="E176" s="121">
        <v>2610.6999999999998</v>
      </c>
    </row>
    <row r="177" spans="1:5" ht="14" x14ac:dyDescent="0.3">
      <c r="A177" s="119" t="s">
        <v>687</v>
      </c>
      <c r="B177" s="120">
        <v>39845</v>
      </c>
      <c r="C177" s="121">
        <v>34342.76</v>
      </c>
      <c r="D177" s="121">
        <v>30908.48</v>
      </c>
      <c r="E177" s="121">
        <v>3434.28</v>
      </c>
    </row>
    <row r="178" spans="1:5" ht="14" x14ac:dyDescent="0.3">
      <c r="A178" s="119" t="s">
        <v>688</v>
      </c>
      <c r="B178" s="120">
        <v>39873</v>
      </c>
      <c r="C178" s="121">
        <v>14964.64</v>
      </c>
      <c r="D178" s="121">
        <v>13468.18</v>
      </c>
      <c r="E178" s="121">
        <v>1496.46</v>
      </c>
    </row>
    <row r="179" spans="1:5" ht="14" x14ac:dyDescent="0.3">
      <c r="A179" s="119" t="s">
        <v>687</v>
      </c>
      <c r="B179" s="120">
        <v>39873</v>
      </c>
      <c r="C179" s="121">
        <v>45433.440000000002</v>
      </c>
      <c r="D179" s="121">
        <v>40890.1</v>
      </c>
      <c r="E179" s="121">
        <v>4543.34</v>
      </c>
    </row>
    <row r="180" spans="1:5" ht="14" x14ac:dyDescent="0.3">
      <c r="A180" s="119" t="s">
        <v>689</v>
      </c>
      <c r="B180" s="120">
        <v>40062</v>
      </c>
      <c r="C180" s="121">
        <v>22242</v>
      </c>
      <c r="D180" s="121">
        <v>20017.8</v>
      </c>
      <c r="E180" s="121">
        <v>2224.1999999999998</v>
      </c>
    </row>
    <row r="181" spans="1:5" ht="14" x14ac:dyDescent="0.3">
      <c r="A181" s="119" t="s">
        <v>690</v>
      </c>
      <c r="B181" s="120">
        <v>40062</v>
      </c>
      <c r="C181" s="121">
        <v>30444.12</v>
      </c>
      <c r="D181" s="121">
        <v>27399.71</v>
      </c>
      <c r="E181" s="121">
        <v>3044.41</v>
      </c>
    </row>
    <row r="182" spans="1:5" ht="14" x14ac:dyDescent="0.3">
      <c r="A182" s="119" t="s">
        <v>691</v>
      </c>
      <c r="B182" s="120">
        <v>39995</v>
      </c>
      <c r="C182" s="121">
        <v>18602.32</v>
      </c>
      <c r="D182" s="121">
        <v>16742.09</v>
      </c>
      <c r="E182" s="121">
        <v>1860.23</v>
      </c>
    </row>
    <row r="183" spans="1:5" ht="14" x14ac:dyDescent="0.3">
      <c r="A183" s="119" t="s">
        <v>692</v>
      </c>
      <c r="B183" s="120">
        <v>40026</v>
      </c>
      <c r="C183" s="121">
        <v>21840.12</v>
      </c>
      <c r="D183" s="121">
        <v>19656.11</v>
      </c>
      <c r="E183" s="121">
        <v>2184.0100000000002</v>
      </c>
    </row>
    <row r="184" spans="1:5" ht="14" x14ac:dyDescent="0.3">
      <c r="A184" s="119" t="s">
        <v>693</v>
      </c>
      <c r="B184" s="120">
        <v>40057</v>
      </c>
      <c r="C184" s="121">
        <v>165056.14000000001</v>
      </c>
      <c r="D184" s="121">
        <v>120697.21</v>
      </c>
      <c r="E184" s="121">
        <v>44358.93</v>
      </c>
    </row>
    <row r="185" spans="1:5" ht="14" x14ac:dyDescent="0.3">
      <c r="A185" s="119" t="s">
        <v>694</v>
      </c>
      <c r="B185" s="120">
        <v>40057</v>
      </c>
      <c r="C185" s="121">
        <v>35539.199999999997</v>
      </c>
      <c r="D185" s="121">
        <v>31985.279999999999</v>
      </c>
      <c r="E185" s="121">
        <v>3553.92</v>
      </c>
    </row>
    <row r="186" spans="1:5" ht="14" x14ac:dyDescent="0.3">
      <c r="A186" s="119" t="s">
        <v>695</v>
      </c>
      <c r="B186" s="120">
        <v>40057</v>
      </c>
      <c r="C186" s="121">
        <v>27219.200000000001</v>
      </c>
      <c r="D186" s="121">
        <v>24497.279999999999</v>
      </c>
      <c r="E186" s="121">
        <v>2721.92</v>
      </c>
    </row>
    <row r="187" spans="1:5" ht="14" x14ac:dyDescent="0.3">
      <c r="A187" s="119" t="s">
        <v>696</v>
      </c>
      <c r="B187" s="120">
        <v>40078</v>
      </c>
      <c r="C187" s="121">
        <v>26848</v>
      </c>
      <c r="D187" s="121">
        <v>24163.200000000001</v>
      </c>
      <c r="E187" s="121">
        <v>2684.8</v>
      </c>
    </row>
    <row r="188" spans="1:5" ht="14" x14ac:dyDescent="0.3">
      <c r="A188" s="119" t="s">
        <v>697</v>
      </c>
      <c r="B188" s="120">
        <v>40118</v>
      </c>
      <c r="C188" s="121">
        <v>28529.52</v>
      </c>
      <c r="D188" s="121">
        <v>25676.57</v>
      </c>
      <c r="E188" s="121">
        <v>2852.95</v>
      </c>
    </row>
    <row r="189" spans="1:5" ht="14" x14ac:dyDescent="0.3">
      <c r="A189" s="119" t="s">
        <v>698</v>
      </c>
      <c r="B189" s="120">
        <v>40118</v>
      </c>
      <c r="C189" s="121">
        <v>43772.56</v>
      </c>
      <c r="D189" s="121">
        <v>39395.300000000003</v>
      </c>
      <c r="E189" s="121">
        <v>4377.26</v>
      </c>
    </row>
    <row r="190" spans="1:5" ht="14" x14ac:dyDescent="0.3">
      <c r="A190" s="119" t="s">
        <v>699</v>
      </c>
      <c r="B190" s="120">
        <v>40905</v>
      </c>
      <c r="C190" s="121">
        <v>36550</v>
      </c>
      <c r="D190" s="121">
        <v>32895</v>
      </c>
      <c r="E190" s="121">
        <v>3655</v>
      </c>
    </row>
    <row r="191" spans="1:5" ht="14" x14ac:dyDescent="0.3">
      <c r="A191" s="119" t="s">
        <v>700</v>
      </c>
      <c r="B191" s="120">
        <v>40996</v>
      </c>
      <c r="C191" s="121">
        <v>15000</v>
      </c>
      <c r="D191" s="121">
        <v>13500</v>
      </c>
      <c r="E191" s="121">
        <v>1500</v>
      </c>
    </row>
    <row r="192" spans="1:5" ht="28" x14ac:dyDescent="0.3">
      <c r="A192" s="119" t="s">
        <v>701</v>
      </c>
      <c r="B192" s="120">
        <v>43340</v>
      </c>
      <c r="C192" s="121">
        <v>48240.9</v>
      </c>
      <c r="D192" s="121">
        <v>16803.689999999999</v>
      </c>
      <c r="E192" s="121">
        <v>31437.21</v>
      </c>
    </row>
    <row r="193" spans="1:5" ht="28" x14ac:dyDescent="0.3">
      <c r="A193" s="119" t="s">
        <v>702</v>
      </c>
      <c r="B193" s="120">
        <v>43356</v>
      </c>
      <c r="C193" s="121">
        <v>24447.7</v>
      </c>
      <c r="D193" s="121">
        <v>8419.0400000000009</v>
      </c>
      <c r="E193" s="121">
        <v>16028.66</v>
      </c>
    </row>
    <row r="194" spans="1:5" ht="28" x14ac:dyDescent="0.3">
      <c r="A194" s="119" t="s">
        <v>703</v>
      </c>
      <c r="B194" s="120">
        <v>42773</v>
      </c>
      <c r="C194" s="121">
        <v>20875.400000000001</v>
      </c>
      <c r="D194" s="121">
        <v>17517.650000000001</v>
      </c>
      <c r="E194" s="121">
        <v>3357.75</v>
      </c>
    </row>
    <row r="195" spans="1:5" ht="28" x14ac:dyDescent="0.3">
      <c r="A195" s="119" t="s">
        <v>704</v>
      </c>
      <c r="B195" s="120">
        <v>42787</v>
      </c>
      <c r="C195" s="121">
        <v>13609.8</v>
      </c>
      <c r="D195" s="121">
        <v>11420.54</v>
      </c>
      <c r="E195" s="121">
        <v>2189.2600000000002</v>
      </c>
    </row>
    <row r="196" spans="1:5" ht="28" x14ac:dyDescent="0.3">
      <c r="A196" s="119" t="s">
        <v>705</v>
      </c>
      <c r="B196" s="120">
        <v>43371</v>
      </c>
      <c r="C196" s="121">
        <v>16445.7</v>
      </c>
      <c r="D196" s="121">
        <v>5663.64</v>
      </c>
      <c r="E196" s="121">
        <v>10782.06</v>
      </c>
    </row>
    <row r="197" spans="1:5" ht="14" x14ac:dyDescent="0.3">
      <c r="A197" s="119" t="s">
        <v>706</v>
      </c>
      <c r="B197" s="120">
        <v>43076</v>
      </c>
      <c r="C197" s="121">
        <v>49025.599999999999</v>
      </c>
      <c r="D197" s="121">
        <v>37259.5</v>
      </c>
      <c r="E197" s="121">
        <v>11766.1</v>
      </c>
    </row>
    <row r="198" spans="1:5" ht="14" x14ac:dyDescent="0.3">
      <c r="A198" s="119" t="s">
        <v>707</v>
      </c>
      <c r="B198" s="120">
        <v>43125</v>
      </c>
      <c r="C198" s="121">
        <v>14615</v>
      </c>
      <c r="D198" s="121">
        <v>13884</v>
      </c>
      <c r="E198" s="121">
        <v>731</v>
      </c>
    </row>
    <row r="199" spans="1:5" ht="14" x14ac:dyDescent="0.3">
      <c r="A199" s="119" t="s">
        <v>708</v>
      </c>
      <c r="B199" s="120">
        <v>43220</v>
      </c>
      <c r="C199" s="121">
        <v>48209</v>
      </c>
      <c r="D199" s="121">
        <v>45798.6</v>
      </c>
      <c r="E199" s="121">
        <v>2410.4</v>
      </c>
    </row>
    <row r="200" spans="1:5" ht="14" x14ac:dyDescent="0.3">
      <c r="A200" s="119" t="s">
        <v>709</v>
      </c>
      <c r="B200" s="120">
        <v>43220</v>
      </c>
      <c r="C200" s="121">
        <v>28994</v>
      </c>
      <c r="D200" s="121">
        <v>27544.2</v>
      </c>
      <c r="E200" s="121">
        <v>1449.8</v>
      </c>
    </row>
    <row r="201" spans="1:5" ht="14" x14ac:dyDescent="0.3">
      <c r="A201" s="119" t="s">
        <v>710</v>
      </c>
      <c r="B201" s="120">
        <v>43223</v>
      </c>
      <c r="C201" s="121">
        <v>16770</v>
      </c>
      <c r="D201" s="121">
        <v>15931.8</v>
      </c>
      <c r="E201" s="121">
        <v>838.2</v>
      </c>
    </row>
    <row r="202" spans="1:5" ht="14" x14ac:dyDescent="0.3">
      <c r="A202" s="119" t="s">
        <v>567</v>
      </c>
      <c r="B202" s="120">
        <v>43244</v>
      </c>
      <c r="C202" s="121">
        <v>35790</v>
      </c>
      <c r="D202" s="121">
        <v>34000.800000000003</v>
      </c>
      <c r="E202" s="121">
        <v>1789.2</v>
      </c>
    </row>
    <row r="203" spans="1:5" ht="14" x14ac:dyDescent="0.3">
      <c r="A203" s="119" t="s">
        <v>711</v>
      </c>
      <c r="B203" s="120">
        <v>43270</v>
      </c>
      <c r="C203" s="121">
        <v>19969</v>
      </c>
      <c r="D203" s="121">
        <v>18970.8</v>
      </c>
      <c r="E203" s="121">
        <v>998.2</v>
      </c>
    </row>
    <row r="204" spans="1:5" ht="14" x14ac:dyDescent="0.3">
      <c r="A204" s="119" t="s">
        <v>712</v>
      </c>
      <c r="B204" s="120">
        <v>43462</v>
      </c>
      <c r="C204" s="121">
        <v>49025.599999999999</v>
      </c>
      <c r="D204" s="121">
        <v>16301.03</v>
      </c>
      <c r="E204" s="121">
        <v>32724.57</v>
      </c>
    </row>
    <row r="205" spans="1:5" ht="14" x14ac:dyDescent="0.3">
      <c r="A205" s="119" t="s">
        <v>713</v>
      </c>
      <c r="B205" s="120">
        <v>43822</v>
      </c>
      <c r="C205" s="121">
        <v>46774</v>
      </c>
      <c r="D205" s="121">
        <v>13330.73</v>
      </c>
      <c r="E205" s="121">
        <v>33443.269999999997</v>
      </c>
    </row>
    <row r="206" spans="1:5" ht="14" x14ac:dyDescent="0.3">
      <c r="A206" s="119" t="s">
        <v>714</v>
      </c>
      <c r="B206" s="120">
        <v>43825</v>
      </c>
      <c r="C206" s="121">
        <v>37430</v>
      </c>
      <c r="D206" s="121">
        <v>10667.53</v>
      </c>
      <c r="E206" s="121">
        <v>26762.47</v>
      </c>
    </row>
    <row r="207" spans="1:5" ht="14" x14ac:dyDescent="0.3">
      <c r="A207" s="119" t="s">
        <v>715</v>
      </c>
      <c r="B207" s="120">
        <v>43537</v>
      </c>
      <c r="C207" s="121">
        <v>25717.919999999998</v>
      </c>
      <c r="D207" s="121">
        <v>8245.7999999999993</v>
      </c>
      <c r="E207" s="121">
        <v>17472.12</v>
      </c>
    </row>
    <row r="208" spans="1:5" ht="14" x14ac:dyDescent="0.3">
      <c r="A208" s="119" t="s">
        <v>716</v>
      </c>
      <c r="B208" s="120">
        <v>43634</v>
      </c>
      <c r="C208" s="121">
        <v>22616.95</v>
      </c>
      <c r="D208" s="121">
        <v>6983.23</v>
      </c>
      <c r="E208" s="121">
        <v>15633.72</v>
      </c>
    </row>
    <row r="209" spans="1:5" ht="14" x14ac:dyDescent="0.3">
      <c r="A209" s="119" t="s">
        <v>717</v>
      </c>
      <c r="B209" s="120">
        <v>43644</v>
      </c>
      <c r="C209" s="121">
        <v>25724.92</v>
      </c>
      <c r="D209" s="121">
        <v>7942.69</v>
      </c>
      <c r="E209" s="121">
        <v>17782.23</v>
      </c>
    </row>
    <row r="210" spans="1:5" ht="14" x14ac:dyDescent="0.3">
      <c r="A210" s="119" t="s">
        <v>718</v>
      </c>
      <c r="B210" s="120">
        <v>43644</v>
      </c>
      <c r="C210" s="121">
        <v>34683.58</v>
      </c>
      <c r="D210" s="121">
        <v>10708.6</v>
      </c>
      <c r="E210" s="121">
        <v>23974.98</v>
      </c>
    </row>
    <row r="211" spans="1:5" ht="14" x14ac:dyDescent="0.3">
      <c r="A211" s="119" t="s">
        <v>719</v>
      </c>
      <c r="B211" s="120">
        <v>43658</v>
      </c>
      <c r="C211" s="121">
        <v>21998.77</v>
      </c>
      <c r="D211" s="121">
        <v>6705.12</v>
      </c>
      <c r="E211" s="121">
        <v>15293.65</v>
      </c>
    </row>
    <row r="212" spans="1:5" ht="14" x14ac:dyDescent="0.3">
      <c r="A212" s="119" t="s">
        <v>720</v>
      </c>
      <c r="B212" s="120">
        <v>43658</v>
      </c>
      <c r="C212" s="121">
        <v>34432.660000000003</v>
      </c>
      <c r="D212" s="121">
        <v>10495</v>
      </c>
      <c r="E212" s="121">
        <v>23937.66</v>
      </c>
    </row>
    <row r="213" spans="1:5" ht="14" x14ac:dyDescent="0.3">
      <c r="A213" s="119" t="s">
        <v>721</v>
      </c>
      <c r="B213" s="120">
        <v>43691</v>
      </c>
      <c r="C213" s="121">
        <v>39058.550000000003</v>
      </c>
      <c r="D213" s="121">
        <v>11750.28</v>
      </c>
      <c r="E213" s="121">
        <v>27308.27</v>
      </c>
    </row>
    <row r="214" spans="1:5" ht="14" x14ac:dyDescent="0.3">
      <c r="A214" s="119" t="s">
        <v>722</v>
      </c>
      <c r="B214" s="120">
        <v>43826</v>
      </c>
      <c r="C214" s="121">
        <v>43518.57</v>
      </c>
      <c r="D214" s="121">
        <v>12402.74</v>
      </c>
      <c r="E214" s="121">
        <v>31115.83</v>
      </c>
    </row>
    <row r="215" spans="1:5" ht="28" x14ac:dyDescent="0.3">
      <c r="A215" s="119" t="s">
        <v>723</v>
      </c>
      <c r="B215" s="120">
        <v>44522</v>
      </c>
      <c r="C215" s="121">
        <v>17800</v>
      </c>
      <c r="D215" s="121">
        <v>3452.5</v>
      </c>
      <c r="E215" s="121">
        <v>14347.5</v>
      </c>
    </row>
    <row r="216" spans="1:5" ht="28" x14ac:dyDescent="0.3">
      <c r="A216" s="119" t="s">
        <v>724</v>
      </c>
      <c r="B216" s="120">
        <v>45653</v>
      </c>
      <c r="C216" s="121">
        <v>48724.800000000003</v>
      </c>
      <c r="D216" s="121">
        <v>4628.8599999999997</v>
      </c>
      <c r="E216" s="121">
        <v>44095.94</v>
      </c>
    </row>
    <row r="217" spans="1:5" ht="28" x14ac:dyDescent="0.3">
      <c r="A217" s="119" t="s">
        <v>725</v>
      </c>
      <c r="B217" s="120">
        <v>46017</v>
      </c>
      <c r="C217" s="121">
        <v>16284</v>
      </c>
      <c r="D217" s="121">
        <v>0</v>
      </c>
      <c r="E217" s="121">
        <v>16284</v>
      </c>
    </row>
    <row r="218" spans="1:5" ht="14" x14ac:dyDescent="0.3">
      <c r="A218" s="126" t="s">
        <v>730</v>
      </c>
      <c r="B218" s="123"/>
      <c r="C218" s="124">
        <f>SUM(C171:C217)</f>
        <v>1503048.4</v>
      </c>
      <c r="D218" s="124">
        <f>SUM(D171:D217)</f>
        <v>981016.24000000022</v>
      </c>
      <c r="E218" s="124">
        <f>SUM(E171:E217)</f>
        <v>522032.16</v>
      </c>
    </row>
    <row r="219" spans="1:5" ht="14" x14ac:dyDescent="0.3">
      <c r="A219" s="128" t="s">
        <v>818</v>
      </c>
      <c r="B219" s="129"/>
      <c r="C219" s="130"/>
      <c r="D219" s="121"/>
      <c r="E219" s="121"/>
    </row>
    <row r="220" spans="1:5" ht="28" x14ac:dyDescent="0.3">
      <c r="A220" s="131" t="s">
        <v>739</v>
      </c>
      <c r="B220" s="132">
        <v>45653</v>
      </c>
      <c r="C220" s="133">
        <v>31589.01</v>
      </c>
      <c r="D220" s="121">
        <v>1000.3186499999998</v>
      </c>
      <c r="E220" s="121">
        <v>30588.691349999997</v>
      </c>
    </row>
    <row r="221" spans="1:5" ht="28" x14ac:dyDescent="0.3">
      <c r="A221" s="131" t="s">
        <v>740</v>
      </c>
      <c r="B221" s="132">
        <v>45653</v>
      </c>
      <c r="C221" s="133">
        <v>31611.63</v>
      </c>
      <c r="D221" s="121">
        <v>1001.03495</v>
      </c>
      <c r="E221" s="121">
        <v>30610.59505</v>
      </c>
    </row>
    <row r="222" spans="1:5" ht="14" x14ac:dyDescent="0.3">
      <c r="A222" s="131" t="s">
        <v>741</v>
      </c>
      <c r="B222" s="132">
        <v>45653</v>
      </c>
      <c r="C222" s="133">
        <v>36096.6</v>
      </c>
      <c r="D222" s="121">
        <v>1143.059</v>
      </c>
      <c r="E222" s="121">
        <v>34953.540999999997</v>
      </c>
    </row>
    <row r="223" spans="1:5" ht="28" x14ac:dyDescent="0.3">
      <c r="A223" s="131" t="s">
        <v>742</v>
      </c>
      <c r="B223" s="132">
        <v>45919</v>
      </c>
      <c r="C223" s="133">
        <v>39848.86</v>
      </c>
      <c r="D223" s="121">
        <v>315.47014166666668</v>
      </c>
      <c r="E223" s="121">
        <v>39533.389858333336</v>
      </c>
    </row>
    <row r="224" spans="1:5" ht="28" x14ac:dyDescent="0.3">
      <c r="A224" s="131" t="s">
        <v>743</v>
      </c>
      <c r="B224" s="132">
        <v>45919</v>
      </c>
      <c r="C224" s="133">
        <v>44284.05</v>
      </c>
      <c r="D224" s="121">
        <v>350.58206250000001</v>
      </c>
      <c r="E224" s="121">
        <v>43933.467937500005</v>
      </c>
    </row>
    <row r="225" spans="1:5" ht="14" x14ac:dyDescent="0.3">
      <c r="A225" s="131" t="s">
        <v>744</v>
      </c>
      <c r="B225" s="132">
        <v>46017</v>
      </c>
      <c r="C225" s="133">
        <v>43622</v>
      </c>
      <c r="D225" s="121">
        <v>0</v>
      </c>
      <c r="E225" s="121">
        <v>43622</v>
      </c>
    </row>
    <row r="226" spans="1:5" ht="14" x14ac:dyDescent="0.3">
      <c r="A226" s="126" t="s">
        <v>730</v>
      </c>
      <c r="B226" s="123"/>
      <c r="C226" s="124">
        <f>SUM(C220:C225)</f>
        <v>227052.14999999997</v>
      </c>
      <c r="D226" s="124">
        <f>SUM(D220:D225)</f>
        <v>3810.4648041666665</v>
      </c>
      <c r="E226" s="124">
        <f>SUM(E220:E225)</f>
        <v>223241.68519583336</v>
      </c>
    </row>
    <row r="227" spans="1:5" ht="14" x14ac:dyDescent="0.3">
      <c r="A227" s="128" t="s">
        <v>549</v>
      </c>
      <c r="B227" s="129"/>
      <c r="C227" s="130"/>
      <c r="D227" s="121"/>
      <c r="E227" s="121"/>
    </row>
    <row r="228" spans="1:5" ht="14" x14ac:dyDescent="0.3">
      <c r="A228" s="131" t="s">
        <v>745</v>
      </c>
      <c r="B228" s="132">
        <v>42367</v>
      </c>
      <c r="C228" s="133">
        <v>48590</v>
      </c>
      <c r="D228" s="121">
        <v>19436.32</v>
      </c>
      <c r="E228" s="121">
        <v>29153.68</v>
      </c>
    </row>
    <row r="229" spans="1:5" ht="14" x14ac:dyDescent="0.3">
      <c r="A229" s="131" t="s">
        <v>746</v>
      </c>
      <c r="B229" s="132">
        <v>42632</v>
      </c>
      <c r="C229" s="133">
        <v>5585</v>
      </c>
      <c r="D229" s="121">
        <v>2066.7399999999998</v>
      </c>
      <c r="E229" s="121">
        <v>3518.26</v>
      </c>
    </row>
    <row r="230" spans="1:5" ht="28" x14ac:dyDescent="0.3">
      <c r="A230" s="131" t="s">
        <v>747</v>
      </c>
      <c r="B230" s="132">
        <v>43098</v>
      </c>
      <c r="C230" s="133">
        <v>33002</v>
      </c>
      <c r="D230" s="121">
        <v>10560.88</v>
      </c>
      <c r="E230" s="121">
        <v>22441.119999999999</v>
      </c>
    </row>
    <row r="231" spans="1:5" ht="14" x14ac:dyDescent="0.3">
      <c r="A231" s="131" t="s">
        <v>748</v>
      </c>
      <c r="B231" s="132">
        <v>43098</v>
      </c>
      <c r="C231" s="133">
        <v>10095</v>
      </c>
      <c r="D231" s="121">
        <v>3230.4</v>
      </c>
      <c r="E231" s="121">
        <v>6864.6</v>
      </c>
    </row>
    <row r="232" spans="1:5" ht="14" x14ac:dyDescent="0.3">
      <c r="A232" s="131" t="s">
        <v>727</v>
      </c>
      <c r="B232" s="132">
        <v>43140</v>
      </c>
      <c r="C232" s="133">
        <v>33516</v>
      </c>
      <c r="D232" s="121">
        <v>10501.68</v>
      </c>
      <c r="E232" s="121">
        <v>23014.32</v>
      </c>
    </row>
    <row r="233" spans="1:5" ht="28" x14ac:dyDescent="0.3">
      <c r="A233" s="131" t="s">
        <v>749</v>
      </c>
      <c r="B233" s="132">
        <v>43129</v>
      </c>
      <c r="C233" s="133">
        <v>4746.95</v>
      </c>
      <c r="D233" s="121">
        <v>1502.98</v>
      </c>
      <c r="E233" s="121">
        <v>3243.97</v>
      </c>
    </row>
    <row r="234" spans="1:5" ht="14" x14ac:dyDescent="0.3">
      <c r="A234" s="131" t="s">
        <v>750</v>
      </c>
      <c r="B234" s="132">
        <v>43129</v>
      </c>
      <c r="C234" s="133">
        <v>11811.05</v>
      </c>
      <c r="D234" s="121">
        <v>3740.15</v>
      </c>
      <c r="E234" s="121">
        <v>8070.9</v>
      </c>
    </row>
    <row r="235" spans="1:5" ht="14" x14ac:dyDescent="0.3">
      <c r="A235" s="131" t="s">
        <v>750</v>
      </c>
      <c r="B235" s="132">
        <v>43180</v>
      </c>
      <c r="C235" s="133">
        <v>24382</v>
      </c>
      <c r="D235" s="121">
        <v>7558.19</v>
      </c>
      <c r="E235" s="121">
        <v>16823.810000000001</v>
      </c>
    </row>
    <row r="236" spans="1:5" ht="14" x14ac:dyDescent="0.3">
      <c r="A236" s="131" t="s">
        <v>750</v>
      </c>
      <c r="B236" s="132">
        <v>43195</v>
      </c>
      <c r="C236" s="133">
        <v>19119.099999999999</v>
      </c>
      <c r="D236" s="121">
        <v>5863.17</v>
      </c>
      <c r="E236" s="121">
        <v>13255.93</v>
      </c>
    </row>
    <row r="237" spans="1:5" ht="14" x14ac:dyDescent="0.3">
      <c r="A237" s="131" t="s">
        <v>751</v>
      </c>
      <c r="B237" s="132">
        <v>43195</v>
      </c>
      <c r="C237" s="133">
        <v>27206.3</v>
      </c>
      <c r="D237" s="121">
        <v>8343.42</v>
      </c>
      <c r="E237" s="121">
        <v>18862.88</v>
      </c>
    </row>
    <row r="238" spans="1:5" ht="28" x14ac:dyDescent="0.3">
      <c r="A238" s="131" t="s">
        <v>752</v>
      </c>
      <c r="B238" s="132">
        <v>43266</v>
      </c>
      <c r="C238" s="133">
        <v>15237.35</v>
      </c>
      <c r="D238" s="121">
        <v>4571.13</v>
      </c>
      <c r="E238" s="121">
        <v>10666.22</v>
      </c>
    </row>
    <row r="239" spans="1:5" ht="14" x14ac:dyDescent="0.3">
      <c r="A239" s="131" t="s">
        <v>753</v>
      </c>
      <c r="B239" s="132">
        <v>43528</v>
      </c>
      <c r="C239" s="133">
        <v>30976.14</v>
      </c>
      <c r="D239" s="121">
        <v>8363.34</v>
      </c>
      <c r="E239" s="121">
        <v>22612.799999999999</v>
      </c>
    </row>
    <row r="240" spans="1:5" ht="14" x14ac:dyDescent="0.3">
      <c r="A240" s="131" t="s">
        <v>754</v>
      </c>
      <c r="B240" s="132">
        <v>43551</v>
      </c>
      <c r="C240" s="133">
        <v>25180.98</v>
      </c>
      <c r="D240" s="121">
        <v>6799.06</v>
      </c>
      <c r="E240" s="121">
        <v>18381.919999999998</v>
      </c>
    </row>
    <row r="241" spans="1:5" ht="14" x14ac:dyDescent="0.3">
      <c r="A241" s="131" t="s">
        <v>755</v>
      </c>
      <c r="B241" s="132">
        <v>44081</v>
      </c>
      <c r="C241" s="133">
        <v>35063.599999999999</v>
      </c>
      <c r="D241" s="121">
        <v>7363.41</v>
      </c>
      <c r="E241" s="121">
        <v>27700.19</v>
      </c>
    </row>
    <row r="242" spans="1:5" ht="28" x14ac:dyDescent="0.3">
      <c r="A242" s="131" t="s">
        <v>756</v>
      </c>
      <c r="B242" s="132">
        <v>44140</v>
      </c>
      <c r="C242" s="133">
        <v>34000</v>
      </c>
      <c r="D242" s="121">
        <v>6913.21</v>
      </c>
      <c r="E242" s="121">
        <v>27086.79</v>
      </c>
    </row>
    <row r="243" spans="1:5" ht="14" x14ac:dyDescent="0.3">
      <c r="A243" s="131" t="s">
        <v>757</v>
      </c>
      <c r="B243" s="132">
        <v>44425</v>
      </c>
      <c r="C243" s="133">
        <v>26431.7</v>
      </c>
      <c r="D243" s="121">
        <v>4581.62</v>
      </c>
      <c r="E243" s="121">
        <v>21850.080000000002</v>
      </c>
    </row>
    <row r="244" spans="1:5" ht="14" x14ac:dyDescent="0.3">
      <c r="A244" s="131" t="s">
        <v>758</v>
      </c>
      <c r="B244" s="132">
        <v>44454</v>
      </c>
      <c r="C244" s="133">
        <v>12715.73</v>
      </c>
      <c r="D244" s="121">
        <v>2161.79</v>
      </c>
      <c r="E244" s="121">
        <v>10553.94</v>
      </c>
    </row>
    <row r="245" spans="1:5" ht="14" x14ac:dyDescent="0.3">
      <c r="A245" s="131" t="s">
        <v>759</v>
      </c>
      <c r="B245" s="132">
        <v>44551</v>
      </c>
      <c r="C245" s="133">
        <v>27547.05</v>
      </c>
      <c r="D245" s="121">
        <v>4407.4399999999996</v>
      </c>
      <c r="E245" s="121">
        <v>23139.61</v>
      </c>
    </row>
    <row r="246" spans="1:5" ht="14" x14ac:dyDescent="0.3">
      <c r="A246" s="131" t="s">
        <v>760</v>
      </c>
      <c r="B246" s="132">
        <v>44561</v>
      </c>
      <c r="C246" s="133">
        <v>32111</v>
      </c>
      <c r="D246" s="121">
        <v>5137.84</v>
      </c>
      <c r="E246" s="121">
        <v>26973.16</v>
      </c>
    </row>
    <row r="247" spans="1:5" ht="14" x14ac:dyDescent="0.3">
      <c r="A247" s="131" t="s">
        <v>761</v>
      </c>
      <c r="B247" s="132">
        <v>45562</v>
      </c>
      <c r="C247" s="133">
        <v>49523.97</v>
      </c>
      <c r="D247" s="121">
        <v>6190.5</v>
      </c>
      <c r="E247" s="121">
        <v>43333.47</v>
      </c>
    </row>
    <row r="248" spans="1:5" ht="28" x14ac:dyDescent="0.3">
      <c r="A248" s="131" t="s">
        <v>762</v>
      </c>
      <c r="B248" s="132">
        <v>45635</v>
      </c>
      <c r="C248" s="133">
        <v>47051.77</v>
      </c>
      <c r="D248" s="121">
        <v>5097.28</v>
      </c>
      <c r="E248" s="121">
        <v>41954.49</v>
      </c>
    </row>
    <row r="249" spans="1:5" ht="14" x14ac:dyDescent="0.3">
      <c r="A249" s="131" t="s">
        <v>763</v>
      </c>
      <c r="B249" s="132">
        <v>45974</v>
      </c>
      <c r="C249" s="133">
        <v>45268.91</v>
      </c>
      <c r="D249" s="121">
        <v>754.48</v>
      </c>
      <c r="E249" s="121">
        <v>44514.43</v>
      </c>
    </row>
    <row r="250" spans="1:5" ht="14" x14ac:dyDescent="0.3">
      <c r="A250" s="131" t="s">
        <v>764</v>
      </c>
      <c r="B250" s="132">
        <v>46017</v>
      </c>
      <c r="C250" s="133">
        <v>30350</v>
      </c>
      <c r="D250" s="121">
        <v>0</v>
      </c>
      <c r="E250" s="121">
        <v>30350</v>
      </c>
    </row>
    <row r="251" spans="1:5" ht="28" x14ac:dyDescent="0.3">
      <c r="A251" s="131" t="s">
        <v>765</v>
      </c>
      <c r="B251" s="132">
        <v>46017</v>
      </c>
      <c r="C251" s="133">
        <v>47754</v>
      </c>
      <c r="D251" s="121">
        <v>0</v>
      </c>
      <c r="E251" s="121">
        <v>47754</v>
      </c>
    </row>
    <row r="252" spans="1:5" ht="14" x14ac:dyDescent="0.3">
      <c r="A252" s="126" t="s">
        <v>730</v>
      </c>
      <c r="B252" s="123"/>
      <c r="C252" s="124">
        <f>SUM(C228:C251)</f>
        <v>677265.6</v>
      </c>
      <c r="D252" s="124">
        <f>SUM(D228:D251)</f>
        <v>135145.03000000003</v>
      </c>
      <c r="E252" s="124">
        <f>SUM(E228:E251)</f>
        <v>542120.56999999983</v>
      </c>
    </row>
    <row r="253" spans="1:5" ht="14" x14ac:dyDescent="0.3">
      <c r="A253" s="128" t="s">
        <v>729</v>
      </c>
      <c r="B253" s="129"/>
      <c r="C253" s="130"/>
      <c r="D253" s="121"/>
      <c r="E253" s="121"/>
    </row>
    <row r="254" spans="1:5" ht="14" x14ac:dyDescent="0.3">
      <c r="A254" s="131" t="s">
        <v>766</v>
      </c>
      <c r="B254" s="132">
        <v>45412</v>
      </c>
      <c r="C254" s="133">
        <v>29399.02</v>
      </c>
      <c r="D254" s="121">
        <v>2327.42</v>
      </c>
      <c r="E254" s="121">
        <v>27071.599999999999</v>
      </c>
    </row>
    <row r="255" spans="1:5" ht="14" x14ac:dyDescent="0.3">
      <c r="A255" s="131" t="s">
        <v>767</v>
      </c>
      <c r="B255" s="132">
        <v>45449</v>
      </c>
      <c r="C255" s="133">
        <v>32291.72</v>
      </c>
      <c r="D255" s="121">
        <v>2428.61</v>
      </c>
      <c r="E255" s="121">
        <v>29863.11</v>
      </c>
    </row>
    <row r="256" spans="1:5" ht="28" x14ac:dyDescent="0.3">
      <c r="A256" s="131" t="s">
        <v>768</v>
      </c>
      <c r="B256" s="132">
        <v>45776</v>
      </c>
      <c r="C256" s="133">
        <v>46214.2</v>
      </c>
      <c r="D256" s="121">
        <v>1463.45</v>
      </c>
      <c r="E256" s="121">
        <v>44750.75</v>
      </c>
    </row>
    <row r="257" spans="1:5" ht="28" x14ac:dyDescent="0.3">
      <c r="A257" s="131" t="s">
        <v>769</v>
      </c>
      <c r="B257" s="132">
        <v>45980</v>
      </c>
      <c r="C257" s="133">
        <v>34177.96</v>
      </c>
      <c r="D257" s="121">
        <v>135.29</v>
      </c>
      <c r="E257" s="121">
        <v>34042.67</v>
      </c>
    </row>
    <row r="258" spans="1:5" ht="28" x14ac:dyDescent="0.3">
      <c r="A258" s="131" t="s">
        <v>770</v>
      </c>
      <c r="B258" s="132">
        <v>46000</v>
      </c>
      <c r="C258" s="133">
        <v>18723.2</v>
      </c>
      <c r="D258" s="121">
        <v>74.11</v>
      </c>
      <c r="E258" s="121">
        <v>18649.09</v>
      </c>
    </row>
    <row r="259" spans="1:5" ht="14" x14ac:dyDescent="0.3">
      <c r="A259" s="126" t="s">
        <v>730</v>
      </c>
      <c r="B259" s="123"/>
      <c r="C259" s="124">
        <f>SUM(C254:C258)</f>
        <v>160806.1</v>
      </c>
      <c r="D259" s="124">
        <f>SUM(D254:D258)</f>
        <v>6428.88</v>
      </c>
      <c r="E259" s="124">
        <f>SUM(E254:E258)</f>
        <v>154377.22</v>
      </c>
    </row>
    <row r="260" spans="1:5" ht="14" x14ac:dyDescent="0.3">
      <c r="A260" s="128" t="s">
        <v>818</v>
      </c>
      <c r="B260" s="129"/>
      <c r="C260" s="130"/>
      <c r="D260" s="121"/>
      <c r="E260" s="121"/>
    </row>
    <row r="261" spans="1:5" ht="14" x14ac:dyDescent="0.3">
      <c r="A261" s="131" t="s">
        <v>813</v>
      </c>
      <c r="B261" s="132">
        <v>37846</v>
      </c>
      <c r="C261" s="133">
        <v>37123</v>
      </c>
      <c r="D261" s="121">
        <v>31505.56</v>
      </c>
      <c r="E261" s="121">
        <v>5617.44</v>
      </c>
    </row>
    <row r="262" spans="1:5" ht="14" x14ac:dyDescent="0.3">
      <c r="A262" s="131" t="s">
        <v>771</v>
      </c>
      <c r="B262" s="132">
        <v>39823</v>
      </c>
      <c r="C262" s="133">
        <v>41333.879999999997</v>
      </c>
      <c r="D262" s="121">
        <v>22142.78</v>
      </c>
      <c r="E262" s="121">
        <v>19191.099999999999</v>
      </c>
    </row>
    <row r="263" spans="1:5" ht="14" x14ac:dyDescent="0.3">
      <c r="A263" s="131" t="s">
        <v>772</v>
      </c>
      <c r="B263" s="132">
        <v>39859</v>
      </c>
      <c r="C263" s="133">
        <v>24393.599999999999</v>
      </c>
      <c r="D263" s="121">
        <v>13002.95</v>
      </c>
      <c r="E263" s="121">
        <v>11390.65</v>
      </c>
    </row>
    <row r="264" spans="1:5" ht="14" x14ac:dyDescent="0.3">
      <c r="A264" s="131" t="s">
        <v>773</v>
      </c>
      <c r="B264" s="132">
        <v>39859</v>
      </c>
      <c r="C264" s="133">
        <v>39959.1</v>
      </c>
      <c r="D264" s="121">
        <v>21299.9</v>
      </c>
      <c r="E264" s="121">
        <v>18659.2</v>
      </c>
    </row>
    <row r="265" spans="1:5" ht="14" x14ac:dyDescent="0.3">
      <c r="A265" s="131" t="s">
        <v>772</v>
      </c>
      <c r="B265" s="132">
        <v>39882</v>
      </c>
      <c r="C265" s="133">
        <v>11586.96</v>
      </c>
      <c r="D265" s="121">
        <v>6145.97</v>
      </c>
      <c r="E265" s="121">
        <v>5440.99</v>
      </c>
    </row>
    <row r="266" spans="1:5" ht="14" x14ac:dyDescent="0.3">
      <c r="A266" s="131" t="s">
        <v>774</v>
      </c>
      <c r="B266" s="132">
        <v>39882</v>
      </c>
      <c r="C266" s="133">
        <v>38532.639999999999</v>
      </c>
      <c r="D266" s="121">
        <v>20438.73</v>
      </c>
      <c r="E266" s="121">
        <v>18093.91</v>
      </c>
    </row>
    <row r="267" spans="1:5" ht="14" x14ac:dyDescent="0.3">
      <c r="A267" s="131" t="s">
        <v>773</v>
      </c>
      <c r="B267" s="132">
        <v>39882</v>
      </c>
      <c r="C267" s="133">
        <v>25884.84</v>
      </c>
      <c r="D267" s="121">
        <v>13729.59</v>
      </c>
      <c r="E267" s="121">
        <v>12155.25</v>
      </c>
    </row>
    <row r="268" spans="1:5" ht="14" x14ac:dyDescent="0.3">
      <c r="A268" s="131" t="s">
        <v>775</v>
      </c>
      <c r="B268" s="132">
        <v>39958</v>
      </c>
      <c r="C268" s="133">
        <v>38756.28</v>
      </c>
      <c r="D268" s="121">
        <v>20352.77</v>
      </c>
      <c r="E268" s="121">
        <v>18403.509999999998</v>
      </c>
    </row>
    <row r="269" spans="1:5" ht="14" x14ac:dyDescent="0.3">
      <c r="A269" s="131" t="s">
        <v>775</v>
      </c>
      <c r="B269" s="132">
        <v>39958</v>
      </c>
      <c r="C269" s="133">
        <v>38742.720000000001</v>
      </c>
      <c r="D269" s="121">
        <v>20345.18</v>
      </c>
      <c r="E269" s="121">
        <v>18397.54</v>
      </c>
    </row>
    <row r="270" spans="1:5" ht="14" x14ac:dyDescent="0.3">
      <c r="A270" s="131" t="s">
        <v>775</v>
      </c>
      <c r="B270" s="132">
        <v>39958</v>
      </c>
      <c r="C270" s="133">
        <v>4498.5600000000004</v>
      </c>
      <c r="D270" s="121">
        <v>2362.38</v>
      </c>
      <c r="E270" s="121">
        <v>2136.1799999999998</v>
      </c>
    </row>
    <row r="271" spans="1:5" ht="14" x14ac:dyDescent="0.3">
      <c r="A271" s="131" t="s">
        <v>776</v>
      </c>
      <c r="B271" s="132">
        <v>39979</v>
      </c>
      <c r="C271" s="133">
        <v>3545.6</v>
      </c>
      <c r="D271" s="121">
        <v>1852.54</v>
      </c>
      <c r="E271" s="121">
        <v>1693.06</v>
      </c>
    </row>
    <row r="272" spans="1:5" ht="14" x14ac:dyDescent="0.3">
      <c r="A272" s="131" t="s">
        <v>776</v>
      </c>
      <c r="B272" s="132">
        <v>39979</v>
      </c>
      <c r="C272" s="133">
        <v>3324</v>
      </c>
      <c r="D272" s="121">
        <v>1736.82</v>
      </c>
      <c r="E272" s="121">
        <v>1587.18</v>
      </c>
    </row>
    <row r="273" spans="1:5" ht="14" x14ac:dyDescent="0.3">
      <c r="A273" s="131" t="s">
        <v>775</v>
      </c>
      <c r="B273" s="132">
        <v>39979</v>
      </c>
      <c r="C273" s="133">
        <v>42131.4</v>
      </c>
      <c r="D273" s="121">
        <v>22013.86</v>
      </c>
      <c r="E273" s="121">
        <v>20117.54</v>
      </c>
    </row>
    <row r="274" spans="1:5" ht="14" x14ac:dyDescent="0.3">
      <c r="A274" s="131" t="s">
        <v>775</v>
      </c>
      <c r="B274" s="132">
        <v>40019</v>
      </c>
      <c r="C274" s="133">
        <v>47027.76</v>
      </c>
      <c r="D274" s="121">
        <v>24448.09</v>
      </c>
      <c r="E274" s="121">
        <v>22579.67</v>
      </c>
    </row>
    <row r="275" spans="1:5" ht="14" x14ac:dyDescent="0.3">
      <c r="A275" s="131" t="s">
        <v>777</v>
      </c>
      <c r="B275" s="132">
        <v>40019</v>
      </c>
      <c r="C275" s="133">
        <v>10324.08</v>
      </c>
      <c r="D275" s="121">
        <v>5394.32</v>
      </c>
      <c r="E275" s="121">
        <v>4929.76</v>
      </c>
    </row>
    <row r="276" spans="1:5" ht="14" x14ac:dyDescent="0.3">
      <c r="A276" s="131" t="s">
        <v>775</v>
      </c>
      <c r="B276" s="132">
        <v>40019</v>
      </c>
      <c r="C276" s="133">
        <v>42427.08</v>
      </c>
      <c r="D276" s="121">
        <v>22168.43</v>
      </c>
      <c r="E276" s="121">
        <v>20258.650000000001</v>
      </c>
    </row>
    <row r="277" spans="1:5" ht="14" x14ac:dyDescent="0.3">
      <c r="A277" s="131" t="s">
        <v>778</v>
      </c>
      <c r="B277" s="132">
        <v>40040</v>
      </c>
      <c r="C277" s="133">
        <v>7416.24</v>
      </c>
      <c r="D277" s="121">
        <v>3835.92</v>
      </c>
      <c r="E277" s="121">
        <v>3580.32</v>
      </c>
    </row>
    <row r="278" spans="1:5" ht="14" x14ac:dyDescent="0.3">
      <c r="A278" s="131" t="s">
        <v>775</v>
      </c>
      <c r="B278" s="132">
        <v>40040</v>
      </c>
      <c r="C278" s="133">
        <v>28510.639999999999</v>
      </c>
      <c r="D278" s="121">
        <v>14746.49</v>
      </c>
      <c r="E278" s="121">
        <v>13764.15</v>
      </c>
    </row>
    <row r="279" spans="1:5" ht="14" x14ac:dyDescent="0.3">
      <c r="A279" s="131" t="s">
        <v>772</v>
      </c>
      <c r="B279" s="132">
        <v>40040</v>
      </c>
      <c r="C279" s="133">
        <v>48494.6</v>
      </c>
      <c r="D279" s="121">
        <v>25082.62</v>
      </c>
      <c r="E279" s="121">
        <v>23411.98</v>
      </c>
    </row>
    <row r="280" spans="1:5" ht="14" x14ac:dyDescent="0.3">
      <c r="A280" s="131" t="s">
        <v>779</v>
      </c>
      <c r="B280" s="132">
        <v>40040</v>
      </c>
      <c r="C280" s="133">
        <v>7744.41</v>
      </c>
      <c r="D280" s="121">
        <v>4005.55</v>
      </c>
      <c r="E280" s="121">
        <v>3738.86</v>
      </c>
    </row>
    <row r="281" spans="1:5" ht="14" x14ac:dyDescent="0.3">
      <c r="A281" s="131" t="s">
        <v>773</v>
      </c>
      <c r="B281" s="132">
        <v>40081</v>
      </c>
      <c r="C281" s="133">
        <v>33404.400000000001</v>
      </c>
      <c r="D281" s="121">
        <v>17189.740000000002</v>
      </c>
      <c r="E281" s="121">
        <v>16214.66</v>
      </c>
    </row>
    <row r="282" spans="1:5" ht="14" x14ac:dyDescent="0.3">
      <c r="A282" s="131" t="s">
        <v>773</v>
      </c>
      <c r="B282" s="132">
        <v>40081</v>
      </c>
      <c r="C282" s="133">
        <v>31778.52</v>
      </c>
      <c r="D282" s="121">
        <v>16352.92</v>
      </c>
      <c r="E282" s="121">
        <v>15425.6</v>
      </c>
    </row>
    <row r="283" spans="1:5" ht="14" x14ac:dyDescent="0.3">
      <c r="A283" s="131" t="s">
        <v>774</v>
      </c>
      <c r="B283" s="132">
        <v>40081</v>
      </c>
      <c r="C283" s="133">
        <v>29747.040000000001</v>
      </c>
      <c r="D283" s="121">
        <v>15307.44</v>
      </c>
      <c r="E283" s="121">
        <v>14439.6</v>
      </c>
    </row>
    <row r="284" spans="1:5" ht="14" x14ac:dyDescent="0.3">
      <c r="A284" s="131" t="s">
        <v>772</v>
      </c>
      <c r="B284" s="132">
        <v>40081</v>
      </c>
      <c r="C284" s="133">
        <v>19945.560000000001</v>
      </c>
      <c r="D284" s="121">
        <v>10263.85</v>
      </c>
      <c r="E284" s="121">
        <v>9681.7099999999991</v>
      </c>
    </row>
    <row r="285" spans="1:5" ht="14" x14ac:dyDescent="0.3">
      <c r="A285" s="131" t="s">
        <v>772</v>
      </c>
      <c r="B285" s="132">
        <v>40081</v>
      </c>
      <c r="C285" s="133">
        <v>20672.240000000002</v>
      </c>
      <c r="D285" s="121">
        <v>10637.43</v>
      </c>
      <c r="E285" s="121">
        <v>10034.81</v>
      </c>
    </row>
    <row r="286" spans="1:5" ht="14" x14ac:dyDescent="0.3">
      <c r="A286" s="131" t="s">
        <v>774</v>
      </c>
      <c r="B286" s="132">
        <v>40081</v>
      </c>
      <c r="C286" s="133">
        <v>26584.52</v>
      </c>
      <c r="D286" s="121">
        <v>13680.22</v>
      </c>
      <c r="E286" s="121">
        <v>12904.3</v>
      </c>
    </row>
    <row r="287" spans="1:5" ht="14" x14ac:dyDescent="0.3">
      <c r="A287" s="131" t="s">
        <v>780</v>
      </c>
      <c r="B287" s="132">
        <v>40096</v>
      </c>
      <c r="C287" s="133">
        <v>49375.44</v>
      </c>
      <c r="D287" s="121">
        <v>25276.87</v>
      </c>
      <c r="E287" s="121">
        <v>24098.57</v>
      </c>
    </row>
    <row r="288" spans="1:5" ht="14" x14ac:dyDescent="0.3">
      <c r="A288" s="131" t="s">
        <v>773</v>
      </c>
      <c r="B288" s="132">
        <v>40132</v>
      </c>
      <c r="C288" s="133">
        <v>45366.14</v>
      </c>
      <c r="D288" s="121">
        <v>23105.56</v>
      </c>
      <c r="E288" s="121">
        <v>22260.58</v>
      </c>
    </row>
    <row r="289" spans="1:5" ht="14" x14ac:dyDescent="0.3">
      <c r="A289" s="131" t="s">
        <v>781</v>
      </c>
      <c r="B289" s="132">
        <v>40164</v>
      </c>
      <c r="C289" s="133">
        <v>18369.240000000002</v>
      </c>
      <c r="D289" s="121">
        <v>9306.91</v>
      </c>
      <c r="E289" s="121">
        <v>9062.33</v>
      </c>
    </row>
    <row r="290" spans="1:5" ht="14" x14ac:dyDescent="0.3">
      <c r="A290" s="131" t="s">
        <v>782</v>
      </c>
      <c r="B290" s="132">
        <v>40164</v>
      </c>
      <c r="C290" s="133">
        <v>17517.96</v>
      </c>
      <c r="D290" s="121">
        <v>8876.1299999999992</v>
      </c>
      <c r="E290" s="121">
        <v>8641.83</v>
      </c>
    </row>
    <row r="291" spans="1:5" ht="14" x14ac:dyDescent="0.3">
      <c r="A291" s="131" t="s">
        <v>783</v>
      </c>
      <c r="B291" s="132">
        <v>40164</v>
      </c>
      <c r="C291" s="133">
        <v>9721.7999999999993</v>
      </c>
      <c r="D291" s="121">
        <v>4925.7</v>
      </c>
      <c r="E291" s="121">
        <v>4796.1000000000004</v>
      </c>
    </row>
    <row r="292" spans="1:5" ht="14" x14ac:dyDescent="0.3">
      <c r="A292" s="131" t="s">
        <v>784</v>
      </c>
      <c r="B292" s="132">
        <v>43356</v>
      </c>
      <c r="C292" s="133">
        <v>43718.33</v>
      </c>
      <c r="D292" s="121">
        <v>15055.49</v>
      </c>
      <c r="E292" s="121">
        <v>28662.84</v>
      </c>
    </row>
    <row r="293" spans="1:5" ht="14" x14ac:dyDescent="0.3">
      <c r="A293" s="131" t="s">
        <v>785</v>
      </c>
      <c r="B293" s="132">
        <v>43371</v>
      </c>
      <c r="C293" s="133">
        <v>44398.65</v>
      </c>
      <c r="D293" s="121">
        <v>15289.77</v>
      </c>
      <c r="E293" s="121">
        <v>29108.880000000001</v>
      </c>
    </row>
    <row r="294" spans="1:5" ht="14" x14ac:dyDescent="0.3">
      <c r="A294" s="131" t="s">
        <v>786</v>
      </c>
      <c r="B294" s="132">
        <v>43371</v>
      </c>
      <c r="C294" s="133">
        <v>49419.24</v>
      </c>
      <c r="D294" s="121">
        <v>17018.75</v>
      </c>
      <c r="E294" s="121">
        <v>32400.49</v>
      </c>
    </row>
    <row r="295" spans="1:5" ht="28" x14ac:dyDescent="0.3">
      <c r="A295" s="131" t="s">
        <v>787</v>
      </c>
      <c r="B295" s="132">
        <v>43389</v>
      </c>
      <c r="C295" s="133">
        <v>38890.99</v>
      </c>
      <c r="D295" s="121">
        <v>13239.13</v>
      </c>
      <c r="E295" s="121">
        <v>25651.86</v>
      </c>
    </row>
    <row r="296" spans="1:5" ht="28" x14ac:dyDescent="0.3">
      <c r="A296" s="131" t="s">
        <v>788</v>
      </c>
      <c r="B296" s="132">
        <v>44245</v>
      </c>
      <c r="C296" s="133">
        <v>30410.74</v>
      </c>
      <c r="D296" s="121">
        <v>6981.79</v>
      </c>
      <c r="E296" s="121">
        <v>23428.95</v>
      </c>
    </row>
    <row r="297" spans="1:5" ht="28" x14ac:dyDescent="0.3">
      <c r="A297" s="131" t="s">
        <v>789</v>
      </c>
      <c r="B297" s="132">
        <v>44245</v>
      </c>
      <c r="C297" s="133">
        <v>32241.73</v>
      </c>
      <c r="D297" s="121">
        <v>7402.17</v>
      </c>
      <c r="E297" s="121">
        <v>24839.56</v>
      </c>
    </row>
    <row r="298" spans="1:5" ht="28" x14ac:dyDescent="0.3">
      <c r="A298" s="131" t="s">
        <v>789</v>
      </c>
      <c r="B298" s="132">
        <v>44258</v>
      </c>
      <c r="C298" s="133">
        <v>16379.22</v>
      </c>
      <c r="D298" s="121">
        <v>3695.56</v>
      </c>
      <c r="E298" s="121">
        <v>12683.66</v>
      </c>
    </row>
    <row r="299" spans="1:5" ht="28" x14ac:dyDescent="0.3">
      <c r="A299" s="131" t="s">
        <v>790</v>
      </c>
      <c r="B299" s="132">
        <v>44258</v>
      </c>
      <c r="C299" s="133">
        <v>12040</v>
      </c>
      <c r="D299" s="121">
        <v>2716.52</v>
      </c>
      <c r="E299" s="121">
        <v>9323.48</v>
      </c>
    </row>
    <row r="300" spans="1:5" ht="28" x14ac:dyDescent="0.3">
      <c r="A300" s="131" t="s">
        <v>791</v>
      </c>
      <c r="B300" s="132">
        <v>44293</v>
      </c>
      <c r="C300" s="133">
        <v>14478.41</v>
      </c>
      <c r="D300" s="121">
        <v>3209.38</v>
      </c>
      <c r="E300" s="121">
        <v>11269.03</v>
      </c>
    </row>
    <row r="301" spans="1:5" ht="14" x14ac:dyDescent="0.3">
      <c r="A301" s="131" t="s">
        <v>792</v>
      </c>
      <c r="B301" s="132">
        <v>44351</v>
      </c>
      <c r="C301" s="133">
        <v>45500</v>
      </c>
      <c r="D301" s="121">
        <v>9725.6200000000008</v>
      </c>
      <c r="E301" s="121">
        <v>35774.379999999997</v>
      </c>
    </row>
    <row r="302" spans="1:5" ht="28" x14ac:dyDescent="0.3">
      <c r="A302" s="131" t="s">
        <v>793</v>
      </c>
      <c r="B302" s="132">
        <v>44452</v>
      </c>
      <c r="C302" s="133">
        <v>24340.26</v>
      </c>
      <c r="D302" s="121">
        <v>4913.6899999999996</v>
      </c>
      <c r="E302" s="121">
        <v>19426.57</v>
      </c>
    </row>
    <row r="303" spans="1:5" ht="14" x14ac:dyDescent="0.3">
      <c r="A303" s="126" t="s">
        <v>730</v>
      </c>
      <c r="B303" s="123"/>
      <c r="C303" s="124">
        <f>SUM(C261:C302)</f>
        <v>1196057.8200000003</v>
      </c>
      <c r="D303" s="124">
        <f>SUM(D261:D302)</f>
        <v>550781.09</v>
      </c>
      <c r="E303" s="124">
        <f>SUM(E261:E302)</f>
        <v>645276.73</v>
      </c>
    </row>
    <row r="304" spans="1:5" ht="14" x14ac:dyDescent="0.3">
      <c r="A304" s="128" t="s">
        <v>819</v>
      </c>
      <c r="B304" s="129"/>
      <c r="C304" s="130"/>
      <c r="D304" s="121"/>
      <c r="E304" s="121"/>
    </row>
    <row r="305" spans="1:5" ht="14" x14ac:dyDescent="0.3">
      <c r="A305" s="131" t="s">
        <v>794</v>
      </c>
      <c r="B305" s="132">
        <v>40779</v>
      </c>
      <c r="C305" s="133">
        <v>23994</v>
      </c>
      <c r="D305" s="121">
        <v>23994</v>
      </c>
      <c r="E305" s="121">
        <v>0</v>
      </c>
    </row>
    <row r="306" spans="1:5" ht="14" x14ac:dyDescent="0.3">
      <c r="A306" s="131" t="s">
        <v>795</v>
      </c>
      <c r="B306" s="132">
        <v>40779</v>
      </c>
      <c r="C306" s="133">
        <v>23994</v>
      </c>
      <c r="D306" s="121">
        <v>23994</v>
      </c>
      <c r="E306" s="121">
        <v>0</v>
      </c>
    </row>
    <row r="307" spans="1:5" ht="14" x14ac:dyDescent="0.3">
      <c r="A307" s="131" t="s">
        <v>796</v>
      </c>
      <c r="B307" s="132">
        <v>40779</v>
      </c>
      <c r="C307" s="133">
        <v>23994</v>
      </c>
      <c r="D307" s="121">
        <v>23994</v>
      </c>
      <c r="E307" s="121">
        <v>0</v>
      </c>
    </row>
    <row r="308" spans="1:5" ht="14" x14ac:dyDescent="0.3">
      <c r="A308" s="131" t="s">
        <v>797</v>
      </c>
      <c r="B308" s="132">
        <v>40779</v>
      </c>
      <c r="C308" s="133">
        <v>23994</v>
      </c>
      <c r="D308" s="121">
        <v>23994</v>
      </c>
      <c r="E308" s="121">
        <v>0</v>
      </c>
    </row>
    <row r="309" spans="1:5" ht="14" x14ac:dyDescent="0.3">
      <c r="A309" s="131" t="s">
        <v>728</v>
      </c>
      <c r="B309" s="132">
        <v>42536</v>
      </c>
      <c r="C309" s="133">
        <v>1125</v>
      </c>
      <c r="D309" s="121">
        <v>1069.2</v>
      </c>
      <c r="E309" s="121">
        <v>55.8</v>
      </c>
    </row>
    <row r="310" spans="1:5" ht="14" x14ac:dyDescent="0.3">
      <c r="A310" s="131" t="s">
        <v>798</v>
      </c>
      <c r="B310" s="132">
        <v>42902</v>
      </c>
      <c r="C310" s="133">
        <v>28485</v>
      </c>
      <c r="D310" s="121">
        <v>24212.639999999999</v>
      </c>
      <c r="E310" s="121">
        <v>4272.3599999999997</v>
      </c>
    </row>
    <row r="311" spans="1:5" ht="14" x14ac:dyDescent="0.3">
      <c r="A311" s="131" t="s">
        <v>799</v>
      </c>
      <c r="B311" s="132">
        <v>42944</v>
      </c>
      <c r="C311" s="133">
        <v>18061.25</v>
      </c>
      <c r="D311" s="121">
        <v>15201.52</v>
      </c>
      <c r="E311" s="121">
        <v>2859.73</v>
      </c>
    </row>
    <row r="312" spans="1:5" ht="14" x14ac:dyDescent="0.3">
      <c r="A312" s="131" t="s">
        <v>800</v>
      </c>
      <c r="B312" s="132">
        <v>43059</v>
      </c>
      <c r="C312" s="133">
        <v>19523.150000000001</v>
      </c>
      <c r="D312" s="121">
        <v>15781</v>
      </c>
      <c r="E312" s="121">
        <v>3742.15</v>
      </c>
    </row>
    <row r="313" spans="1:5" ht="28" x14ac:dyDescent="0.3">
      <c r="A313" s="131" t="s">
        <v>801</v>
      </c>
      <c r="B313" s="132">
        <v>43266</v>
      </c>
      <c r="C313" s="133">
        <v>37895.550000000003</v>
      </c>
      <c r="D313" s="121">
        <v>28421.91</v>
      </c>
      <c r="E313" s="121">
        <v>9473.64</v>
      </c>
    </row>
    <row r="314" spans="1:5" ht="28" x14ac:dyDescent="0.3">
      <c r="A314" s="131" t="s">
        <v>802</v>
      </c>
      <c r="B314" s="132">
        <v>44977</v>
      </c>
      <c r="C314" s="133">
        <v>25866.55</v>
      </c>
      <c r="D314" s="121">
        <v>7328.86</v>
      </c>
      <c r="E314" s="121">
        <v>18537.689999999999</v>
      </c>
    </row>
    <row r="315" spans="1:5" ht="28" x14ac:dyDescent="0.3">
      <c r="A315" s="131" t="s">
        <v>803</v>
      </c>
      <c r="B315" s="132">
        <v>44998</v>
      </c>
      <c r="C315" s="133">
        <v>30397.55</v>
      </c>
      <c r="D315" s="121">
        <v>8612.64</v>
      </c>
      <c r="E315" s="121">
        <v>21784.91</v>
      </c>
    </row>
    <row r="316" spans="1:5" ht="28" x14ac:dyDescent="0.3">
      <c r="A316" s="131" t="s">
        <v>804</v>
      </c>
      <c r="B316" s="132">
        <v>45106</v>
      </c>
      <c r="C316" s="133">
        <v>47164</v>
      </c>
      <c r="D316" s="121">
        <v>11791</v>
      </c>
      <c r="E316" s="121">
        <v>35373</v>
      </c>
    </row>
    <row r="317" spans="1:5" ht="28" x14ac:dyDescent="0.3">
      <c r="A317" s="131" t="s">
        <v>805</v>
      </c>
      <c r="B317" s="132">
        <v>45385</v>
      </c>
      <c r="C317" s="133">
        <v>46536.84</v>
      </c>
      <c r="D317" s="121">
        <v>8143.95</v>
      </c>
      <c r="E317" s="121">
        <v>38392.89</v>
      </c>
    </row>
    <row r="318" spans="1:5" ht="14" x14ac:dyDescent="0.3">
      <c r="A318" s="126" t="s">
        <v>730</v>
      </c>
      <c r="B318" s="123"/>
      <c r="C318" s="124">
        <f>SUM(C305:C317)</f>
        <v>351030.89</v>
      </c>
      <c r="D318" s="124">
        <f>SUM(D305:D317)</f>
        <v>216538.71999999997</v>
      </c>
      <c r="E318" s="124">
        <f>SUM(E305:E317)</f>
        <v>134492.16999999998</v>
      </c>
    </row>
    <row r="319" spans="1:5" ht="14" x14ac:dyDescent="0.3">
      <c r="A319" s="128" t="s">
        <v>820</v>
      </c>
      <c r="B319" s="129"/>
      <c r="C319" s="130"/>
      <c r="D319" s="121"/>
      <c r="E319" s="121"/>
    </row>
    <row r="320" spans="1:5" ht="14" x14ac:dyDescent="0.3">
      <c r="A320" s="131" t="s">
        <v>806</v>
      </c>
      <c r="B320" s="132">
        <v>43270</v>
      </c>
      <c r="C320" s="133">
        <v>7658</v>
      </c>
      <c r="D320" s="121">
        <v>2297.62</v>
      </c>
      <c r="E320" s="121">
        <v>5360.38</v>
      </c>
    </row>
    <row r="321" spans="1:5" ht="14" x14ac:dyDescent="0.3">
      <c r="A321" s="126" t="s">
        <v>730</v>
      </c>
      <c r="B321" s="123"/>
      <c r="C321" s="124">
        <f>SUM(C320)</f>
        <v>7658</v>
      </c>
      <c r="D321" s="124">
        <f>SUM(D320)</f>
        <v>2297.62</v>
      </c>
      <c r="E321" s="124">
        <f>SUM(E320)</f>
        <v>5360.38</v>
      </c>
    </row>
    <row r="322" spans="1:5" ht="14" x14ac:dyDescent="0.3">
      <c r="A322" s="128" t="s">
        <v>820</v>
      </c>
      <c r="B322" s="129"/>
      <c r="C322" s="130"/>
      <c r="D322" s="121"/>
      <c r="E322" s="121"/>
    </row>
    <row r="323" spans="1:5" ht="28" x14ac:dyDescent="0.3">
      <c r="A323" s="131" t="s">
        <v>807</v>
      </c>
      <c r="B323" s="132">
        <v>44413</v>
      </c>
      <c r="C323" s="133">
        <v>20320.16</v>
      </c>
      <c r="D323" s="121">
        <v>4402.78</v>
      </c>
      <c r="E323" s="121">
        <v>15917.38</v>
      </c>
    </row>
    <row r="324" spans="1:5" ht="28" x14ac:dyDescent="0.3">
      <c r="A324" s="131" t="s">
        <v>808</v>
      </c>
      <c r="B324" s="132">
        <v>44435</v>
      </c>
      <c r="C324" s="133">
        <v>21771.599999999999</v>
      </c>
      <c r="D324" s="121">
        <v>4717.32</v>
      </c>
      <c r="E324" s="121">
        <v>17054.28</v>
      </c>
    </row>
    <row r="325" spans="1:5" ht="14" x14ac:dyDescent="0.3">
      <c r="A325" s="126" t="s">
        <v>730</v>
      </c>
      <c r="B325" s="123"/>
      <c r="C325" s="124">
        <f>SUM(C323:C324)</f>
        <v>42091.759999999995</v>
      </c>
      <c r="D325" s="124">
        <f>SUM(D323:D324)</f>
        <v>9120.0999999999985</v>
      </c>
      <c r="E325" s="124">
        <f>SUM(E323:E324)</f>
        <v>32971.659999999996</v>
      </c>
    </row>
    <row r="326" spans="1:5" ht="14" x14ac:dyDescent="0.3">
      <c r="A326" s="128" t="s">
        <v>548</v>
      </c>
      <c r="B326" s="129"/>
      <c r="C326" s="130"/>
      <c r="D326" s="121"/>
      <c r="E326" s="121"/>
    </row>
    <row r="327" spans="1:5" ht="14" x14ac:dyDescent="0.3">
      <c r="A327" s="131" t="s">
        <v>809</v>
      </c>
      <c r="B327" s="132">
        <v>44544</v>
      </c>
      <c r="C327" s="133">
        <v>42621.17</v>
      </c>
      <c r="D327" s="121">
        <v>16693.330000000002</v>
      </c>
      <c r="E327" s="121">
        <v>25928</v>
      </c>
    </row>
    <row r="328" spans="1:5" ht="14" x14ac:dyDescent="0.3">
      <c r="A328" s="126" t="s">
        <v>730</v>
      </c>
      <c r="B328" s="123"/>
      <c r="C328" s="124">
        <f>SUM(C327)</f>
        <v>42621.17</v>
      </c>
      <c r="D328" s="124">
        <f>SUM(D327)</f>
        <v>16693.330000000002</v>
      </c>
      <c r="E328" s="124">
        <f>SUM(E327)</f>
        <v>25928</v>
      </c>
    </row>
    <row r="329" spans="1:5" ht="14" x14ac:dyDescent="0.3">
      <c r="A329" s="134" t="s">
        <v>810</v>
      </c>
      <c r="B329" s="135"/>
      <c r="C329" s="136">
        <f>C130+C134+C137+C140+C151+C157+C162+C165+C169+C218+C226+C252+C259+C303+C318+C321+C325+C328</f>
        <v>6484941.9399999985</v>
      </c>
      <c r="D329" s="136">
        <f>D130+D134+D137+D140+D151+D157+D162+D165+D169+D218+D226+D252+D259+D303+D318+D321+D325+D328</f>
        <v>3796859.0008249995</v>
      </c>
      <c r="E329" s="136">
        <f>E130+E134+E137+E140+E151+E157+E162+E165+E169+E218+E226+E252+E259+E303+E318+E321+E325+E328</f>
        <v>2688083.0991749996</v>
      </c>
    </row>
  </sheetData>
  <autoFilter ref="A5:E329"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0"/>
  <sheetViews>
    <sheetView workbookViewId="0">
      <selection activeCell="C11" sqref="C11"/>
    </sheetView>
  </sheetViews>
  <sheetFormatPr defaultColWidth="8.81640625" defaultRowHeight="13" x14ac:dyDescent="0.3"/>
  <cols>
    <col min="1" max="1" width="46.81640625" style="137" customWidth="1"/>
    <col min="2" max="4" width="23.81640625" style="137" customWidth="1"/>
    <col min="5" max="16384" width="8.81640625" style="137"/>
  </cols>
  <sheetData>
    <row r="1" spans="1:4" ht="28" x14ac:dyDescent="0.3">
      <c r="A1" s="138" t="s">
        <v>2</v>
      </c>
      <c r="B1" s="138" t="s">
        <v>816</v>
      </c>
      <c r="C1" s="138" t="s">
        <v>815</v>
      </c>
      <c r="D1" s="138" t="s">
        <v>547</v>
      </c>
    </row>
    <row r="2" spans="1:4" x14ac:dyDescent="0.3">
      <c r="A2" s="139" t="s">
        <v>557</v>
      </c>
      <c r="B2" s="139">
        <v>540267.05000000005</v>
      </c>
      <c r="C2" s="139">
        <v>440178.92602083349</v>
      </c>
      <c r="D2" s="139">
        <v>100088.12397916669</v>
      </c>
    </row>
    <row r="3" spans="1:4" x14ac:dyDescent="0.3">
      <c r="A3" s="139" t="s">
        <v>24</v>
      </c>
      <c r="B3" s="139">
        <v>61500</v>
      </c>
      <c r="C3" s="139">
        <v>56175</v>
      </c>
      <c r="D3" s="139">
        <v>5325</v>
      </c>
    </row>
    <row r="4" spans="1:4" x14ac:dyDescent="0.3">
      <c r="A4" s="139" t="s">
        <v>21</v>
      </c>
      <c r="B4" s="139">
        <v>68800</v>
      </c>
      <c r="C4" s="139">
        <v>65360</v>
      </c>
      <c r="D4" s="139">
        <v>3440</v>
      </c>
    </row>
    <row r="5" spans="1:4" x14ac:dyDescent="0.3">
      <c r="A5" s="139" t="s">
        <v>25</v>
      </c>
      <c r="B5" s="139">
        <v>45900</v>
      </c>
      <c r="C5" s="139">
        <v>42877.84</v>
      </c>
      <c r="D5" s="139">
        <v>3022.16</v>
      </c>
    </row>
    <row r="6" spans="1:4" x14ac:dyDescent="0.3">
      <c r="A6" s="139" t="s">
        <v>550</v>
      </c>
      <c r="B6" s="139">
        <v>441318</v>
      </c>
      <c r="C6" s="139">
        <v>336247.95</v>
      </c>
      <c r="D6" s="139">
        <v>105070.05</v>
      </c>
    </row>
    <row r="7" spans="1:4" x14ac:dyDescent="0.3">
      <c r="A7" s="139" t="s">
        <v>811</v>
      </c>
      <c r="B7" s="139">
        <v>175325</v>
      </c>
      <c r="C7" s="139">
        <v>150979.13</v>
      </c>
      <c r="D7" s="139">
        <v>24345.87</v>
      </c>
    </row>
    <row r="8" spans="1:4" x14ac:dyDescent="0.3">
      <c r="A8" s="139" t="s">
        <v>20</v>
      </c>
      <c r="B8" s="139">
        <v>113400</v>
      </c>
      <c r="C8" s="139">
        <v>72282.429999999993</v>
      </c>
      <c r="D8" s="139">
        <v>41117.570000000007</v>
      </c>
    </row>
    <row r="9" spans="1:4" x14ac:dyDescent="0.3">
      <c r="A9" s="139" t="s">
        <v>817</v>
      </c>
      <c r="B9" s="139">
        <v>435000</v>
      </c>
      <c r="C9" s="139">
        <v>354706.25</v>
      </c>
      <c r="D9" s="139">
        <v>80293.75</v>
      </c>
    </row>
    <row r="10" spans="1:4" x14ac:dyDescent="0.3">
      <c r="A10" s="140" t="s">
        <v>810</v>
      </c>
      <c r="B10" s="140">
        <f>SUM(B2:B9)</f>
        <v>1881510.05</v>
      </c>
      <c r="C10" s="140">
        <f>SUM(C2:C9)</f>
        <v>1518807.5260208335</v>
      </c>
      <c r="D10" s="140">
        <f>SUM(D2:D9)</f>
        <v>362702.5239791667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S362"/>
  <sheetViews>
    <sheetView topLeftCell="A34" zoomScale="130" zoomScaleNormal="130" workbookViewId="0">
      <selection activeCell="B44" sqref="B44"/>
    </sheetView>
  </sheetViews>
  <sheetFormatPr defaultRowHeight="13" x14ac:dyDescent="0.3"/>
  <cols>
    <col min="1" max="1" width="48.453125" customWidth="1"/>
    <col min="2" max="2" width="6.54296875" style="39" customWidth="1"/>
    <col min="3" max="3" width="17" customWidth="1"/>
    <col min="4" max="4" width="15.453125" customWidth="1"/>
    <col min="5" max="5" width="12.81640625" customWidth="1"/>
    <col min="6" max="6" width="13" customWidth="1"/>
    <col min="7" max="7" width="11" customWidth="1"/>
    <col min="8" max="8" width="11.453125" customWidth="1"/>
    <col min="9" max="9" width="13" customWidth="1"/>
    <col min="10" max="10" width="14.54296875" customWidth="1"/>
    <col min="11" max="11" width="14.1796875" hidden="1" customWidth="1"/>
    <col min="12" max="12" width="12.54296875" hidden="1" customWidth="1"/>
    <col min="13" max="13" width="13" hidden="1" customWidth="1"/>
    <col min="14" max="14" width="12" hidden="1" customWidth="1"/>
    <col min="15" max="17" width="9.81640625" hidden="1" customWidth="1"/>
    <col min="18" max="18" width="10.453125" hidden="1" customWidth="1"/>
    <col min="19" max="19" width="12.453125" hidden="1" customWidth="1"/>
  </cols>
  <sheetData>
    <row r="1" spans="1:19" ht="14" x14ac:dyDescent="0.3">
      <c r="A1" s="347" t="s">
        <v>111</v>
      </c>
      <c r="B1" s="347"/>
      <c r="C1" s="347"/>
      <c r="D1" s="347"/>
      <c r="E1" s="37"/>
      <c r="F1" s="37"/>
      <c r="G1" s="37"/>
      <c r="H1" s="37"/>
      <c r="I1" s="37"/>
      <c r="J1" s="37"/>
      <c r="K1" s="37"/>
      <c r="L1" s="37"/>
      <c r="M1" s="37"/>
      <c r="N1" s="37"/>
      <c r="O1" s="37"/>
      <c r="P1" s="37"/>
      <c r="Q1" s="37"/>
      <c r="R1" s="37"/>
    </row>
    <row r="2" spans="1:19" ht="14" x14ac:dyDescent="0.3">
      <c r="A2" s="347" t="s">
        <v>112</v>
      </c>
      <c r="B2" s="347"/>
      <c r="C2" s="347"/>
      <c r="D2" s="347"/>
      <c r="E2" s="37"/>
      <c r="F2" s="37"/>
      <c r="G2" s="37"/>
      <c r="H2" s="37"/>
      <c r="I2" s="37"/>
      <c r="J2" s="37"/>
      <c r="K2" s="37"/>
      <c r="L2" s="37"/>
      <c r="M2" s="37"/>
      <c r="N2" s="37"/>
      <c r="O2" s="37"/>
      <c r="P2" s="37"/>
      <c r="Q2" s="37"/>
      <c r="R2" s="37"/>
    </row>
    <row r="3" spans="1:19" ht="14" x14ac:dyDescent="0.3">
      <c r="A3" s="347" t="s">
        <v>113</v>
      </c>
      <c r="B3" s="347"/>
      <c r="C3" s="347"/>
      <c r="D3" s="347"/>
      <c r="E3" s="37"/>
      <c r="F3" s="37"/>
      <c r="G3" s="37"/>
      <c r="H3" s="37"/>
      <c r="I3" s="37"/>
      <c r="J3" s="37"/>
      <c r="K3" s="37"/>
      <c r="L3" s="37"/>
      <c r="M3" s="37"/>
      <c r="N3" s="37"/>
      <c r="O3" s="37"/>
      <c r="P3" s="37"/>
      <c r="Q3" s="37"/>
      <c r="R3" s="37"/>
    </row>
    <row r="4" spans="1:19" ht="14" x14ac:dyDescent="0.3">
      <c r="A4" s="347" t="s">
        <v>130</v>
      </c>
      <c r="B4" s="347"/>
      <c r="C4" s="347"/>
      <c r="D4" s="347"/>
      <c r="E4" s="37"/>
      <c r="F4" s="37"/>
      <c r="G4" s="37"/>
      <c r="H4" s="37"/>
      <c r="I4" s="37"/>
      <c r="J4" s="37"/>
      <c r="K4" s="37"/>
      <c r="L4" s="37"/>
      <c r="M4" s="37"/>
      <c r="N4" s="37"/>
      <c r="O4" s="37"/>
      <c r="P4" s="37"/>
      <c r="Q4" s="37"/>
      <c r="R4" s="37"/>
    </row>
    <row r="5" spans="1:19" ht="14" x14ac:dyDescent="0.3">
      <c r="A5" s="347" t="s">
        <v>139</v>
      </c>
      <c r="B5" s="347"/>
      <c r="C5" s="347"/>
      <c r="D5" s="347"/>
      <c r="E5" s="37"/>
      <c r="F5" s="37"/>
      <c r="G5" s="37"/>
      <c r="H5" s="37"/>
      <c r="I5" s="37"/>
      <c r="J5" s="37"/>
      <c r="K5" s="37"/>
      <c r="L5" s="37"/>
      <c r="M5" s="37"/>
      <c r="N5" s="37"/>
      <c r="O5" s="37"/>
      <c r="P5" s="37"/>
      <c r="Q5" s="37"/>
      <c r="R5" s="37"/>
    </row>
    <row r="6" spans="1:19" ht="14" x14ac:dyDescent="0.3">
      <c r="A6" s="347" t="s">
        <v>464</v>
      </c>
      <c r="B6" s="347"/>
      <c r="C6" s="347"/>
      <c r="D6" s="347"/>
      <c r="E6" s="37"/>
      <c r="F6" s="37"/>
      <c r="G6" s="37"/>
      <c r="H6" s="37"/>
      <c r="I6" s="37"/>
      <c r="J6" s="37"/>
      <c r="K6" s="37"/>
      <c r="L6" s="37"/>
      <c r="M6" s="37"/>
      <c r="N6" s="37"/>
      <c r="O6" s="37"/>
      <c r="P6" s="37"/>
      <c r="Q6" s="37"/>
      <c r="R6" s="37"/>
    </row>
    <row r="7" spans="1:19" ht="15.5" x14ac:dyDescent="0.35">
      <c r="A7" s="1"/>
      <c r="B7" s="1"/>
      <c r="C7" s="1"/>
      <c r="D7" s="1"/>
      <c r="E7" s="1"/>
      <c r="F7" s="1"/>
      <c r="G7" s="1"/>
      <c r="H7" s="1"/>
      <c r="I7" s="1"/>
      <c r="J7" s="1"/>
    </row>
    <row r="8" spans="1:19" ht="12.5" x14ac:dyDescent="0.25">
      <c r="A8" s="8"/>
      <c r="B8" s="62" t="s">
        <v>2</v>
      </c>
      <c r="C8" s="386">
        <v>2011</v>
      </c>
      <c r="D8" s="386"/>
      <c r="E8" s="387" t="s">
        <v>108</v>
      </c>
      <c r="F8" s="388"/>
      <c r="G8" s="387" t="s">
        <v>109</v>
      </c>
      <c r="H8" s="388"/>
      <c r="I8" s="387" t="s">
        <v>153</v>
      </c>
      <c r="J8" s="389"/>
      <c r="K8" s="9" t="s">
        <v>3</v>
      </c>
      <c r="L8" s="9" t="s">
        <v>4</v>
      </c>
      <c r="M8" s="389" t="s">
        <v>108</v>
      </c>
      <c r="N8" s="388"/>
      <c r="O8" s="387" t="s">
        <v>109</v>
      </c>
      <c r="P8" s="388"/>
      <c r="Q8" s="387" t="s">
        <v>153</v>
      </c>
      <c r="R8" s="388"/>
    </row>
    <row r="9" spans="1:19" x14ac:dyDescent="0.3">
      <c r="A9" s="38" t="s">
        <v>1</v>
      </c>
      <c r="B9" s="62" t="s">
        <v>177</v>
      </c>
      <c r="C9" s="62" t="s">
        <v>3</v>
      </c>
      <c r="D9" s="62" t="s">
        <v>4</v>
      </c>
      <c r="E9" s="16" t="s">
        <v>3</v>
      </c>
      <c r="F9" s="11" t="s">
        <v>4</v>
      </c>
      <c r="G9" s="11" t="s">
        <v>3</v>
      </c>
      <c r="H9" s="11" t="s">
        <v>4</v>
      </c>
      <c r="I9" s="11" t="s">
        <v>3</v>
      </c>
      <c r="J9" s="10" t="s">
        <v>4</v>
      </c>
      <c r="K9" s="11" t="s">
        <v>178</v>
      </c>
      <c r="L9" s="11" t="s">
        <v>178</v>
      </c>
      <c r="M9" s="16" t="s">
        <v>3</v>
      </c>
      <c r="N9" s="11" t="s">
        <v>4</v>
      </c>
      <c r="O9" s="11" t="s">
        <v>3</v>
      </c>
      <c r="P9" s="11" t="s">
        <v>4</v>
      </c>
      <c r="Q9" s="11" t="s">
        <v>3</v>
      </c>
      <c r="R9" s="11" t="s">
        <v>4</v>
      </c>
    </row>
    <row r="10" spans="1:19" ht="12.5" x14ac:dyDescent="0.25">
      <c r="A10" s="8" t="s">
        <v>9</v>
      </c>
      <c r="B10" s="4">
        <v>101</v>
      </c>
      <c r="C10" s="44">
        <f t="shared" ref="C10:C79" si="0">E10+G10+I10</f>
        <v>257252.42</v>
      </c>
      <c r="D10" s="44">
        <f t="shared" ref="D10:D79" si="1">F10+H10+J10</f>
        <v>0</v>
      </c>
      <c r="E10" s="43">
        <v>83764.28</v>
      </c>
      <c r="F10" s="14"/>
      <c r="G10" s="14"/>
      <c r="H10" s="14"/>
      <c r="I10" s="14">
        <v>173488.14</v>
      </c>
      <c r="J10" s="14"/>
      <c r="K10" s="28">
        <f>M10+O10+Q10</f>
        <v>194059.18000000002</v>
      </c>
      <c r="L10" s="28">
        <f>N10+P10+R10</f>
        <v>0</v>
      </c>
      <c r="M10" s="14">
        <v>37513.730000000003</v>
      </c>
      <c r="N10" s="14"/>
      <c r="O10" s="14"/>
      <c r="P10" s="14"/>
      <c r="Q10" s="14">
        <f>31545.45+125000</f>
        <v>156545.45000000001</v>
      </c>
      <c r="R10" s="14"/>
      <c r="S10" s="23"/>
    </row>
    <row r="11" spans="1:19" ht="12.5" x14ac:dyDescent="0.25">
      <c r="A11" s="8" t="s">
        <v>8</v>
      </c>
      <c r="B11" s="4">
        <v>103</v>
      </c>
      <c r="C11" s="44">
        <f t="shared" si="0"/>
        <v>512733.87</v>
      </c>
      <c r="D11" s="44">
        <f t="shared" si="1"/>
        <v>0</v>
      </c>
      <c r="E11" s="43">
        <v>104840.55</v>
      </c>
      <c r="F11" s="14"/>
      <c r="G11" s="14">
        <v>5603.59</v>
      </c>
      <c r="H11" s="14"/>
      <c r="I11" s="14">
        <v>402289.73</v>
      </c>
      <c r="J11" s="14"/>
      <c r="K11" s="13">
        <f t="shared" ref="K11:K78" si="2">M11+O11+Q11</f>
        <v>6482.28</v>
      </c>
      <c r="L11" s="13">
        <f t="shared" ref="L11:L78" si="3">N11+P11+R11</f>
        <v>0</v>
      </c>
      <c r="M11" s="14">
        <v>3940.1</v>
      </c>
      <c r="N11" s="14"/>
      <c r="O11" s="14">
        <v>2505.44</v>
      </c>
      <c r="P11" s="14"/>
      <c r="Q11" s="14">
        <v>36.74</v>
      </c>
      <c r="R11" s="14"/>
      <c r="S11" s="23"/>
    </row>
    <row r="12" spans="1:19" ht="12.5" x14ac:dyDescent="0.25">
      <c r="A12" s="8" t="s">
        <v>149</v>
      </c>
      <c r="B12" s="4">
        <v>106</v>
      </c>
      <c r="C12" s="44">
        <f t="shared" si="0"/>
        <v>9528.5499999999993</v>
      </c>
      <c r="D12" s="44">
        <f t="shared" si="1"/>
        <v>0</v>
      </c>
      <c r="E12" s="43">
        <v>9528.5499999999993</v>
      </c>
      <c r="F12" s="14"/>
      <c r="G12" s="14"/>
      <c r="H12" s="14"/>
      <c r="I12" s="14"/>
      <c r="J12" s="14"/>
      <c r="K12" s="13">
        <f t="shared" si="2"/>
        <v>14403.26</v>
      </c>
      <c r="L12" s="13">
        <f t="shared" si="3"/>
        <v>0</v>
      </c>
      <c r="M12" s="14">
        <v>14403.26</v>
      </c>
      <c r="N12" s="14"/>
      <c r="O12" s="14"/>
      <c r="P12" s="14"/>
      <c r="Q12" s="14"/>
      <c r="R12" s="14"/>
      <c r="S12" s="23"/>
    </row>
    <row r="13" spans="1:19" ht="12.5" x14ac:dyDescent="0.25">
      <c r="A13" s="8" t="s">
        <v>7</v>
      </c>
      <c r="B13" s="4">
        <v>111</v>
      </c>
      <c r="C13" s="44">
        <f t="shared" si="0"/>
        <v>15347755.550000001</v>
      </c>
      <c r="D13" s="44">
        <f t="shared" si="1"/>
        <v>0</v>
      </c>
      <c r="E13" s="43">
        <v>5118458</v>
      </c>
      <c r="F13" s="14"/>
      <c r="G13" s="14">
        <v>197202.17</v>
      </c>
      <c r="H13" s="14"/>
      <c r="I13" s="14">
        <v>10032095.380000001</v>
      </c>
      <c r="J13" s="14"/>
      <c r="K13" s="13">
        <f t="shared" si="2"/>
        <v>11478955.719999999</v>
      </c>
      <c r="L13" s="13">
        <f t="shared" si="3"/>
        <v>0</v>
      </c>
      <c r="M13" s="14">
        <v>11087815.859999999</v>
      </c>
      <c r="N13" s="14"/>
      <c r="O13" s="14">
        <v>165414.85999999999</v>
      </c>
      <c r="P13" s="14"/>
      <c r="Q13" s="14">
        <v>225725</v>
      </c>
      <c r="R13" s="14"/>
      <c r="S13" s="23"/>
    </row>
    <row r="14" spans="1:19" ht="12.5" x14ac:dyDescent="0.25">
      <c r="A14" s="8" t="s">
        <v>470</v>
      </c>
      <c r="B14" s="4">
        <v>121</v>
      </c>
      <c r="C14" s="44">
        <f t="shared" si="0"/>
        <v>12388.55</v>
      </c>
      <c r="D14" s="44">
        <f t="shared" si="1"/>
        <v>0</v>
      </c>
      <c r="E14" s="43">
        <v>12388.55</v>
      </c>
      <c r="F14" s="14"/>
      <c r="G14" s="14"/>
      <c r="H14" s="14"/>
      <c r="I14" s="14"/>
      <c r="J14" s="14"/>
      <c r="K14" s="13"/>
      <c r="L14" s="13"/>
      <c r="M14" s="14"/>
      <c r="N14" s="14"/>
      <c r="O14" s="14"/>
      <c r="P14" s="14"/>
      <c r="Q14" s="14"/>
      <c r="R14" s="14"/>
      <c r="S14" s="23"/>
    </row>
    <row r="15" spans="1:19" ht="12.5" x14ac:dyDescent="0.25">
      <c r="A15" s="8" t="s">
        <v>157</v>
      </c>
      <c r="B15" s="4">
        <v>123</v>
      </c>
      <c r="C15" s="44">
        <f t="shared" si="0"/>
        <v>2910075.05</v>
      </c>
      <c r="D15" s="44">
        <f t="shared" si="1"/>
        <v>0</v>
      </c>
      <c r="E15" s="43">
        <v>2910075.05</v>
      </c>
      <c r="F15" s="14"/>
      <c r="G15" s="14"/>
      <c r="H15" s="14"/>
      <c r="I15" s="35"/>
      <c r="J15" s="14"/>
      <c r="K15" s="13">
        <f t="shared" si="2"/>
        <v>2279978.1599999997</v>
      </c>
      <c r="L15" s="13">
        <f t="shared" si="3"/>
        <v>0</v>
      </c>
      <c r="M15" s="14">
        <f>2249537.61+30440.55</f>
        <v>2279978.1599999997</v>
      </c>
      <c r="N15" s="14"/>
      <c r="O15" s="14"/>
      <c r="P15" s="14"/>
      <c r="Q15" s="14"/>
      <c r="R15" s="14"/>
      <c r="S15" s="23"/>
    </row>
    <row r="16" spans="1:19" ht="12.5" x14ac:dyDescent="0.25">
      <c r="A16" s="8" t="s">
        <v>11</v>
      </c>
      <c r="B16" s="4">
        <v>127</v>
      </c>
      <c r="C16" s="44">
        <f t="shared" si="0"/>
        <v>15190711.75</v>
      </c>
      <c r="D16" s="44">
        <f t="shared" si="1"/>
        <v>0</v>
      </c>
      <c r="E16" s="43">
        <v>15190711.75</v>
      </c>
      <c r="F16" s="14"/>
      <c r="G16" s="14"/>
      <c r="H16" s="14"/>
      <c r="I16" s="35"/>
      <c r="J16" s="14"/>
      <c r="K16" s="13">
        <f t="shared" si="2"/>
        <v>14742267.380000001</v>
      </c>
      <c r="L16" s="13">
        <f t="shared" si="3"/>
        <v>0</v>
      </c>
      <c r="M16" s="14">
        <v>14742267.380000001</v>
      </c>
      <c r="N16" s="14"/>
      <c r="O16" s="14"/>
      <c r="P16" s="14"/>
      <c r="Q16" s="14"/>
      <c r="R16" s="14"/>
      <c r="S16" s="23"/>
    </row>
    <row r="17" spans="1:19" ht="12.5" x14ac:dyDescent="0.25">
      <c r="A17" s="8" t="s">
        <v>114</v>
      </c>
      <c r="B17" s="4">
        <v>128</v>
      </c>
      <c r="C17" s="44">
        <f t="shared" si="0"/>
        <v>15190711.75</v>
      </c>
      <c r="D17" s="44">
        <f t="shared" si="1"/>
        <v>0</v>
      </c>
      <c r="E17" s="43">
        <v>15190711.75</v>
      </c>
      <c r="F17" s="14"/>
      <c r="G17" s="14"/>
      <c r="H17" s="14"/>
      <c r="I17" s="14"/>
      <c r="J17" s="14"/>
      <c r="K17" s="13">
        <f t="shared" si="2"/>
        <v>14742267.380000001</v>
      </c>
      <c r="L17" s="13">
        <f t="shared" si="3"/>
        <v>0</v>
      </c>
      <c r="M17" s="14">
        <v>14742267.380000001</v>
      </c>
      <c r="N17" s="14"/>
      <c r="O17" s="14"/>
      <c r="P17" s="14"/>
      <c r="Q17" s="14"/>
      <c r="R17" s="14"/>
      <c r="S17" s="23"/>
    </row>
    <row r="18" spans="1:19" ht="12.5" x14ac:dyDescent="0.25">
      <c r="A18" s="8" t="s">
        <v>175</v>
      </c>
      <c r="B18" s="4">
        <v>124</v>
      </c>
      <c r="C18" s="44">
        <f t="shared" si="0"/>
        <v>1247.04</v>
      </c>
      <c r="D18" s="44">
        <f t="shared" si="1"/>
        <v>0</v>
      </c>
      <c r="E18" s="43">
        <v>1247.04</v>
      </c>
      <c r="F18" s="14"/>
      <c r="G18" s="14"/>
      <c r="H18" s="14"/>
      <c r="I18" s="14"/>
      <c r="J18" s="14"/>
      <c r="K18" s="13">
        <f t="shared" si="2"/>
        <v>1247.04</v>
      </c>
      <c r="L18" s="13">
        <f t="shared" si="3"/>
        <v>0</v>
      </c>
      <c r="M18" s="14">
        <v>1247.04</v>
      </c>
      <c r="N18" s="14"/>
      <c r="O18" s="14"/>
      <c r="P18" s="14"/>
      <c r="Q18" s="14"/>
      <c r="R18" s="14"/>
      <c r="S18" s="23"/>
    </row>
    <row r="19" spans="1:19" ht="12.5" x14ac:dyDescent="0.25">
      <c r="A19" s="8" t="s">
        <v>141</v>
      </c>
      <c r="B19" s="4">
        <v>144</v>
      </c>
      <c r="C19" s="44">
        <f t="shared" si="0"/>
        <v>439354.7</v>
      </c>
      <c r="D19" s="44">
        <f t="shared" si="1"/>
        <v>0</v>
      </c>
      <c r="E19" s="43">
        <v>439354.7</v>
      </c>
      <c r="F19" s="14"/>
      <c r="G19" s="14"/>
      <c r="H19" s="14"/>
      <c r="I19" s="14"/>
      <c r="J19" s="14"/>
      <c r="K19" s="13">
        <f t="shared" si="2"/>
        <v>28357.7</v>
      </c>
      <c r="L19" s="13">
        <f t="shared" si="3"/>
        <v>0</v>
      </c>
      <c r="M19" s="14">
        <v>28357.7</v>
      </c>
      <c r="N19" s="14"/>
      <c r="O19" s="14"/>
      <c r="P19" s="14"/>
      <c r="Q19" s="14"/>
      <c r="R19" s="14"/>
      <c r="S19" s="23"/>
    </row>
    <row r="20" spans="1:19" ht="12.5" x14ac:dyDescent="0.25">
      <c r="A20" s="8" t="s">
        <v>471</v>
      </c>
      <c r="B20" s="4">
        <v>146</v>
      </c>
      <c r="C20" s="44">
        <f t="shared" si="0"/>
        <v>105463</v>
      </c>
      <c r="D20" s="44">
        <f t="shared" si="1"/>
        <v>0</v>
      </c>
      <c r="E20" s="43">
        <v>105463</v>
      </c>
      <c r="F20" s="14"/>
      <c r="G20" s="14"/>
      <c r="H20" s="14"/>
      <c r="I20" s="14"/>
      <c r="J20" s="14"/>
      <c r="K20" s="13"/>
      <c r="L20" s="13"/>
      <c r="M20" s="14"/>
      <c r="N20" s="14"/>
      <c r="O20" s="14"/>
      <c r="P20" s="14"/>
      <c r="Q20" s="14"/>
      <c r="R20" s="14"/>
      <c r="S20" s="23"/>
    </row>
    <row r="21" spans="1:19" ht="12.5" x14ac:dyDescent="0.25">
      <c r="A21" s="8" t="s">
        <v>10</v>
      </c>
      <c r="B21" s="4">
        <v>148</v>
      </c>
      <c r="C21" s="44">
        <f t="shared" si="0"/>
        <v>72272.160000000003</v>
      </c>
      <c r="D21" s="44">
        <f t="shared" si="1"/>
        <v>0</v>
      </c>
      <c r="E21" s="43">
        <v>72272.160000000003</v>
      </c>
      <c r="F21" s="14"/>
      <c r="G21" s="14"/>
      <c r="H21" s="14"/>
      <c r="I21" s="14"/>
      <c r="J21" s="14"/>
      <c r="K21" s="13">
        <f t="shared" si="2"/>
        <v>72272.160000000003</v>
      </c>
      <c r="L21" s="13">
        <f t="shared" si="3"/>
        <v>0</v>
      </c>
      <c r="M21" s="14">
        <v>72272.160000000003</v>
      </c>
      <c r="N21" s="14"/>
      <c r="O21" s="14"/>
      <c r="P21" s="14"/>
      <c r="Q21" s="14"/>
      <c r="R21" s="14"/>
      <c r="S21" s="23"/>
    </row>
    <row r="22" spans="1:19" ht="12.5" x14ac:dyDescent="0.25">
      <c r="A22" s="8" t="s">
        <v>115</v>
      </c>
      <c r="B22" s="4">
        <v>149</v>
      </c>
      <c r="C22" s="44">
        <f t="shared" si="0"/>
        <v>1000000</v>
      </c>
      <c r="D22" s="44">
        <f t="shared" si="1"/>
        <v>0</v>
      </c>
      <c r="E22" s="43">
        <v>1000000</v>
      </c>
      <c r="F22" s="14"/>
      <c r="G22" s="14"/>
      <c r="H22" s="14"/>
      <c r="I22" s="14"/>
      <c r="J22" s="14"/>
      <c r="K22" s="13">
        <f t="shared" si="2"/>
        <v>500000</v>
      </c>
      <c r="L22" s="13">
        <f t="shared" si="3"/>
        <v>0</v>
      </c>
      <c r="M22" s="14">
        <v>500000</v>
      </c>
      <c r="N22" s="14"/>
      <c r="O22" s="14"/>
      <c r="P22" s="14"/>
      <c r="Q22" s="14"/>
      <c r="R22" s="14"/>
      <c r="S22" s="23"/>
    </row>
    <row r="23" spans="1:19" ht="12.5" x14ac:dyDescent="0.25">
      <c r="A23" s="8" t="s">
        <v>172</v>
      </c>
      <c r="B23" s="4">
        <v>155</v>
      </c>
      <c r="C23" s="44">
        <f t="shared" si="0"/>
        <v>0</v>
      </c>
      <c r="D23" s="44">
        <f t="shared" si="1"/>
        <v>0</v>
      </c>
      <c r="E23" s="43"/>
      <c r="F23" s="14"/>
      <c r="G23" s="14"/>
      <c r="H23" s="14"/>
      <c r="I23" s="14"/>
      <c r="J23" s="14"/>
      <c r="K23" s="13">
        <f t="shared" si="2"/>
        <v>39280</v>
      </c>
      <c r="L23" s="13">
        <f t="shared" si="3"/>
        <v>0</v>
      </c>
      <c r="M23" s="14">
        <v>39280</v>
      </c>
      <c r="N23" s="14"/>
      <c r="O23" s="14"/>
      <c r="P23" s="14"/>
      <c r="Q23" s="14"/>
      <c r="R23" s="14"/>
      <c r="S23" s="23"/>
    </row>
    <row r="24" spans="1:19" ht="12.5" x14ac:dyDescent="0.25">
      <c r="A24" s="8" t="s">
        <v>199</v>
      </c>
      <c r="B24" s="4">
        <v>159</v>
      </c>
      <c r="C24" s="44">
        <f t="shared" si="0"/>
        <v>0</v>
      </c>
      <c r="D24" s="44">
        <f t="shared" si="1"/>
        <v>0</v>
      </c>
      <c r="E24" s="43"/>
      <c r="F24" s="14"/>
      <c r="G24" s="14"/>
      <c r="H24" s="14"/>
      <c r="I24" s="14"/>
      <c r="J24" s="14"/>
      <c r="K24" s="13">
        <f t="shared" si="2"/>
        <v>71134</v>
      </c>
      <c r="L24" s="13">
        <f t="shared" si="3"/>
        <v>0</v>
      </c>
      <c r="M24" s="14">
        <v>71134</v>
      </c>
      <c r="N24" s="14"/>
      <c r="O24" s="14"/>
      <c r="P24" s="14"/>
      <c r="Q24" s="14"/>
      <c r="R24" s="14"/>
      <c r="S24" s="23"/>
    </row>
    <row r="25" spans="1:19" ht="12.5" x14ac:dyDescent="0.25">
      <c r="A25" s="8" t="s">
        <v>12</v>
      </c>
      <c r="B25" s="4">
        <v>201</v>
      </c>
      <c r="C25" s="44">
        <f t="shared" si="0"/>
        <v>1912026.15</v>
      </c>
      <c r="D25" s="44">
        <f t="shared" si="1"/>
        <v>0</v>
      </c>
      <c r="E25" s="43">
        <v>1912026.15</v>
      </c>
      <c r="F25" s="14"/>
      <c r="G25" s="14"/>
      <c r="H25" s="14"/>
      <c r="I25" s="14"/>
      <c r="J25" s="14"/>
      <c r="K25" s="13">
        <f t="shared" si="2"/>
        <v>1812026.15</v>
      </c>
      <c r="L25" s="13">
        <f t="shared" si="3"/>
        <v>0</v>
      </c>
      <c r="M25" s="14">
        <v>1812026.15</v>
      </c>
      <c r="N25" s="14"/>
      <c r="O25" s="14"/>
      <c r="P25" s="14"/>
      <c r="Q25" s="14"/>
      <c r="R25" s="14"/>
      <c r="S25" s="23"/>
    </row>
    <row r="26" spans="1:19" ht="12.5" x14ac:dyDescent="0.25">
      <c r="A26" s="8" t="s">
        <v>13</v>
      </c>
      <c r="B26" s="4">
        <v>202</v>
      </c>
      <c r="C26" s="44">
        <f t="shared" si="0"/>
        <v>391060</v>
      </c>
      <c r="D26" s="44">
        <f t="shared" si="1"/>
        <v>0</v>
      </c>
      <c r="E26" s="43">
        <v>391060</v>
      </c>
      <c r="F26" s="14"/>
      <c r="G26" s="14"/>
      <c r="H26" s="14"/>
      <c r="I26" s="14"/>
      <c r="J26" s="14"/>
      <c r="K26" s="13">
        <f t="shared" si="2"/>
        <v>391060</v>
      </c>
      <c r="L26" s="13">
        <f t="shared" si="3"/>
        <v>0</v>
      </c>
      <c r="M26" s="14">
        <v>391060</v>
      </c>
      <c r="N26" s="14"/>
      <c r="O26" s="14"/>
      <c r="P26" s="14"/>
      <c r="Q26" s="14"/>
      <c r="R26" s="14"/>
      <c r="S26" s="23"/>
    </row>
    <row r="27" spans="1:19" ht="12.5" x14ac:dyDescent="0.25">
      <c r="A27" s="8" t="s">
        <v>191</v>
      </c>
      <c r="B27" s="4">
        <v>302</v>
      </c>
      <c r="C27" s="44">
        <f t="shared" si="0"/>
        <v>0</v>
      </c>
      <c r="D27" s="44">
        <f t="shared" si="1"/>
        <v>331287.5</v>
      </c>
      <c r="E27" s="43"/>
      <c r="F27" s="14">
        <v>331287.5</v>
      </c>
      <c r="G27" s="14"/>
      <c r="H27" s="14"/>
      <c r="I27" s="14"/>
      <c r="J27" s="14"/>
      <c r="K27" s="13">
        <f t="shared" si="2"/>
        <v>0</v>
      </c>
      <c r="L27" s="13">
        <f t="shared" si="3"/>
        <v>305216.83</v>
      </c>
      <c r="M27" s="14"/>
      <c r="N27" s="14">
        <v>305216.83</v>
      </c>
      <c r="O27" s="14"/>
      <c r="P27" s="14"/>
      <c r="Q27" s="14"/>
      <c r="R27" s="14"/>
      <c r="S27" s="23"/>
    </row>
    <row r="28" spans="1:19" ht="12.5" x14ac:dyDescent="0.25">
      <c r="A28" s="8" t="s">
        <v>14</v>
      </c>
      <c r="B28" s="4">
        <v>205</v>
      </c>
      <c r="C28" s="44">
        <f t="shared" si="0"/>
        <v>658065</v>
      </c>
      <c r="D28" s="44">
        <f t="shared" si="1"/>
        <v>0</v>
      </c>
      <c r="E28" s="43">
        <v>658065</v>
      </c>
      <c r="F28" s="14"/>
      <c r="G28" s="14"/>
      <c r="H28" s="14"/>
      <c r="I28" s="14"/>
      <c r="J28" s="14"/>
      <c r="K28" s="13">
        <f t="shared" si="2"/>
        <v>658065</v>
      </c>
      <c r="L28" s="13">
        <f t="shared" si="3"/>
        <v>0</v>
      </c>
      <c r="M28" s="14">
        <v>658065</v>
      </c>
      <c r="N28" s="14"/>
      <c r="O28" s="14"/>
      <c r="P28" s="14"/>
      <c r="Q28" s="14"/>
      <c r="R28" s="14"/>
      <c r="S28" s="23"/>
    </row>
    <row r="29" spans="1:19" ht="12.5" x14ac:dyDescent="0.25">
      <c r="A29" s="8" t="s">
        <v>192</v>
      </c>
      <c r="B29" s="4">
        <v>305</v>
      </c>
      <c r="C29" s="44">
        <f t="shared" si="0"/>
        <v>0</v>
      </c>
      <c r="D29" s="44">
        <f t="shared" si="1"/>
        <v>149866.14000000001</v>
      </c>
      <c r="E29" s="43"/>
      <c r="F29" s="14">
        <v>149866.14000000001</v>
      </c>
      <c r="G29" s="14"/>
      <c r="H29" s="14"/>
      <c r="I29" s="14"/>
      <c r="J29" s="14"/>
      <c r="K29" s="13">
        <f t="shared" si="2"/>
        <v>0</v>
      </c>
      <c r="L29" s="13">
        <f t="shared" si="3"/>
        <v>112274.61</v>
      </c>
      <c r="M29" s="14"/>
      <c r="N29" s="14">
        <v>112274.61</v>
      </c>
      <c r="O29" s="14"/>
      <c r="P29" s="14"/>
      <c r="Q29" s="14"/>
      <c r="R29" s="14"/>
      <c r="S29" s="23"/>
    </row>
    <row r="30" spans="1:19" ht="12.5" x14ac:dyDescent="0.25">
      <c r="A30" s="8" t="s">
        <v>15</v>
      </c>
      <c r="B30" s="4">
        <v>211</v>
      </c>
      <c r="C30" s="44">
        <f t="shared" si="0"/>
        <v>10805770.609999999</v>
      </c>
      <c r="D30" s="44">
        <f t="shared" si="1"/>
        <v>0</v>
      </c>
      <c r="E30" s="43">
        <v>10805770.609999999</v>
      </c>
      <c r="F30" s="14"/>
      <c r="G30" s="14"/>
      <c r="H30" s="14"/>
      <c r="I30" s="14"/>
      <c r="J30" s="14"/>
      <c r="K30" s="13">
        <f t="shared" si="2"/>
        <v>10805770.609999999</v>
      </c>
      <c r="L30" s="13">
        <f t="shared" si="3"/>
        <v>0</v>
      </c>
      <c r="M30" s="27">
        <v>10805770.609999999</v>
      </c>
      <c r="N30" s="14"/>
      <c r="O30" s="14"/>
      <c r="P30" s="14"/>
      <c r="Q30" s="14"/>
      <c r="R30" s="14"/>
      <c r="S30" s="23"/>
    </row>
    <row r="31" spans="1:19" ht="12.5" x14ac:dyDescent="0.25">
      <c r="A31" s="8" t="s">
        <v>443</v>
      </c>
      <c r="B31" s="4">
        <v>311</v>
      </c>
      <c r="C31" s="44">
        <f t="shared" si="0"/>
        <v>0</v>
      </c>
      <c r="D31" s="44">
        <f t="shared" si="1"/>
        <v>1246479.54</v>
      </c>
      <c r="E31" s="43"/>
      <c r="F31" s="14">
        <v>1246479.54</v>
      </c>
      <c r="G31" s="14"/>
      <c r="H31" s="14"/>
      <c r="I31" s="14"/>
      <c r="J31" s="14"/>
      <c r="K31" s="13">
        <f t="shared" si="2"/>
        <v>0</v>
      </c>
      <c r="L31" s="13">
        <f t="shared" si="3"/>
        <v>1038564.13</v>
      </c>
      <c r="M31" s="14"/>
      <c r="N31" s="14">
        <v>1038564.13</v>
      </c>
      <c r="O31" s="14"/>
      <c r="P31" s="14"/>
      <c r="Q31" s="14"/>
      <c r="R31" s="14"/>
      <c r="S31" s="23"/>
    </row>
    <row r="32" spans="1:19" ht="12.5" x14ac:dyDescent="0.25">
      <c r="A32" s="8" t="s">
        <v>16</v>
      </c>
      <c r="B32" s="4">
        <v>212</v>
      </c>
      <c r="C32" s="44">
        <f t="shared" si="0"/>
        <v>367294.02</v>
      </c>
      <c r="D32" s="44">
        <f t="shared" si="1"/>
        <v>0</v>
      </c>
      <c r="E32" s="43">
        <v>367294.02</v>
      </c>
      <c r="F32" s="14"/>
      <c r="G32" s="14"/>
      <c r="H32" s="14"/>
      <c r="I32" s="14"/>
      <c r="J32" s="14"/>
      <c r="K32" s="13">
        <f t="shared" si="2"/>
        <v>367294.02</v>
      </c>
      <c r="L32" s="13">
        <f t="shared" si="3"/>
        <v>0</v>
      </c>
      <c r="M32" s="14">
        <v>367294.02</v>
      </c>
      <c r="N32" s="14"/>
      <c r="O32" s="14"/>
      <c r="P32" s="14"/>
      <c r="Q32" s="14"/>
      <c r="R32" s="14"/>
      <c r="S32" s="23"/>
    </row>
    <row r="33" spans="1:19" ht="12.5" x14ac:dyDescent="0.25">
      <c r="A33" s="8" t="s">
        <v>444</v>
      </c>
      <c r="B33" s="4">
        <v>312</v>
      </c>
      <c r="C33" s="44">
        <f t="shared" si="0"/>
        <v>0</v>
      </c>
      <c r="D33" s="44">
        <f t="shared" si="1"/>
        <v>62791.8</v>
      </c>
      <c r="E33" s="43"/>
      <c r="F33" s="14">
        <v>62791.8</v>
      </c>
      <c r="G33" s="14"/>
      <c r="H33" s="14"/>
      <c r="I33" s="14"/>
      <c r="J33" s="14"/>
      <c r="K33" s="13">
        <f t="shared" si="2"/>
        <v>0</v>
      </c>
      <c r="L33" s="13">
        <f t="shared" si="3"/>
        <v>56445.919999999998</v>
      </c>
      <c r="M33" s="14"/>
      <c r="N33" s="14">
        <v>56445.919999999998</v>
      </c>
      <c r="O33" s="14"/>
      <c r="P33" s="14"/>
      <c r="Q33" s="14"/>
      <c r="R33" s="14"/>
      <c r="S33" s="23"/>
    </row>
    <row r="34" spans="1:19" ht="12.5" x14ac:dyDescent="0.25">
      <c r="A34" s="8" t="s">
        <v>18</v>
      </c>
      <c r="B34" s="4">
        <v>214</v>
      </c>
      <c r="C34" s="44">
        <f t="shared" si="0"/>
        <v>4999090.7699999996</v>
      </c>
      <c r="D34" s="44">
        <f t="shared" si="1"/>
        <v>0</v>
      </c>
      <c r="E34" s="43">
        <v>4999090.7699999996</v>
      </c>
      <c r="F34" s="14"/>
      <c r="G34" s="14"/>
      <c r="H34" s="14"/>
      <c r="I34" s="14"/>
      <c r="J34" s="14"/>
      <c r="K34" s="13">
        <f t="shared" si="2"/>
        <v>4999090.7699999996</v>
      </c>
      <c r="L34" s="13">
        <f t="shared" si="3"/>
        <v>0</v>
      </c>
      <c r="M34" s="14">
        <v>4999090.7699999996</v>
      </c>
      <c r="N34" s="14"/>
      <c r="O34" s="14"/>
      <c r="P34" s="14"/>
      <c r="Q34" s="14"/>
      <c r="R34" s="14"/>
      <c r="S34" s="23"/>
    </row>
    <row r="35" spans="1:19" ht="12.5" x14ac:dyDescent="0.25">
      <c r="A35" s="8" t="s">
        <v>179</v>
      </c>
      <c r="B35" s="4">
        <v>314</v>
      </c>
      <c r="C35" s="44">
        <f t="shared" si="0"/>
        <v>0</v>
      </c>
      <c r="D35" s="44">
        <f t="shared" si="1"/>
        <v>3042709.04</v>
      </c>
      <c r="E35" s="43"/>
      <c r="F35" s="14">
        <v>3042709.04</v>
      </c>
      <c r="G35" s="14"/>
      <c r="H35" s="14"/>
      <c r="I35" s="14"/>
      <c r="J35" s="14"/>
      <c r="K35" s="13">
        <f t="shared" si="2"/>
        <v>0</v>
      </c>
      <c r="L35" s="13">
        <f t="shared" si="3"/>
        <v>2565299.96</v>
      </c>
      <c r="M35" s="14"/>
      <c r="N35" s="14">
        <v>2565299.96</v>
      </c>
      <c r="O35" s="14"/>
      <c r="P35" s="14"/>
      <c r="Q35" s="14"/>
      <c r="R35" s="14"/>
      <c r="S35" s="23"/>
    </row>
    <row r="36" spans="1:19" ht="12.5" x14ac:dyDescent="0.25">
      <c r="A36" s="8" t="s">
        <v>19</v>
      </c>
      <c r="B36" s="4">
        <v>215</v>
      </c>
      <c r="C36" s="44">
        <f t="shared" si="0"/>
        <v>607774</v>
      </c>
      <c r="D36" s="44">
        <f t="shared" si="1"/>
        <v>0</v>
      </c>
      <c r="E36" s="43">
        <v>607774</v>
      </c>
      <c r="F36" s="14"/>
      <c r="G36" s="14"/>
      <c r="H36" s="14"/>
      <c r="I36" s="14"/>
      <c r="J36" s="14"/>
      <c r="K36" s="13">
        <f t="shared" si="2"/>
        <v>607774</v>
      </c>
      <c r="L36" s="13">
        <f t="shared" si="3"/>
        <v>0</v>
      </c>
      <c r="M36" s="14">
        <v>607774</v>
      </c>
      <c r="N36" s="14"/>
      <c r="O36" s="14"/>
      <c r="P36" s="14"/>
      <c r="Q36" s="14"/>
      <c r="R36" s="14"/>
      <c r="S36" s="23"/>
    </row>
    <row r="37" spans="1:19" ht="12.5" x14ac:dyDescent="0.25">
      <c r="A37" s="8" t="s">
        <v>445</v>
      </c>
      <c r="B37" s="4">
        <v>315</v>
      </c>
      <c r="C37" s="44">
        <f t="shared" si="0"/>
        <v>0</v>
      </c>
      <c r="D37" s="44">
        <f t="shared" si="1"/>
        <v>567665.66</v>
      </c>
      <c r="E37" s="43"/>
      <c r="F37" s="14">
        <v>567665.66</v>
      </c>
      <c r="G37" s="14"/>
      <c r="H37" s="14"/>
      <c r="I37" s="14"/>
      <c r="J37" s="14"/>
      <c r="K37" s="13">
        <f t="shared" si="2"/>
        <v>0</v>
      </c>
      <c r="L37" s="13">
        <f t="shared" si="3"/>
        <v>567665.66</v>
      </c>
      <c r="M37" s="14"/>
      <c r="N37" s="14">
        <v>567665.66</v>
      </c>
      <c r="O37" s="14"/>
      <c r="P37" s="14"/>
      <c r="Q37" s="14"/>
      <c r="R37" s="14"/>
      <c r="S37" s="23"/>
    </row>
    <row r="38" spans="1:19" ht="12.5" x14ac:dyDescent="0.25">
      <c r="A38" s="8" t="s">
        <v>20</v>
      </c>
      <c r="B38" s="4">
        <v>221</v>
      </c>
      <c r="C38" s="44">
        <f t="shared" si="0"/>
        <v>978012.08</v>
      </c>
      <c r="D38" s="44">
        <f t="shared" si="1"/>
        <v>0</v>
      </c>
      <c r="E38" s="43">
        <v>928512.08</v>
      </c>
      <c r="G38" s="14"/>
      <c r="H38" s="14"/>
      <c r="I38" s="14">
        <v>49500</v>
      </c>
      <c r="J38" s="14"/>
      <c r="K38" s="13">
        <f t="shared" si="2"/>
        <v>611999</v>
      </c>
      <c r="L38" s="13">
        <f t="shared" si="3"/>
        <v>0</v>
      </c>
      <c r="M38" s="14">
        <v>611999</v>
      </c>
      <c r="N38" s="14"/>
      <c r="O38" s="14"/>
      <c r="P38" s="14"/>
      <c r="Q38" s="14"/>
      <c r="R38" s="14"/>
      <c r="S38" s="23"/>
    </row>
    <row r="39" spans="1:19" ht="12.5" x14ac:dyDescent="0.25">
      <c r="A39" s="8" t="s">
        <v>446</v>
      </c>
      <c r="B39" s="4">
        <v>321</v>
      </c>
      <c r="C39" s="44">
        <f t="shared" si="0"/>
        <v>0</v>
      </c>
      <c r="D39" s="44">
        <f t="shared" si="1"/>
        <v>184843.07</v>
      </c>
      <c r="E39" s="43"/>
      <c r="F39" s="14">
        <v>184843.07</v>
      </c>
      <c r="G39" s="14"/>
      <c r="H39" s="14"/>
      <c r="I39" s="14"/>
      <c r="J39" s="14"/>
      <c r="K39" s="13">
        <f t="shared" si="2"/>
        <v>0</v>
      </c>
      <c r="L39" s="13">
        <f t="shared" si="3"/>
        <v>92020.86</v>
      </c>
      <c r="M39" s="14"/>
      <c r="N39" s="14">
        <v>92020.86</v>
      </c>
      <c r="O39" s="14"/>
      <c r="P39" s="14"/>
      <c r="Q39" s="14"/>
      <c r="R39" s="14"/>
      <c r="S39" s="23"/>
    </row>
    <row r="40" spans="1:19" ht="12.5" x14ac:dyDescent="0.25">
      <c r="A40" s="8" t="s">
        <v>21</v>
      </c>
      <c r="B40" s="4">
        <v>222</v>
      </c>
      <c r="C40" s="44">
        <f t="shared" si="0"/>
        <v>553453</v>
      </c>
      <c r="D40" s="44">
        <f t="shared" si="1"/>
        <v>0</v>
      </c>
      <c r="E40" s="43">
        <v>553453</v>
      </c>
      <c r="F40" s="14"/>
      <c r="G40" s="14"/>
      <c r="H40" s="14"/>
      <c r="I40" s="14"/>
      <c r="J40" s="14"/>
      <c r="K40" s="13">
        <f t="shared" si="2"/>
        <v>339406</v>
      </c>
      <c r="L40" s="13">
        <f t="shared" si="3"/>
        <v>0</v>
      </c>
      <c r="M40" s="14">
        <v>339406</v>
      </c>
      <c r="N40" s="14"/>
      <c r="O40" s="14"/>
      <c r="P40" s="14"/>
      <c r="Q40" s="14"/>
      <c r="R40" s="14"/>
      <c r="S40" s="23"/>
    </row>
    <row r="41" spans="1:19" ht="12.5" x14ac:dyDescent="0.25">
      <c r="A41" s="8" t="s">
        <v>447</v>
      </c>
      <c r="B41" s="4">
        <v>322</v>
      </c>
      <c r="C41" s="44">
        <f t="shared" si="0"/>
        <v>0</v>
      </c>
      <c r="D41" s="44">
        <f t="shared" si="1"/>
        <v>119671.5</v>
      </c>
      <c r="E41" s="43"/>
      <c r="F41" s="14">
        <v>119671.5</v>
      </c>
      <c r="G41" s="14"/>
      <c r="H41" s="14"/>
      <c r="I41" s="14"/>
      <c r="J41" s="14"/>
      <c r="K41" s="13">
        <f t="shared" si="2"/>
        <v>0</v>
      </c>
      <c r="L41" s="13">
        <f t="shared" si="3"/>
        <v>92155.8</v>
      </c>
      <c r="M41" s="14"/>
      <c r="N41" s="27">
        <v>92155.8</v>
      </c>
      <c r="O41" s="14"/>
      <c r="P41" s="14"/>
      <c r="Q41" s="14"/>
      <c r="R41" s="14"/>
      <c r="S41" s="23"/>
    </row>
    <row r="42" spans="1:19" ht="12.5" x14ac:dyDescent="0.25">
      <c r="A42" s="8" t="s">
        <v>22</v>
      </c>
      <c r="B42" s="4">
        <v>223</v>
      </c>
      <c r="C42" s="44">
        <f t="shared" si="0"/>
        <v>1277715.8</v>
      </c>
      <c r="D42" s="44">
        <f t="shared" si="1"/>
        <v>0</v>
      </c>
      <c r="E42" s="43">
        <v>1256715.8</v>
      </c>
      <c r="F42" s="14"/>
      <c r="G42" s="14">
        <v>21000</v>
      </c>
      <c r="H42" s="14"/>
      <c r="I42" s="14"/>
      <c r="J42" s="14"/>
      <c r="K42" s="13">
        <f t="shared" si="2"/>
        <v>900585.8</v>
      </c>
      <c r="L42" s="13">
        <f t="shared" si="3"/>
        <v>0</v>
      </c>
      <c r="M42" s="14">
        <v>900585.8</v>
      </c>
      <c r="N42" s="14"/>
      <c r="O42" s="14"/>
      <c r="P42" s="14"/>
      <c r="Q42" s="14"/>
      <c r="R42" s="14"/>
      <c r="S42" s="23"/>
    </row>
    <row r="43" spans="1:19" ht="12.5" x14ac:dyDescent="0.25">
      <c r="A43" s="8" t="s">
        <v>448</v>
      </c>
      <c r="B43" s="4">
        <v>323</v>
      </c>
      <c r="C43" s="44">
        <f t="shared" si="0"/>
        <v>0</v>
      </c>
      <c r="D43" s="44">
        <f t="shared" si="1"/>
        <v>481834.23999999999</v>
      </c>
      <c r="E43" s="43"/>
      <c r="F43" s="14">
        <v>477636.24</v>
      </c>
      <c r="G43" s="14"/>
      <c r="H43" s="14">
        <v>4198</v>
      </c>
      <c r="I43" s="14"/>
      <c r="J43" s="14"/>
      <c r="K43" s="13">
        <f t="shared" si="2"/>
        <v>0</v>
      </c>
      <c r="L43" s="13">
        <f t="shared" si="3"/>
        <v>227692.65</v>
      </c>
      <c r="M43" s="14"/>
      <c r="N43" s="14">
        <v>227692.65</v>
      </c>
      <c r="O43" s="14"/>
      <c r="P43" s="14"/>
      <c r="Q43" s="14"/>
      <c r="R43" s="14"/>
      <c r="S43" s="23"/>
    </row>
    <row r="44" spans="1:19" ht="12.5" x14ac:dyDescent="0.25">
      <c r="A44" s="8" t="s">
        <v>23</v>
      </c>
      <c r="B44" s="4">
        <v>224</v>
      </c>
      <c r="C44" s="44">
        <f t="shared" si="0"/>
        <v>90634.75</v>
      </c>
      <c r="D44" s="44">
        <f t="shared" si="1"/>
        <v>0</v>
      </c>
      <c r="E44" s="43">
        <v>63400</v>
      </c>
      <c r="F44" s="14"/>
      <c r="G44" s="14">
        <v>27234.75</v>
      </c>
      <c r="H44" s="14"/>
      <c r="I44" s="14"/>
      <c r="J44" s="14"/>
      <c r="K44" s="13">
        <f t="shared" si="2"/>
        <v>90634.75</v>
      </c>
      <c r="L44" s="13">
        <f t="shared" si="3"/>
        <v>0</v>
      </c>
      <c r="M44" s="14">
        <v>63400</v>
      </c>
      <c r="N44" s="14"/>
      <c r="O44" s="14">
        <v>27234.75</v>
      </c>
      <c r="P44" s="14"/>
      <c r="Q44" s="14"/>
      <c r="R44" s="14"/>
      <c r="S44" s="23"/>
    </row>
    <row r="45" spans="1:19" ht="12.5" x14ac:dyDescent="0.25">
      <c r="A45" s="8" t="s">
        <v>449</v>
      </c>
      <c r="B45" s="4">
        <v>324</v>
      </c>
      <c r="C45" s="44">
        <f t="shared" si="0"/>
        <v>0</v>
      </c>
      <c r="D45" s="44">
        <f t="shared" si="1"/>
        <v>41445.43</v>
      </c>
      <c r="E45" s="43"/>
      <c r="F45" s="14">
        <v>35998.480000000003</v>
      </c>
      <c r="G45" s="14"/>
      <c r="H45" s="14">
        <v>5446.95</v>
      </c>
      <c r="I45" s="14"/>
      <c r="J45" s="14"/>
      <c r="K45" s="13">
        <f t="shared" si="2"/>
        <v>0</v>
      </c>
      <c r="L45" s="13">
        <f t="shared" si="3"/>
        <v>26935</v>
      </c>
      <c r="M45" s="14"/>
      <c r="N45" s="14">
        <v>26935</v>
      </c>
      <c r="O45" s="14"/>
      <c r="P45" s="14"/>
      <c r="Q45" s="14"/>
      <c r="R45" s="14"/>
      <c r="S45" s="23"/>
    </row>
    <row r="46" spans="1:19" ht="12.5" x14ac:dyDescent="0.25">
      <c r="A46" s="8" t="s">
        <v>24</v>
      </c>
      <c r="B46" s="4">
        <v>229</v>
      </c>
      <c r="C46" s="44">
        <f t="shared" si="0"/>
        <v>290500</v>
      </c>
      <c r="D46" s="44">
        <f t="shared" si="1"/>
        <v>0</v>
      </c>
      <c r="E46" s="43">
        <v>290500</v>
      </c>
      <c r="F46" s="14"/>
      <c r="G46" s="14"/>
      <c r="H46" s="14"/>
      <c r="I46" s="14"/>
      <c r="J46" s="14"/>
      <c r="K46" s="13">
        <f t="shared" si="2"/>
        <v>290500</v>
      </c>
      <c r="L46" s="13">
        <f t="shared" si="3"/>
        <v>0</v>
      </c>
      <c r="M46" s="14">
        <v>290500</v>
      </c>
      <c r="N46" s="14"/>
      <c r="O46" s="14"/>
      <c r="P46" s="14"/>
      <c r="Q46" s="14"/>
      <c r="R46" s="14"/>
      <c r="S46" s="23"/>
    </row>
    <row r="47" spans="1:19" ht="12.5" x14ac:dyDescent="0.25">
      <c r="A47" s="8" t="s">
        <v>456</v>
      </c>
      <c r="B47" s="4">
        <v>329</v>
      </c>
      <c r="C47" s="44">
        <f t="shared" si="0"/>
        <v>0</v>
      </c>
      <c r="D47" s="44">
        <f t="shared" si="1"/>
        <v>243582.1</v>
      </c>
      <c r="E47" s="43"/>
      <c r="F47" s="14">
        <v>243582.1</v>
      </c>
      <c r="G47" s="14"/>
      <c r="H47" s="14"/>
      <c r="I47" s="14"/>
      <c r="J47" s="14"/>
      <c r="K47" s="13">
        <f t="shared" si="2"/>
        <v>0</v>
      </c>
      <c r="L47" s="13">
        <f t="shared" si="3"/>
        <v>185487.5</v>
      </c>
      <c r="M47" s="14"/>
      <c r="N47" s="14">
        <v>185487.5</v>
      </c>
      <c r="O47" s="14"/>
      <c r="P47" s="14"/>
      <c r="Q47" s="14"/>
      <c r="R47" s="14"/>
      <c r="S47" s="23"/>
    </row>
    <row r="48" spans="1:19" ht="12.5" x14ac:dyDescent="0.25">
      <c r="A48" s="8" t="s">
        <v>25</v>
      </c>
      <c r="B48" s="4">
        <v>230</v>
      </c>
      <c r="C48" s="44">
        <f t="shared" si="0"/>
        <v>1909700</v>
      </c>
      <c r="D48" s="44">
        <f t="shared" si="1"/>
        <v>0</v>
      </c>
      <c r="E48" s="43">
        <v>1909700</v>
      </c>
      <c r="F48" s="14"/>
      <c r="G48" s="14"/>
      <c r="H48" s="14"/>
      <c r="I48" s="14"/>
      <c r="J48" s="14"/>
      <c r="K48" s="13">
        <f t="shared" si="2"/>
        <v>1909700</v>
      </c>
      <c r="L48" s="13">
        <f t="shared" si="3"/>
        <v>0</v>
      </c>
      <c r="M48" s="14">
        <v>1909700</v>
      </c>
      <c r="N48" s="14"/>
      <c r="O48" s="14"/>
      <c r="P48" s="14"/>
      <c r="Q48" s="14"/>
      <c r="R48" s="14"/>
      <c r="S48" s="23"/>
    </row>
    <row r="49" spans="1:19" ht="12.5" x14ac:dyDescent="0.25">
      <c r="A49" s="8" t="s">
        <v>455</v>
      </c>
      <c r="B49" s="4">
        <v>330</v>
      </c>
      <c r="C49" s="44">
        <f t="shared" si="0"/>
        <v>0</v>
      </c>
      <c r="D49" s="44">
        <f t="shared" si="1"/>
        <v>982851.88</v>
      </c>
      <c r="E49" s="43"/>
      <c r="F49" s="14">
        <v>982851.88</v>
      </c>
      <c r="G49" s="14"/>
      <c r="H49" s="14"/>
      <c r="I49" s="14"/>
      <c r="J49" s="14"/>
      <c r="K49" s="13">
        <f t="shared" si="2"/>
        <v>0</v>
      </c>
      <c r="L49" s="13">
        <f t="shared" si="3"/>
        <v>806881.88</v>
      </c>
      <c r="M49" s="14"/>
      <c r="N49" s="27">
        <v>806881.88</v>
      </c>
      <c r="O49" s="14"/>
      <c r="P49" s="14"/>
      <c r="Q49" s="14"/>
      <c r="R49" s="14"/>
      <c r="S49" s="23"/>
    </row>
    <row r="50" spans="1:19" ht="12.5" x14ac:dyDescent="0.25">
      <c r="A50" s="8" t="s">
        <v>154</v>
      </c>
      <c r="B50" s="4">
        <v>233</v>
      </c>
      <c r="C50" s="44">
        <f t="shared" si="0"/>
        <v>129000</v>
      </c>
      <c r="D50" s="44">
        <f t="shared" si="1"/>
        <v>0</v>
      </c>
      <c r="E50" s="43">
        <v>129000</v>
      </c>
      <c r="F50" s="14"/>
      <c r="G50" s="14"/>
      <c r="H50" s="14"/>
      <c r="I50" s="14"/>
      <c r="J50" s="14"/>
      <c r="K50" s="13">
        <f t="shared" si="2"/>
        <v>129000</v>
      </c>
      <c r="L50" s="13">
        <f t="shared" si="3"/>
        <v>0</v>
      </c>
      <c r="M50" s="14">
        <v>129000</v>
      </c>
      <c r="N50" s="14"/>
      <c r="O50" s="14"/>
      <c r="P50" s="14"/>
      <c r="Q50" s="14"/>
      <c r="R50" s="14"/>
      <c r="S50" s="23"/>
    </row>
    <row r="51" spans="1:19" ht="12.5" x14ac:dyDescent="0.25">
      <c r="A51" s="8" t="s">
        <v>454</v>
      </c>
      <c r="B51" s="4">
        <v>333</v>
      </c>
      <c r="C51" s="44">
        <f t="shared" si="0"/>
        <v>0</v>
      </c>
      <c r="D51" s="44">
        <f t="shared" si="1"/>
        <v>45399.6</v>
      </c>
      <c r="E51" s="43"/>
      <c r="F51" s="14">
        <v>45399.6</v>
      </c>
      <c r="G51" s="14"/>
      <c r="H51" s="14"/>
      <c r="I51" s="14"/>
      <c r="J51" s="14"/>
      <c r="K51" s="13">
        <f t="shared" si="2"/>
        <v>0</v>
      </c>
      <c r="L51" s="13">
        <f t="shared" si="3"/>
        <v>19600</v>
      </c>
      <c r="M51" s="14"/>
      <c r="N51" s="14">
        <v>19600</v>
      </c>
      <c r="O51" s="14"/>
      <c r="P51" s="14"/>
      <c r="Q51" s="14"/>
      <c r="R51" s="14"/>
      <c r="S51" s="23"/>
    </row>
    <row r="52" spans="1:19" ht="12.5" x14ac:dyDescent="0.25">
      <c r="A52" s="8" t="s">
        <v>424</v>
      </c>
      <c r="B52" s="4">
        <v>236</v>
      </c>
      <c r="C52" s="44">
        <f t="shared" si="0"/>
        <v>78800</v>
      </c>
      <c r="D52" s="44">
        <f t="shared" si="1"/>
        <v>0</v>
      </c>
      <c r="E52" s="43">
        <v>78800</v>
      </c>
      <c r="F52" s="14"/>
      <c r="G52" s="14"/>
      <c r="H52" s="14"/>
      <c r="I52" s="14"/>
      <c r="J52" s="14"/>
      <c r="K52" s="13">
        <v>78800</v>
      </c>
      <c r="L52" s="13"/>
      <c r="M52" s="14">
        <v>78800</v>
      </c>
      <c r="N52" s="14"/>
      <c r="O52" s="14"/>
      <c r="P52" s="14"/>
      <c r="Q52" s="14"/>
      <c r="R52" s="14"/>
      <c r="S52" s="23"/>
    </row>
    <row r="53" spans="1:19" ht="12.5" x14ac:dyDescent="0.25">
      <c r="A53" s="8" t="s">
        <v>478</v>
      </c>
      <c r="B53" s="4">
        <v>336</v>
      </c>
      <c r="C53" s="44">
        <f t="shared" si="0"/>
        <v>0</v>
      </c>
      <c r="D53" s="44">
        <f t="shared" si="1"/>
        <v>31519.200000000001</v>
      </c>
      <c r="E53" s="43"/>
      <c r="F53" s="14">
        <v>31519.200000000001</v>
      </c>
      <c r="G53" s="14"/>
      <c r="H53" s="14"/>
      <c r="I53" s="14"/>
      <c r="J53" s="14"/>
      <c r="K53" s="13"/>
      <c r="L53" s="13"/>
      <c r="M53" s="14"/>
      <c r="N53" s="14"/>
      <c r="O53" s="14"/>
      <c r="P53" s="14"/>
      <c r="Q53" s="14"/>
      <c r="R53" s="14"/>
      <c r="S53" s="23"/>
    </row>
    <row r="54" spans="1:19" ht="12.5" x14ac:dyDescent="0.25">
      <c r="A54" s="8" t="s">
        <v>26</v>
      </c>
      <c r="B54" s="4">
        <v>240</v>
      </c>
      <c r="C54" s="44">
        <f t="shared" si="0"/>
        <v>249560</v>
      </c>
      <c r="D54" s="44">
        <f t="shared" si="1"/>
        <v>0</v>
      </c>
      <c r="E54" s="43">
        <v>249560</v>
      </c>
      <c r="G54" s="14"/>
      <c r="H54" s="14"/>
      <c r="I54" s="14"/>
      <c r="J54" s="14"/>
      <c r="K54" s="13">
        <f t="shared" si="2"/>
        <v>249560</v>
      </c>
      <c r="L54" s="13">
        <f t="shared" si="3"/>
        <v>0</v>
      </c>
      <c r="M54" s="14">
        <v>249560</v>
      </c>
      <c r="N54" s="14"/>
      <c r="O54" s="14"/>
      <c r="P54" s="14"/>
      <c r="Q54" s="14"/>
      <c r="R54" s="14"/>
      <c r="S54" s="23"/>
    </row>
    <row r="55" spans="1:19" ht="12.5" x14ac:dyDescent="0.25">
      <c r="A55" s="8" t="s">
        <v>453</v>
      </c>
      <c r="B55" s="4">
        <v>340</v>
      </c>
      <c r="C55" s="44">
        <f t="shared" si="0"/>
        <v>0</v>
      </c>
      <c r="D55" s="44">
        <f t="shared" si="1"/>
        <v>120525.14</v>
      </c>
      <c r="F55" s="14">
        <v>120525.14</v>
      </c>
      <c r="G55" s="14"/>
      <c r="H55" s="14"/>
      <c r="I55" s="14"/>
      <c r="J55" s="14"/>
      <c r="K55" s="13">
        <f t="shared" si="2"/>
        <v>0</v>
      </c>
      <c r="L55" s="13">
        <f t="shared" si="3"/>
        <v>80635.14</v>
      </c>
      <c r="M55" s="14"/>
      <c r="N55" s="14">
        <v>80635.14</v>
      </c>
      <c r="O55" s="14"/>
      <c r="P55" s="14"/>
      <c r="Q55" s="14"/>
      <c r="R55" s="14"/>
      <c r="S55" s="23"/>
    </row>
    <row r="56" spans="1:19" ht="12.5" x14ac:dyDescent="0.25">
      <c r="A56" s="8" t="s">
        <v>27</v>
      </c>
      <c r="B56" s="4">
        <v>241</v>
      </c>
      <c r="C56" s="44">
        <f t="shared" si="0"/>
        <v>15801268.09</v>
      </c>
      <c r="D56" s="44">
        <f t="shared" si="1"/>
        <v>0</v>
      </c>
      <c r="E56" s="43">
        <v>11490130.09</v>
      </c>
      <c r="F56" s="14"/>
      <c r="G56" s="14"/>
      <c r="H56" s="14"/>
      <c r="I56" s="14">
        <v>4311138</v>
      </c>
      <c r="J56" s="14"/>
      <c r="K56" s="13">
        <f t="shared" si="2"/>
        <v>2782992.09</v>
      </c>
      <c r="L56" s="13">
        <f t="shared" si="3"/>
        <v>0</v>
      </c>
      <c r="M56" s="14">
        <v>2782992.09</v>
      </c>
      <c r="N56" s="14"/>
      <c r="O56" s="14"/>
      <c r="P56" s="14"/>
      <c r="Q56" s="14"/>
      <c r="R56" s="14"/>
      <c r="S56" s="23"/>
    </row>
    <row r="57" spans="1:19" ht="12.5" x14ac:dyDescent="0.25">
      <c r="A57" s="8" t="s">
        <v>452</v>
      </c>
      <c r="B57" s="4">
        <v>341</v>
      </c>
      <c r="C57" s="44">
        <f t="shared" si="0"/>
        <v>0</v>
      </c>
      <c r="D57" s="44">
        <f t="shared" si="1"/>
        <v>1543864.59</v>
      </c>
      <c r="E57" s="43"/>
      <c r="F57" s="14">
        <v>1543864.59</v>
      </c>
      <c r="G57" s="14"/>
      <c r="H57" s="14"/>
      <c r="I57" s="14"/>
      <c r="J57" s="14"/>
      <c r="K57" s="13">
        <f t="shared" si="2"/>
        <v>0</v>
      </c>
      <c r="L57" s="13">
        <f t="shared" si="3"/>
        <v>468851.58</v>
      </c>
      <c r="M57" s="14"/>
      <c r="N57" s="14">
        <v>468851.58</v>
      </c>
      <c r="O57" s="14"/>
      <c r="P57" s="14"/>
      <c r="Q57" s="14"/>
      <c r="R57" s="14"/>
      <c r="S57" s="23"/>
    </row>
    <row r="58" spans="1:19" ht="12.5" x14ac:dyDescent="0.25">
      <c r="A58" s="8" t="s">
        <v>469</v>
      </c>
      <c r="B58" s="4">
        <v>251</v>
      </c>
      <c r="C58" s="44">
        <f t="shared" si="0"/>
        <v>2557119.29</v>
      </c>
      <c r="D58" s="44">
        <f t="shared" si="1"/>
        <v>0</v>
      </c>
      <c r="E58" s="43"/>
      <c r="F58" s="14"/>
      <c r="G58" s="14"/>
      <c r="H58" s="14"/>
      <c r="I58" s="14">
        <v>2557119.29</v>
      </c>
      <c r="J58" s="14"/>
      <c r="K58" s="13"/>
      <c r="L58" s="13"/>
      <c r="M58" s="14"/>
      <c r="N58" s="14"/>
      <c r="O58" s="14"/>
      <c r="P58" s="14"/>
      <c r="Q58" s="14"/>
      <c r="R58" s="14"/>
      <c r="S58" s="23"/>
    </row>
    <row r="59" spans="1:19" ht="12.5" x14ac:dyDescent="0.25">
      <c r="A59" s="8" t="s">
        <v>150</v>
      </c>
      <c r="B59" s="4">
        <v>254</v>
      </c>
      <c r="C59" s="44">
        <f t="shared" si="0"/>
        <v>11552030</v>
      </c>
      <c r="D59" s="44">
        <f t="shared" si="1"/>
        <v>0</v>
      </c>
      <c r="E59" s="43">
        <v>11552030</v>
      </c>
      <c r="F59" s="14"/>
      <c r="G59" s="14"/>
      <c r="H59" s="14"/>
      <c r="I59" s="14"/>
      <c r="J59" s="14"/>
      <c r="K59" s="13">
        <f t="shared" si="2"/>
        <v>11552030</v>
      </c>
      <c r="L59" s="13">
        <f t="shared" si="3"/>
        <v>0</v>
      </c>
      <c r="M59" s="14">
        <v>11552030</v>
      </c>
      <c r="N59" s="14"/>
      <c r="O59" s="14"/>
      <c r="P59" s="14"/>
      <c r="Q59" s="14"/>
      <c r="R59" s="14"/>
      <c r="S59" s="23"/>
    </row>
    <row r="60" spans="1:19" ht="12.5" x14ac:dyDescent="0.25">
      <c r="A60" s="8" t="s">
        <v>450</v>
      </c>
      <c r="B60" s="4">
        <v>354</v>
      </c>
      <c r="C60" s="44">
        <f t="shared" si="0"/>
        <v>0</v>
      </c>
      <c r="D60" s="44">
        <f t="shared" si="1"/>
        <v>0</v>
      </c>
      <c r="F60" s="14"/>
      <c r="G60" s="14"/>
      <c r="H60" s="14"/>
      <c r="I60" s="14"/>
      <c r="J60" s="14"/>
      <c r="K60" s="13">
        <f t="shared" si="2"/>
        <v>0</v>
      </c>
      <c r="L60" s="13">
        <f t="shared" si="3"/>
        <v>0</v>
      </c>
      <c r="M60" s="14"/>
      <c r="N60" s="14"/>
      <c r="O60" s="14"/>
      <c r="P60" s="14"/>
      <c r="Q60" s="14"/>
      <c r="R60" s="14"/>
      <c r="S60" s="23"/>
    </row>
    <row r="61" spans="1:19" ht="12.5" x14ac:dyDescent="0.25">
      <c r="A61" s="8" t="s">
        <v>29</v>
      </c>
      <c r="B61" s="4">
        <v>264</v>
      </c>
      <c r="C61" s="44">
        <f t="shared" si="0"/>
        <v>3071469.97</v>
      </c>
      <c r="D61" s="44">
        <f t="shared" si="1"/>
        <v>0</v>
      </c>
      <c r="E61" s="43">
        <v>3071469.97</v>
      </c>
      <c r="F61" s="14"/>
      <c r="G61" s="14"/>
      <c r="H61" s="14"/>
      <c r="I61" s="14"/>
      <c r="J61" s="14"/>
      <c r="K61" s="13">
        <f t="shared" si="2"/>
        <v>2513594.9700000002</v>
      </c>
      <c r="L61" s="13">
        <f t="shared" si="3"/>
        <v>0</v>
      </c>
      <c r="M61" s="14">
        <v>2513594.9700000002</v>
      </c>
      <c r="N61" s="14"/>
      <c r="O61" s="14"/>
      <c r="P61" s="14"/>
      <c r="Q61" s="14"/>
      <c r="R61" s="14"/>
      <c r="S61" s="23"/>
    </row>
    <row r="62" spans="1:19" ht="12.5" x14ac:dyDescent="0.25">
      <c r="A62" s="8" t="s">
        <v>145</v>
      </c>
      <c r="B62" s="4">
        <v>290</v>
      </c>
      <c r="C62" s="44">
        <f t="shared" si="0"/>
        <v>449648.43</v>
      </c>
      <c r="D62" s="44">
        <f t="shared" si="1"/>
        <v>0</v>
      </c>
      <c r="E62" s="43">
        <v>449648.43</v>
      </c>
      <c r="F62" s="14"/>
      <c r="G62" s="14"/>
      <c r="H62" s="14"/>
      <c r="I62" s="14"/>
      <c r="J62" s="14"/>
      <c r="K62" s="13">
        <f t="shared" si="2"/>
        <v>449648.43</v>
      </c>
      <c r="L62" s="13">
        <f t="shared" si="3"/>
        <v>0</v>
      </c>
      <c r="M62" s="14">
        <v>449648.43</v>
      </c>
      <c r="N62" s="14"/>
      <c r="O62" s="14"/>
      <c r="P62" s="14"/>
      <c r="Q62" s="14"/>
      <c r="R62" s="14"/>
      <c r="S62" s="23"/>
    </row>
    <row r="63" spans="1:19" ht="12.5" x14ac:dyDescent="0.25">
      <c r="A63" s="8" t="s">
        <v>31</v>
      </c>
      <c r="B63" s="4">
        <v>401</v>
      </c>
      <c r="C63" s="44">
        <f t="shared" si="0"/>
        <v>0</v>
      </c>
      <c r="D63" s="44">
        <f t="shared" si="1"/>
        <v>422844.73</v>
      </c>
      <c r="E63" s="43"/>
      <c r="F63" s="14">
        <v>396989.73</v>
      </c>
      <c r="G63" s="14"/>
      <c r="H63" s="14">
        <v>25855</v>
      </c>
      <c r="I63" s="14"/>
      <c r="J63" s="14"/>
      <c r="K63" s="13">
        <f t="shared" si="2"/>
        <v>0</v>
      </c>
      <c r="L63" s="13">
        <f t="shared" si="3"/>
        <v>536503.52</v>
      </c>
      <c r="M63" s="14"/>
      <c r="N63" s="14">
        <v>536503.52</v>
      </c>
      <c r="O63" s="14"/>
      <c r="P63" s="14"/>
      <c r="Q63" s="14"/>
      <c r="R63" s="14"/>
      <c r="S63" s="23"/>
    </row>
    <row r="64" spans="1:19" ht="12.5" x14ac:dyDescent="0.25">
      <c r="A64" s="8"/>
      <c r="B64" s="4"/>
      <c r="C64" s="44"/>
      <c r="D64" s="44"/>
      <c r="E64" s="43"/>
      <c r="F64" s="14"/>
      <c r="G64" s="14"/>
      <c r="H64" s="14"/>
      <c r="I64" s="14"/>
      <c r="J64" s="14"/>
      <c r="K64" s="13"/>
      <c r="L64" s="13"/>
      <c r="M64" s="14"/>
      <c r="N64" s="14"/>
      <c r="O64" s="14"/>
      <c r="P64" s="14"/>
      <c r="Q64" s="14"/>
      <c r="R64" s="14"/>
      <c r="S64" s="23"/>
    </row>
    <row r="65" spans="1:19" ht="12.5" x14ac:dyDescent="0.25">
      <c r="A65" s="8"/>
      <c r="B65" s="4"/>
      <c r="C65" s="44"/>
      <c r="D65" s="44"/>
      <c r="E65" s="43"/>
      <c r="F65" s="14"/>
      <c r="G65" s="14"/>
      <c r="H65" s="14"/>
      <c r="I65" s="14"/>
      <c r="J65" s="14"/>
      <c r="K65" s="13"/>
      <c r="L65" s="13"/>
      <c r="M65" s="14"/>
      <c r="N65" s="14"/>
      <c r="O65" s="14"/>
      <c r="P65" s="14"/>
      <c r="Q65" s="14"/>
      <c r="R65" s="14"/>
      <c r="S65" s="23"/>
    </row>
    <row r="66" spans="1:19" s="5" customFormat="1" x14ac:dyDescent="0.3">
      <c r="B66" s="39"/>
      <c r="C66" s="40"/>
      <c r="D66" s="40"/>
      <c r="E66" s="30"/>
      <c r="F66" s="31"/>
      <c r="G66" s="31"/>
      <c r="H66" s="31"/>
      <c r="I66" s="31"/>
      <c r="J66" s="31"/>
      <c r="K66" s="32"/>
      <c r="L66" s="32"/>
      <c r="M66" s="31"/>
      <c r="N66" s="31"/>
      <c r="O66" s="31"/>
      <c r="P66" s="31"/>
      <c r="Q66" s="31"/>
      <c r="R66" s="31"/>
      <c r="S66" s="33"/>
    </row>
    <row r="67" spans="1:19" ht="12.5" x14ac:dyDescent="0.25">
      <c r="A67" s="8"/>
      <c r="B67" s="4"/>
      <c r="C67" s="44"/>
      <c r="D67" s="44"/>
      <c r="E67" s="43"/>
      <c r="F67" s="14"/>
      <c r="G67" s="14"/>
      <c r="H67" s="14"/>
      <c r="I67" s="14"/>
      <c r="J67" s="14"/>
      <c r="K67" s="13"/>
      <c r="L67" s="13"/>
      <c r="M67" s="14"/>
      <c r="N67" s="14"/>
      <c r="O67" s="14"/>
      <c r="P67" s="14"/>
      <c r="Q67" s="14"/>
      <c r="R67" s="14"/>
      <c r="S67" s="23"/>
    </row>
    <row r="68" spans="1:19" ht="12.5" x14ac:dyDescent="0.25">
      <c r="A68" s="8" t="s">
        <v>32</v>
      </c>
      <c r="B68" s="4">
        <v>411</v>
      </c>
      <c r="C68" s="44">
        <f t="shared" si="0"/>
        <v>0</v>
      </c>
      <c r="D68" s="44">
        <f t="shared" si="1"/>
        <v>6776.53</v>
      </c>
      <c r="E68" s="43"/>
      <c r="F68" s="14">
        <v>6776.53</v>
      </c>
      <c r="G68" s="14"/>
      <c r="H68" s="14"/>
      <c r="I68" s="14"/>
      <c r="J68" s="14"/>
      <c r="K68" s="13">
        <f t="shared" si="2"/>
        <v>0</v>
      </c>
      <c r="L68" s="13">
        <f t="shared" si="3"/>
        <v>6776.53</v>
      </c>
      <c r="M68" s="14"/>
      <c r="N68" s="14">
        <v>6776.53</v>
      </c>
      <c r="O68" s="14"/>
      <c r="P68" s="14"/>
      <c r="Q68" s="14"/>
      <c r="R68" s="14"/>
      <c r="S68" s="23"/>
    </row>
    <row r="69" spans="1:19" ht="12.5" x14ac:dyDescent="0.25">
      <c r="A69" s="8" t="s">
        <v>33</v>
      </c>
      <c r="B69" s="4">
        <v>412</v>
      </c>
      <c r="C69" s="44">
        <f t="shared" si="0"/>
        <v>0</v>
      </c>
      <c r="D69" s="44">
        <f t="shared" si="1"/>
        <v>430819.15</v>
      </c>
      <c r="E69" s="43"/>
      <c r="F69" s="14">
        <v>312358.65000000002</v>
      </c>
      <c r="G69" s="14"/>
      <c r="H69" s="14">
        <v>6122.02</v>
      </c>
      <c r="I69" s="14"/>
      <c r="J69" s="14">
        <v>112338.48</v>
      </c>
      <c r="K69" s="13">
        <f t="shared" si="2"/>
        <v>0</v>
      </c>
      <c r="L69" s="13">
        <f t="shared" si="3"/>
        <v>191647.77000000002</v>
      </c>
      <c r="M69" s="14"/>
      <c r="N69" s="14">
        <v>183573.12</v>
      </c>
      <c r="O69" s="14"/>
      <c r="P69" s="14">
        <v>4210.7</v>
      </c>
      <c r="Q69" s="14"/>
      <c r="R69" s="14">
        <v>3863.95</v>
      </c>
      <c r="S69" s="23"/>
    </row>
    <row r="70" spans="1:19" ht="12.5" x14ac:dyDescent="0.25">
      <c r="A70" s="8" t="s">
        <v>34</v>
      </c>
      <c r="B70" s="4">
        <v>413</v>
      </c>
      <c r="C70" s="44">
        <f t="shared" si="0"/>
        <v>0</v>
      </c>
      <c r="D70" s="44">
        <f t="shared" si="1"/>
        <v>121620.12</v>
      </c>
      <c r="E70" s="43"/>
      <c r="F70" s="14">
        <v>97834.83</v>
      </c>
      <c r="G70" s="14"/>
      <c r="H70" s="14">
        <v>23785.29</v>
      </c>
      <c r="I70" s="14"/>
      <c r="J70" s="14"/>
      <c r="K70" s="13">
        <f t="shared" si="2"/>
        <v>0</v>
      </c>
      <c r="L70" s="13">
        <f t="shared" si="3"/>
        <v>143793.45000000001</v>
      </c>
      <c r="M70" s="14"/>
      <c r="N70" s="14">
        <v>120008.16</v>
      </c>
      <c r="O70" s="14"/>
      <c r="P70" s="14">
        <v>23785.29</v>
      </c>
      <c r="Q70" s="14"/>
      <c r="R70" s="14"/>
      <c r="S70" s="23"/>
    </row>
    <row r="71" spans="1:19" ht="12.5" x14ac:dyDescent="0.25">
      <c r="A71" s="8" t="s">
        <v>35</v>
      </c>
      <c r="B71" s="4">
        <v>414</v>
      </c>
      <c r="C71" s="44">
        <f t="shared" si="0"/>
        <v>0</v>
      </c>
      <c r="D71" s="44">
        <f t="shared" si="1"/>
        <v>96101.49</v>
      </c>
      <c r="E71" s="43"/>
      <c r="F71" s="14">
        <v>87514.02</v>
      </c>
      <c r="G71" s="14"/>
      <c r="H71" s="14">
        <v>8587.4699999999993</v>
      </c>
      <c r="I71" s="14"/>
      <c r="J71" s="14"/>
      <c r="K71" s="13">
        <f t="shared" si="2"/>
        <v>0</v>
      </c>
      <c r="L71" s="13">
        <f t="shared" si="3"/>
        <v>13433.329999999998</v>
      </c>
      <c r="M71" s="14"/>
      <c r="N71" s="14">
        <v>4845.8599999999997</v>
      </c>
      <c r="O71" s="14"/>
      <c r="P71" s="14">
        <v>8587.4699999999993</v>
      </c>
      <c r="Q71" s="14"/>
      <c r="R71" s="14"/>
      <c r="S71" s="23"/>
    </row>
    <row r="72" spans="1:19" ht="12.5" x14ac:dyDescent="0.25">
      <c r="A72" s="8" t="s">
        <v>36</v>
      </c>
      <c r="B72" s="4">
        <v>415</v>
      </c>
      <c r="C72" s="44">
        <f t="shared" si="0"/>
        <v>0</v>
      </c>
      <c r="D72" s="44">
        <f t="shared" si="1"/>
        <v>8741.25</v>
      </c>
      <c r="E72" s="43"/>
      <c r="F72" s="14">
        <v>8641.25</v>
      </c>
      <c r="G72" s="14"/>
      <c r="H72" s="14">
        <v>100</v>
      </c>
      <c r="I72" s="14"/>
      <c r="J72" s="14"/>
      <c r="K72" s="13">
        <f t="shared" si="2"/>
        <v>0</v>
      </c>
      <c r="L72" s="13">
        <f t="shared" si="3"/>
        <v>8010</v>
      </c>
      <c r="M72" s="14"/>
      <c r="N72" s="14">
        <v>7910</v>
      </c>
      <c r="O72" s="14"/>
      <c r="P72" s="14">
        <v>100</v>
      </c>
      <c r="Q72" s="14"/>
      <c r="R72" s="14"/>
      <c r="S72" s="23"/>
    </row>
    <row r="73" spans="1:19" ht="12.5" x14ac:dyDescent="0.25">
      <c r="A73" s="8" t="s">
        <v>37</v>
      </c>
      <c r="B73" s="4">
        <v>416</v>
      </c>
      <c r="C73" s="44">
        <f t="shared" si="0"/>
        <v>0</v>
      </c>
      <c r="D73" s="44">
        <f t="shared" si="1"/>
        <v>2628276.0499999998</v>
      </c>
      <c r="E73" s="43"/>
      <c r="F73" s="14">
        <v>1200000</v>
      </c>
      <c r="G73" s="14"/>
      <c r="H73" s="14"/>
      <c r="I73" s="14"/>
      <c r="J73" s="14">
        <v>1428276.05</v>
      </c>
      <c r="K73" s="13">
        <f t="shared" si="2"/>
        <v>0</v>
      </c>
      <c r="L73" s="13">
        <f t="shared" si="3"/>
        <v>66420.23</v>
      </c>
      <c r="M73" s="14"/>
      <c r="N73" s="14"/>
      <c r="O73" s="14"/>
      <c r="P73" s="14"/>
      <c r="Q73" s="14"/>
      <c r="R73" s="14">
        <v>66420.23</v>
      </c>
      <c r="S73" s="23"/>
    </row>
    <row r="74" spans="1:19" ht="12.5" x14ac:dyDescent="0.25">
      <c r="A74" s="8" t="s">
        <v>38</v>
      </c>
      <c r="B74" s="4">
        <v>418</v>
      </c>
      <c r="C74" s="44">
        <f t="shared" si="0"/>
        <v>0</v>
      </c>
      <c r="D74" s="44">
        <f t="shared" si="1"/>
        <v>9592183.8200000003</v>
      </c>
      <c r="E74" s="43"/>
      <c r="F74" s="19">
        <v>949745.8</v>
      </c>
      <c r="G74" s="14"/>
      <c r="H74" s="14"/>
      <c r="I74" s="14"/>
      <c r="J74" s="14">
        <v>8642438.0199999996</v>
      </c>
      <c r="K74" s="13">
        <f t="shared" si="2"/>
        <v>0</v>
      </c>
      <c r="L74" s="13">
        <f t="shared" si="3"/>
        <v>6578140.6499999994</v>
      </c>
      <c r="M74" s="14"/>
      <c r="N74" s="19">
        <v>6279941.3399999999</v>
      </c>
      <c r="O74" s="14"/>
      <c r="P74" s="14"/>
      <c r="Q74" s="14"/>
      <c r="R74" s="14">
        <v>298199.31</v>
      </c>
      <c r="S74" s="23"/>
    </row>
    <row r="75" spans="1:19" ht="12.5" x14ac:dyDescent="0.25">
      <c r="A75" s="8" t="s">
        <v>152</v>
      </c>
      <c r="B75" s="4">
        <v>424</v>
      </c>
      <c r="C75" s="44">
        <f t="shared" si="0"/>
        <v>0</v>
      </c>
      <c r="D75" s="44">
        <f t="shared" si="1"/>
        <v>424820.7</v>
      </c>
      <c r="E75" s="43"/>
      <c r="F75" s="14"/>
      <c r="G75" s="14"/>
      <c r="H75" s="14"/>
      <c r="I75" s="14"/>
      <c r="J75" s="14">
        <v>424820.7</v>
      </c>
      <c r="K75" s="13">
        <f t="shared" si="2"/>
        <v>0</v>
      </c>
      <c r="L75" s="13">
        <f t="shared" si="3"/>
        <v>13823.7</v>
      </c>
      <c r="M75" s="14"/>
      <c r="N75" s="14"/>
      <c r="O75" s="14"/>
      <c r="P75" s="14"/>
      <c r="Q75" s="14"/>
      <c r="R75" s="14">
        <v>13823.7</v>
      </c>
      <c r="S75" s="23"/>
    </row>
    <row r="76" spans="1:19" ht="12.5" x14ac:dyDescent="0.25">
      <c r="A76" s="8" t="s">
        <v>39</v>
      </c>
      <c r="B76" s="4">
        <v>439</v>
      </c>
      <c r="C76" s="44">
        <f t="shared" si="0"/>
        <v>0</v>
      </c>
      <c r="D76" s="44">
        <f t="shared" si="1"/>
        <v>62525.1</v>
      </c>
      <c r="E76" s="43"/>
      <c r="F76" s="14">
        <v>62447.07</v>
      </c>
      <c r="G76" s="14"/>
      <c r="H76" s="14">
        <v>78.03</v>
      </c>
      <c r="I76" s="14"/>
      <c r="J76" s="14"/>
      <c r="K76" s="13">
        <f t="shared" si="2"/>
        <v>0</v>
      </c>
      <c r="L76" s="13">
        <f t="shared" si="3"/>
        <v>23796.720000000001</v>
      </c>
      <c r="M76" s="14"/>
      <c r="N76" s="14">
        <v>23796.720000000001</v>
      </c>
      <c r="O76" s="14"/>
      <c r="P76" s="14"/>
      <c r="Q76" s="14"/>
      <c r="R76" s="14"/>
      <c r="S76" s="23"/>
    </row>
    <row r="77" spans="1:19" ht="12.5" x14ac:dyDescent="0.25">
      <c r="A77" s="8" t="s">
        <v>40</v>
      </c>
      <c r="B77" s="4">
        <v>444</v>
      </c>
      <c r="C77" s="44">
        <f t="shared" si="0"/>
        <v>0</v>
      </c>
      <c r="D77" s="44">
        <f t="shared" si="1"/>
        <v>13787124.15</v>
      </c>
      <c r="E77" s="43"/>
      <c r="F77" s="14">
        <v>13787124.15</v>
      </c>
      <c r="G77" s="14"/>
      <c r="H77" s="14"/>
      <c r="I77" s="14"/>
      <c r="J77" s="14"/>
      <c r="K77" s="13">
        <f t="shared" si="2"/>
        <v>0</v>
      </c>
      <c r="L77" s="13">
        <f t="shared" si="3"/>
        <v>17108660.649999999</v>
      </c>
      <c r="M77" s="14"/>
      <c r="N77" s="14">
        <v>17108660.649999999</v>
      </c>
      <c r="O77" s="14"/>
      <c r="P77" s="14"/>
      <c r="Q77" s="14"/>
      <c r="R77" s="14"/>
      <c r="S77" s="23"/>
    </row>
    <row r="78" spans="1:19" ht="12.5" x14ac:dyDescent="0.25">
      <c r="A78" s="8" t="s">
        <v>41</v>
      </c>
      <c r="B78" s="4">
        <v>451</v>
      </c>
      <c r="C78" s="44">
        <f t="shared" si="0"/>
        <v>0</v>
      </c>
      <c r="D78" s="44">
        <f t="shared" si="1"/>
        <v>30381423.5</v>
      </c>
      <c r="E78" s="43"/>
      <c r="F78" s="14">
        <v>30381423.5</v>
      </c>
      <c r="G78" s="14"/>
      <c r="H78" s="14"/>
      <c r="I78" s="14"/>
      <c r="J78" s="14"/>
      <c r="K78" s="13">
        <f t="shared" si="2"/>
        <v>0</v>
      </c>
      <c r="L78" s="13">
        <f t="shared" si="3"/>
        <v>29484534.760000002</v>
      </c>
      <c r="M78" s="14"/>
      <c r="N78" s="14">
        <v>29484534.760000002</v>
      </c>
      <c r="O78" s="14"/>
      <c r="P78" s="14"/>
      <c r="Q78" s="14"/>
      <c r="R78" s="14"/>
      <c r="S78" s="23"/>
    </row>
    <row r="79" spans="1:19" ht="12.5" x14ac:dyDescent="0.25">
      <c r="A79" s="8" t="s">
        <v>156</v>
      </c>
      <c r="B79" s="4">
        <v>455</v>
      </c>
      <c r="C79" s="44">
        <f t="shared" si="0"/>
        <v>0</v>
      </c>
      <c r="D79" s="44">
        <f t="shared" si="1"/>
        <v>763934.59</v>
      </c>
      <c r="E79" s="43"/>
      <c r="F79" s="14">
        <v>605463</v>
      </c>
      <c r="G79" s="14"/>
      <c r="H79" s="14">
        <v>158471.59</v>
      </c>
      <c r="I79" s="14"/>
      <c r="J79" s="14"/>
      <c r="K79" s="13">
        <f t="shared" ref="K79:K158" si="4">M79+O79+Q79</f>
        <v>0</v>
      </c>
      <c r="L79" s="13">
        <f t="shared" ref="L79:L158" si="5">N79+P79+R79</f>
        <v>500000</v>
      </c>
      <c r="M79" s="14"/>
      <c r="N79" s="14">
        <v>500000</v>
      </c>
      <c r="O79" s="14"/>
      <c r="P79" s="14"/>
      <c r="Q79" s="14"/>
      <c r="R79" s="14"/>
      <c r="S79" s="23"/>
    </row>
    <row r="80" spans="1:19" ht="12.5" x14ac:dyDescent="0.25">
      <c r="A80" s="8" t="s">
        <v>42</v>
      </c>
      <c r="B80" s="4">
        <v>501</v>
      </c>
      <c r="C80" s="44">
        <f t="shared" ref="C80:D149" si="6">E80+G80+I80</f>
        <v>0</v>
      </c>
      <c r="D80" s="44">
        <f t="shared" si="6"/>
        <v>35510513.140000001</v>
      </c>
      <c r="E80" s="43"/>
      <c r="F80" s="14">
        <v>28592755.850000001</v>
      </c>
      <c r="G80" s="14"/>
      <c r="H80" s="14"/>
      <c r="I80" s="14"/>
      <c r="J80" s="14">
        <v>6917757.29</v>
      </c>
      <c r="K80" s="13">
        <f t="shared" si="4"/>
        <v>0</v>
      </c>
      <c r="L80" s="13">
        <f t="shared" si="5"/>
        <v>24334451.82</v>
      </c>
      <c r="M80" s="14"/>
      <c r="N80" s="14">
        <v>24110342.5</v>
      </c>
      <c r="O80" s="14"/>
      <c r="P80" s="14">
        <v>224109.32</v>
      </c>
      <c r="Q80" s="14"/>
      <c r="R80" s="14"/>
      <c r="S80" s="23"/>
    </row>
    <row r="81" spans="1:19" ht="12.5" x14ac:dyDescent="0.25">
      <c r="A81" s="8" t="s">
        <v>43</v>
      </c>
      <c r="B81" s="4">
        <v>582</v>
      </c>
      <c r="C81" s="44">
        <f t="shared" si="6"/>
        <v>0</v>
      </c>
      <c r="D81" s="44">
        <f t="shared" si="6"/>
        <v>756908.5</v>
      </c>
      <c r="E81" s="43"/>
      <c r="F81" s="14">
        <v>756908.5</v>
      </c>
      <c r="G81" s="14"/>
      <c r="H81" s="14"/>
      <c r="I81" s="14"/>
      <c r="J81" s="14"/>
      <c r="K81" s="13">
        <f t="shared" si="4"/>
        <v>0</v>
      </c>
      <c r="L81" s="13">
        <f t="shared" si="5"/>
        <v>706126.7</v>
      </c>
      <c r="M81" s="14"/>
      <c r="N81" s="14">
        <v>706126.7</v>
      </c>
      <c r="O81" s="14"/>
      <c r="P81" s="14"/>
      <c r="Q81" s="14"/>
      <c r="R81" s="14"/>
      <c r="S81" s="23"/>
    </row>
    <row r="82" spans="1:19" ht="12.5" x14ac:dyDescent="0.25">
      <c r="A82" s="8" t="s">
        <v>44</v>
      </c>
      <c r="B82" s="4">
        <v>583</v>
      </c>
      <c r="C82" s="44">
        <f t="shared" si="6"/>
        <v>0</v>
      </c>
      <c r="D82" s="44">
        <f t="shared" si="6"/>
        <v>249900.18</v>
      </c>
      <c r="E82" s="43"/>
      <c r="F82" s="14">
        <v>249900.18</v>
      </c>
      <c r="G82" s="14"/>
      <c r="H82" s="14"/>
      <c r="I82" s="14"/>
      <c r="J82" s="14"/>
      <c r="K82" s="13">
        <f t="shared" si="4"/>
        <v>0</v>
      </c>
      <c r="L82" s="13">
        <f t="shared" si="5"/>
        <v>222214.13</v>
      </c>
      <c r="M82" s="14"/>
      <c r="N82" s="14">
        <v>222214.13</v>
      </c>
      <c r="O82" s="14"/>
      <c r="P82" s="14"/>
      <c r="Q82" s="14"/>
      <c r="R82" s="14"/>
      <c r="S82" s="23"/>
    </row>
    <row r="83" spans="1:19" ht="12.5" x14ac:dyDescent="0.25">
      <c r="A83" s="8" t="s">
        <v>161</v>
      </c>
      <c r="B83" s="4">
        <v>584</v>
      </c>
      <c r="C83" s="44">
        <f t="shared" si="6"/>
        <v>0</v>
      </c>
      <c r="D83" s="44">
        <f t="shared" si="6"/>
        <v>89925</v>
      </c>
      <c r="E83" s="43"/>
      <c r="F83" s="14">
        <v>89925</v>
      </c>
      <c r="G83" s="14"/>
      <c r="H83" s="14"/>
      <c r="I83" s="14"/>
      <c r="J83" s="14"/>
      <c r="K83" s="13">
        <f t="shared" si="4"/>
        <v>0</v>
      </c>
      <c r="L83" s="13">
        <f t="shared" si="5"/>
        <v>78100</v>
      </c>
      <c r="M83" s="14"/>
      <c r="N83" s="14">
        <v>78100</v>
      </c>
      <c r="O83" s="14"/>
      <c r="P83" s="14"/>
      <c r="Q83" s="14"/>
      <c r="R83" s="14"/>
      <c r="S83" s="23"/>
    </row>
    <row r="84" spans="1:19" ht="12.5" x14ac:dyDescent="0.25">
      <c r="A84" s="8" t="s">
        <v>45</v>
      </c>
      <c r="B84" s="4">
        <v>585</v>
      </c>
      <c r="C84" s="44">
        <f t="shared" si="6"/>
        <v>0</v>
      </c>
      <c r="D84" s="44">
        <f t="shared" si="6"/>
        <v>30720</v>
      </c>
      <c r="E84" s="43"/>
      <c r="F84" s="14">
        <v>30720</v>
      </c>
      <c r="G84" s="14"/>
      <c r="H84" s="14"/>
      <c r="I84" s="14"/>
      <c r="J84" s="14"/>
      <c r="K84" s="13">
        <f t="shared" si="4"/>
        <v>0</v>
      </c>
      <c r="L84" s="13">
        <f t="shared" si="5"/>
        <v>16990</v>
      </c>
      <c r="M84" s="14"/>
      <c r="N84" s="14">
        <v>16990</v>
      </c>
      <c r="O84" s="14"/>
      <c r="P84" s="14"/>
      <c r="Q84" s="14"/>
      <c r="R84" s="14"/>
      <c r="S84" s="23"/>
    </row>
    <row r="85" spans="1:19" ht="12.5" x14ac:dyDescent="0.25">
      <c r="A85" s="8" t="s">
        <v>46</v>
      </c>
      <c r="B85" s="4">
        <v>588</v>
      </c>
      <c r="C85" s="44">
        <f t="shared" si="6"/>
        <v>0</v>
      </c>
      <c r="D85" s="44">
        <f t="shared" si="6"/>
        <v>683192.44</v>
      </c>
      <c r="E85" s="43"/>
      <c r="F85" s="14">
        <v>683192.44</v>
      </c>
      <c r="G85" s="14"/>
      <c r="H85" s="14"/>
      <c r="I85" s="14"/>
      <c r="J85" s="14"/>
      <c r="K85" s="13">
        <f t="shared" si="4"/>
        <v>0</v>
      </c>
      <c r="L85" s="13">
        <f t="shared" si="5"/>
        <v>466980.02</v>
      </c>
      <c r="M85" s="14"/>
      <c r="N85" s="14">
        <v>466980.02</v>
      </c>
      <c r="O85" s="14"/>
      <c r="P85" s="14"/>
      <c r="Q85" s="14"/>
      <c r="R85" s="14"/>
      <c r="S85" s="23"/>
    </row>
    <row r="86" spans="1:19" ht="12.5" x14ac:dyDescent="0.25">
      <c r="A86" s="8" t="s">
        <v>143</v>
      </c>
      <c r="B86" s="4">
        <v>589</v>
      </c>
      <c r="C86" s="44">
        <f t="shared" si="6"/>
        <v>0</v>
      </c>
      <c r="D86" s="44">
        <f t="shared" si="6"/>
        <v>680651.49</v>
      </c>
      <c r="E86" s="43"/>
      <c r="F86" s="14"/>
      <c r="G86" s="14"/>
      <c r="H86" s="14">
        <v>680651.49</v>
      </c>
      <c r="I86" s="14"/>
      <c r="J86" s="14"/>
      <c r="K86" s="13">
        <f t="shared" si="4"/>
        <v>0</v>
      </c>
      <c r="L86" s="13">
        <f t="shared" si="5"/>
        <v>589285.49</v>
      </c>
      <c r="M86" s="14"/>
      <c r="N86" s="14"/>
      <c r="O86" s="14"/>
      <c r="P86" s="14">
        <v>589285.49</v>
      </c>
      <c r="Q86" s="14"/>
      <c r="R86" s="14"/>
      <c r="S86" s="23"/>
    </row>
    <row r="87" spans="1:19" ht="12.5" x14ac:dyDescent="0.25">
      <c r="A87" s="8" t="s">
        <v>472</v>
      </c>
      <c r="B87" s="4">
        <v>601</v>
      </c>
      <c r="C87" s="44">
        <f t="shared" si="6"/>
        <v>0</v>
      </c>
      <c r="D87" s="44">
        <f t="shared" si="6"/>
        <v>11800</v>
      </c>
      <c r="E87" s="43"/>
      <c r="F87" s="14">
        <v>11800</v>
      </c>
      <c r="G87" s="14"/>
      <c r="H87" s="14"/>
      <c r="I87" s="14"/>
      <c r="J87" s="14"/>
      <c r="K87" s="13"/>
      <c r="L87" s="13"/>
      <c r="M87" s="14"/>
      <c r="N87" s="14"/>
      <c r="O87" s="14"/>
      <c r="P87" s="14"/>
      <c r="Q87" s="14"/>
      <c r="R87" s="14"/>
      <c r="S87" s="23"/>
    </row>
    <row r="88" spans="1:19" ht="12.5" x14ac:dyDescent="0.25">
      <c r="A88" s="8" t="s">
        <v>47</v>
      </c>
      <c r="B88" s="4">
        <v>603</v>
      </c>
      <c r="C88" s="44">
        <f t="shared" si="6"/>
        <v>0</v>
      </c>
      <c r="D88" s="44">
        <f t="shared" si="6"/>
        <v>0</v>
      </c>
      <c r="E88" s="43"/>
      <c r="F88" s="14"/>
      <c r="G88" s="14"/>
      <c r="H88" s="14"/>
      <c r="I88" s="14"/>
      <c r="J88" s="14"/>
      <c r="K88" s="13">
        <f t="shared" si="4"/>
        <v>0</v>
      </c>
      <c r="L88" s="13">
        <f t="shared" si="5"/>
        <v>0</v>
      </c>
      <c r="M88" s="14"/>
      <c r="N88" s="14"/>
      <c r="O88" s="14"/>
      <c r="P88" s="14"/>
      <c r="Q88" s="14"/>
      <c r="R88" s="14"/>
      <c r="S88" s="23"/>
    </row>
    <row r="89" spans="1:19" ht="12.5" x14ac:dyDescent="0.25">
      <c r="A89" s="8" t="s">
        <v>48</v>
      </c>
      <c r="B89" s="4">
        <v>605</v>
      </c>
      <c r="C89" s="44">
        <f t="shared" si="6"/>
        <v>0</v>
      </c>
      <c r="D89" s="44">
        <f t="shared" si="6"/>
        <v>472180.53</v>
      </c>
      <c r="E89" s="43"/>
      <c r="F89" s="14">
        <v>472180.53</v>
      </c>
      <c r="G89" s="14"/>
      <c r="H89" s="14"/>
      <c r="I89" s="14"/>
      <c r="J89" s="14"/>
      <c r="K89" s="13">
        <f t="shared" si="4"/>
        <v>0</v>
      </c>
      <c r="L89" s="13">
        <f t="shared" si="5"/>
        <v>262324.44</v>
      </c>
      <c r="M89" s="14"/>
      <c r="N89" s="14">
        <v>262324.44</v>
      </c>
      <c r="O89" s="14"/>
      <c r="P89" s="14"/>
      <c r="Q89" s="14"/>
      <c r="R89" s="14"/>
      <c r="S89" s="23"/>
    </row>
    <row r="90" spans="1:19" ht="12.5" x14ac:dyDescent="0.25">
      <c r="A90" s="8" t="s">
        <v>49</v>
      </c>
      <c r="B90" s="4">
        <v>606</v>
      </c>
      <c r="C90" s="44">
        <f t="shared" si="6"/>
        <v>0</v>
      </c>
      <c r="D90" s="44">
        <f t="shared" si="6"/>
        <v>55531</v>
      </c>
      <c r="E90" s="43"/>
      <c r="F90" s="14">
        <v>55531</v>
      </c>
      <c r="G90" s="14"/>
      <c r="H90" s="14"/>
      <c r="I90" s="14"/>
      <c r="J90" s="14"/>
      <c r="K90" s="13">
        <f t="shared" si="4"/>
        <v>0</v>
      </c>
      <c r="L90" s="13">
        <f t="shared" si="5"/>
        <v>26425</v>
      </c>
      <c r="M90" s="14"/>
      <c r="N90" s="14">
        <v>26425</v>
      </c>
      <c r="O90" s="14"/>
      <c r="P90" s="14"/>
      <c r="Q90" s="14"/>
      <c r="R90" s="14"/>
      <c r="S90" s="23"/>
    </row>
    <row r="91" spans="1:19" ht="12.5" x14ac:dyDescent="0.25">
      <c r="A91" s="8" t="s">
        <v>50</v>
      </c>
      <c r="B91" s="4">
        <v>613</v>
      </c>
      <c r="C91" s="44">
        <f t="shared" si="6"/>
        <v>0</v>
      </c>
      <c r="D91" s="44">
        <f t="shared" si="6"/>
        <v>79615</v>
      </c>
      <c r="E91" s="43"/>
      <c r="F91" s="14">
        <v>79615</v>
      </c>
      <c r="G91" s="14"/>
      <c r="H91" s="14"/>
      <c r="I91" s="14"/>
      <c r="J91" s="14"/>
      <c r="K91" s="13">
        <f t="shared" si="4"/>
        <v>0</v>
      </c>
      <c r="L91" s="13">
        <f t="shared" si="5"/>
        <v>82675</v>
      </c>
      <c r="M91" s="14"/>
      <c r="N91" s="14">
        <v>82675</v>
      </c>
      <c r="O91" s="14"/>
      <c r="P91" s="14"/>
      <c r="Q91" s="14"/>
      <c r="R91" s="14"/>
      <c r="S91" s="23"/>
    </row>
    <row r="92" spans="1:19" ht="12.5" x14ac:dyDescent="0.25">
      <c r="A92" s="8" t="s">
        <v>51</v>
      </c>
      <c r="B92" s="4">
        <v>616</v>
      </c>
      <c r="C92" s="44">
        <f t="shared" si="6"/>
        <v>0</v>
      </c>
      <c r="D92" s="44">
        <f t="shared" si="6"/>
        <v>32020</v>
      </c>
      <c r="E92" s="43"/>
      <c r="F92" s="14">
        <v>32020</v>
      </c>
      <c r="G92" s="14"/>
      <c r="H92" s="14"/>
      <c r="I92" s="14"/>
      <c r="J92" s="14"/>
      <c r="K92" s="13">
        <f t="shared" si="4"/>
        <v>0</v>
      </c>
      <c r="L92" s="13">
        <f t="shared" si="5"/>
        <v>27200</v>
      </c>
      <c r="M92" s="14"/>
      <c r="N92" s="14">
        <v>27200</v>
      </c>
      <c r="O92" s="14"/>
      <c r="P92" s="14"/>
      <c r="Q92" s="14"/>
      <c r="R92" s="14"/>
      <c r="S92" s="23"/>
    </row>
    <row r="93" spans="1:19" ht="12.5" x14ac:dyDescent="0.25">
      <c r="A93" s="8" t="s">
        <v>52</v>
      </c>
      <c r="B93" s="4">
        <v>617</v>
      </c>
      <c r="C93" s="44">
        <f t="shared" si="6"/>
        <v>0</v>
      </c>
      <c r="D93" s="44">
        <f t="shared" si="6"/>
        <v>1881.3</v>
      </c>
      <c r="E93" s="43"/>
      <c r="F93" s="14">
        <v>1881.3</v>
      </c>
      <c r="G93" s="14"/>
      <c r="H93" s="14"/>
      <c r="I93" s="14"/>
      <c r="J93" s="14"/>
      <c r="K93" s="13">
        <f t="shared" si="4"/>
        <v>0</v>
      </c>
      <c r="L93" s="13">
        <f t="shared" si="5"/>
        <v>2122</v>
      </c>
      <c r="M93" s="14"/>
      <c r="N93" s="14">
        <v>2122</v>
      </c>
      <c r="O93" s="14"/>
      <c r="P93" s="14"/>
      <c r="Q93" s="14"/>
      <c r="R93" s="14"/>
      <c r="S93" s="23"/>
    </row>
    <row r="94" spans="1:19" ht="12.5" x14ac:dyDescent="0.25">
      <c r="A94" s="8" t="s">
        <v>53</v>
      </c>
      <c r="B94" s="4">
        <v>636</v>
      </c>
      <c r="C94" s="44">
        <f t="shared" si="6"/>
        <v>0</v>
      </c>
      <c r="D94" s="44">
        <f t="shared" si="6"/>
        <v>126020</v>
      </c>
      <c r="E94" s="43"/>
      <c r="F94" s="14">
        <v>126020</v>
      </c>
      <c r="G94" s="14"/>
      <c r="H94" s="14"/>
      <c r="I94" s="14"/>
      <c r="J94" s="14"/>
      <c r="K94" s="13">
        <f t="shared" si="4"/>
        <v>0</v>
      </c>
      <c r="L94" s="13">
        <f t="shared" si="5"/>
        <v>129170</v>
      </c>
      <c r="M94" s="14"/>
      <c r="N94" s="14">
        <v>129170</v>
      </c>
      <c r="O94" s="14"/>
      <c r="P94" s="14"/>
      <c r="Q94" s="14"/>
      <c r="R94" s="14"/>
      <c r="S94" s="23"/>
    </row>
    <row r="95" spans="1:19" ht="12.5" x14ac:dyDescent="0.25">
      <c r="A95" s="8" t="s">
        <v>54</v>
      </c>
      <c r="B95" s="4">
        <v>637</v>
      </c>
      <c r="C95" s="44">
        <f t="shared" si="6"/>
        <v>0</v>
      </c>
      <c r="D95" s="44">
        <f t="shared" si="6"/>
        <v>40669.1</v>
      </c>
      <c r="E95" s="43"/>
      <c r="F95" s="14">
        <v>40669.1</v>
      </c>
      <c r="G95" s="14"/>
      <c r="H95" s="14"/>
      <c r="I95" s="14"/>
      <c r="J95" s="14"/>
      <c r="K95" s="13">
        <f t="shared" si="4"/>
        <v>0</v>
      </c>
      <c r="L95" s="13">
        <f t="shared" si="5"/>
        <v>36134.400000000001</v>
      </c>
      <c r="M95" s="14"/>
      <c r="N95" s="14">
        <v>36134.400000000001</v>
      </c>
      <c r="O95" s="14"/>
      <c r="P95" s="14"/>
      <c r="Q95" s="14"/>
      <c r="R95" s="14"/>
      <c r="S95" s="23"/>
    </row>
    <row r="96" spans="1:19" ht="12.5" x14ac:dyDescent="0.25">
      <c r="A96" s="8" t="s">
        <v>55</v>
      </c>
      <c r="B96" s="4">
        <v>639</v>
      </c>
      <c r="C96" s="44">
        <f t="shared" si="6"/>
        <v>0</v>
      </c>
      <c r="D96" s="44">
        <f t="shared" si="6"/>
        <v>579757</v>
      </c>
      <c r="E96" s="43"/>
      <c r="F96" s="14">
        <v>579757</v>
      </c>
      <c r="G96" s="14"/>
      <c r="H96" s="14"/>
      <c r="I96" s="14"/>
      <c r="J96" s="14"/>
      <c r="K96" s="13">
        <f t="shared" si="4"/>
        <v>0</v>
      </c>
      <c r="L96" s="13">
        <f t="shared" si="5"/>
        <v>630983.9</v>
      </c>
      <c r="M96" s="14"/>
      <c r="N96" s="14">
        <v>630983.9</v>
      </c>
      <c r="O96" s="14"/>
      <c r="P96" s="14"/>
      <c r="Q96" s="14"/>
      <c r="R96" s="14"/>
      <c r="S96" s="23"/>
    </row>
    <row r="97" spans="1:19" ht="12.5" x14ac:dyDescent="0.25">
      <c r="A97" s="8" t="s">
        <v>56</v>
      </c>
      <c r="B97" s="4">
        <v>642</v>
      </c>
      <c r="C97" s="44">
        <f t="shared" si="6"/>
        <v>0</v>
      </c>
      <c r="D97" s="44">
        <f t="shared" si="6"/>
        <v>135100</v>
      </c>
      <c r="E97" s="43"/>
      <c r="F97" s="14">
        <v>135100</v>
      </c>
      <c r="G97" s="14"/>
      <c r="H97" s="14"/>
      <c r="I97" s="14"/>
      <c r="J97" s="14"/>
      <c r="K97" s="13">
        <f t="shared" si="4"/>
        <v>0</v>
      </c>
      <c r="L97" s="13">
        <f t="shared" si="5"/>
        <v>69947.199999999997</v>
      </c>
      <c r="M97" s="14"/>
      <c r="N97" s="14">
        <v>69947.199999999997</v>
      </c>
      <c r="O97" s="14"/>
      <c r="P97" s="14"/>
      <c r="Q97" s="14"/>
      <c r="R97" s="14"/>
      <c r="S97" s="23"/>
    </row>
    <row r="98" spans="1:19" ht="12.5" x14ac:dyDescent="0.25">
      <c r="A98" s="8" t="s">
        <v>57</v>
      </c>
      <c r="B98" s="4">
        <v>664</v>
      </c>
      <c r="C98" s="44">
        <f t="shared" si="6"/>
        <v>0</v>
      </c>
      <c r="D98" s="44">
        <f t="shared" si="6"/>
        <v>33699.089999999997</v>
      </c>
      <c r="E98" s="43"/>
      <c r="F98" s="14">
        <v>32939.5</v>
      </c>
      <c r="G98" s="14"/>
      <c r="H98" s="14">
        <v>759.59</v>
      </c>
      <c r="I98" s="14"/>
      <c r="J98" s="14"/>
      <c r="K98" s="13">
        <f t="shared" si="4"/>
        <v>0</v>
      </c>
      <c r="L98" s="13">
        <f t="shared" si="5"/>
        <v>107941.58</v>
      </c>
      <c r="M98" s="14"/>
      <c r="N98" s="14">
        <v>105867.73</v>
      </c>
      <c r="O98" s="14"/>
      <c r="P98" s="14">
        <v>2073.85</v>
      </c>
      <c r="Q98" s="14"/>
      <c r="R98" s="14"/>
      <c r="S98" s="23"/>
    </row>
    <row r="99" spans="1:19" ht="12.5" x14ac:dyDescent="0.25">
      <c r="A99" s="8" t="s">
        <v>58</v>
      </c>
      <c r="B99" s="4">
        <v>665</v>
      </c>
      <c r="C99" s="44">
        <f t="shared" si="6"/>
        <v>0</v>
      </c>
      <c r="D99" s="44">
        <f t="shared" si="6"/>
        <v>50948117</v>
      </c>
      <c r="E99" s="43"/>
      <c r="F99" s="14">
        <v>50948117</v>
      </c>
      <c r="G99" s="14"/>
      <c r="H99" s="14"/>
      <c r="I99" s="14"/>
      <c r="J99" s="14"/>
      <c r="K99" s="13">
        <f t="shared" si="4"/>
        <v>0</v>
      </c>
      <c r="L99" s="13">
        <f t="shared" si="5"/>
        <v>47101164</v>
      </c>
      <c r="M99" s="14"/>
      <c r="N99" s="14">
        <v>47101164</v>
      </c>
      <c r="O99" s="14"/>
      <c r="P99" s="14"/>
      <c r="Q99" s="14"/>
      <c r="R99" s="14"/>
      <c r="S99" s="23"/>
    </row>
    <row r="100" spans="1:19" ht="12.5" x14ac:dyDescent="0.25">
      <c r="A100" s="8" t="s">
        <v>266</v>
      </c>
      <c r="B100" s="4">
        <v>671</v>
      </c>
      <c r="C100" s="44">
        <f t="shared" si="6"/>
        <v>0</v>
      </c>
      <c r="D100" s="44">
        <f t="shared" si="6"/>
        <v>2229523</v>
      </c>
      <c r="E100" s="43"/>
      <c r="F100" s="14">
        <v>2229523</v>
      </c>
      <c r="G100" s="14"/>
      <c r="H100" s="14"/>
      <c r="I100" s="14"/>
      <c r="J100" s="14"/>
      <c r="K100" s="13"/>
      <c r="L100" s="13"/>
      <c r="M100" s="14"/>
      <c r="N100" s="14"/>
      <c r="O100" s="14"/>
      <c r="P100" s="14"/>
      <c r="Q100" s="14"/>
      <c r="R100" s="14"/>
      <c r="S100" s="23"/>
    </row>
    <row r="101" spans="1:19" ht="12.5" x14ac:dyDescent="0.25">
      <c r="A101" s="8" t="s">
        <v>59</v>
      </c>
      <c r="B101" s="4">
        <v>678</v>
      </c>
      <c r="C101" s="44">
        <f t="shared" si="6"/>
        <v>0</v>
      </c>
      <c r="D101" s="44">
        <f t="shared" si="6"/>
        <v>638500.96</v>
      </c>
      <c r="E101" s="43"/>
      <c r="F101" s="14">
        <f>1074560.96-436060</f>
        <v>638500.96</v>
      </c>
      <c r="G101" s="14"/>
      <c r="H101" s="14"/>
      <c r="I101" s="14"/>
      <c r="J101" s="14"/>
      <c r="K101" s="13">
        <f t="shared" si="4"/>
        <v>0</v>
      </c>
      <c r="L101" s="13">
        <f t="shared" si="5"/>
        <v>311816.71000000002</v>
      </c>
      <c r="M101" s="14"/>
      <c r="N101" s="14">
        <v>311816.71000000002</v>
      </c>
      <c r="O101" s="14"/>
      <c r="P101" s="14"/>
      <c r="Q101" s="14"/>
      <c r="R101" s="14"/>
      <c r="S101" s="23"/>
    </row>
    <row r="102" spans="1:19" ht="12.5" x14ac:dyDescent="0.25">
      <c r="A102" s="8" t="s">
        <v>480</v>
      </c>
      <c r="B102" s="4">
        <v>682</v>
      </c>
      <c r="C102" s="44">
        <f t="shared" si="6"/>
        <v>0</v>
      </c>
      <c r="D102" s="44">
        <f t="shared" si="6"/>
        <v>436060</v>
      </c>
      <c r="E102" s="43"/>
      <c r="F102" s="14">
        <v>436060</v>
      </c>
      <c r="G102" s="14"/>
      <c r="H102" s="14"/>
      <c r="I102" s="14"/>
      <c r="J102" s="14"/>
      <c r="K102" s="13"/>
      <c r="L102" s="13"/>
      <c r="M102" s="14"/>
      <c r="N102" s="14"/>
      <c r="O102" s="14"/>
      <c r="P102" s="14"/>
      <c r="Q102" s="14"/>
      <c r="R102" s="14"/>
      <c r="S102" s="23"/>
    </row>
    <row r="103" spans="1:19" ht="12.5" x14ac:dyDescent="0.25">
      <c r="A103" s="8" t="s">
        <v>162</v>
      </c>
      <c r="B103" s="4">
        <v>684</v>
      </c>
      <c r="C103" s="44">
        <f t="shared" si="6"/>
        <v>0</v>
      </c>
      <c r="D103" s="44">
        <f t="shared" si="6"/>
        <v>0</v>
      </c>
      <c r="E103" s="43"/>
      <c r="F103" s="14"/>
      <c r="G103" s="14"/>
      <c r="H103" s="14"/>
      <c r="I103" s="14"/>
      <c r="J103" s="14"/>
      <c r="K103" s="13">
        <f t="shared" si="4"/>
        <v>0</v>
      </c>
      <c r="L103" s="13">
        <f t="shared" si="5"/>
        <v>30233.16</v>
      </c>
      <c r="M103" s="14"/>
      <c r="N103" s="14">
        <v>30233.16</v>
      </c>
      <c r="O103" s="14"/>
      <c r="P103" s="14"/>
      <c r="Q103" s="14"/>
      <c r="R103" s="14"/>
      <c r="S103" s="23"/>
    </row>
    <row r="104" spans="1:19" ht="12.5" x14ac:dyDescent="0.25">
      <c r="A104" s="8" t="s">
        <v>60</v>
      </c>
      <c r="B104" s="4">
        <v>701</v>
      </c>
      <c r="C104" s="44">
        <f t="shared" si="6"/>
        <v>15351181.779999999</v>
      </c>
      <c r="D104" s="44">
        <f t="shared" si="6"/>
        <v>0</v>
      </c>
      <c r="E104" s="43">
        <v>15351181.779999999</v>
      </c>
      <c r="F104" s="14"/>
      <c r="G104" s="14"/>
      <c r="H104" s="14"/>
      <c r="I104" s="14"/>
      <c r="J104" s="14"/>
      <c r="K104" s="13">
        <f t="shared" si="4"/>
        <v>12645765.5</v>
      </c>
      <c r="L104" s="13">
        <f t="shared" si="5"/>
        <v>0</v>
      </c>
      <c r="M104" s="14">
        <v>12645765.5</v>
      </c>
      <c r="N104" s="14"/>
      <c r="O104" s="14"/>
      <c r="P104" s="14"/>
      <c r="Q104" s="14"/>
      <c r="R104" s="14"/>
      <c r="S104" s="23"/>
    </row>
    <row r="105" spans="1:19" ht="12.5" x14ac:dyDescent="0.25">
      <c r="A105" s="8" t="s">
        <v>431</v>
      </c>
      <c r="B105" s="4">
        <v>705</v>
      </c>
      <c r="C105" s="44">
        <f t="shared" si="6"/>
        <v>62635</v>
      </c>
      <c r="D105" s="44">
        <f t="shared" si="6"/>
        <v>0</v>
      </c>
      <c r="E105" s="43">
        <v>62635</v>
      </c>
      <c r="F105" s="14"/>
      <c r="G105" s="14"/>
      <c r="H105" s="14"/>
      <c r="I105" s="14"/>
      <c r="J105" s="14"/>
      <c r="K105" s="13">
        <f t="shared" si="4"/>
        <v>43450</v>
      </c>
      <c r="L105" s="13">
        <f t="shared" si="5"/>
        <v>0</v>
      </c>
      <c r="M105" s="14">
        <v>43450</v>
      </c>
      <c r="N105" s="14"/>
      <c r="O105" s="14"/>
      <c r="P105" s="14"/>
      <c r="Q105" s="14"/>
      <c r="R105" s="14"/>
      <c r="S105" s="23"/>
    </row>
    <row r="106" spans="1:19" ht="12.5" x14ac:dyDescent="0.25">
      <c r="A106" s="8" t="s">
        <v>473</v>
      </c>
      <c r="B106" s="4">
        <v>706</v>
      </c>
      <c r="C106" s="44">
        <f t="shared" si="6"/>
        <v>70960.399999999994</v>
      </c>
      <c r="D106" s="44">
        <f t="shared" si="6"/>
        <v>0</v>
      </c>
      <c r="E106" s="43">
        <v>70960.399999999994</v>
      </c>
      <c r="F106" s="14"/>
      <c r="G106" s="14"/>
      <c r="H106" s="14"/>
      <c r="I106" s="14"/>
      <c r="J106" s="14"/>
      <c r="K106" s="13"/>
      <c r="L106" s="13"/>
      <c r="M106" s="14"/>
      <c r="N106" s="14"/>
      <c r="O106" s="14"/>
      <c r="P106" s="14"/>
      <c r="Q106" s="14"/>
      <c r="R106" s="14"/>
      <c r="S106" s="23"/>
    </row>
    <row r="107" spans="1:19" ht="12.5" x14ac:dyDescent="0.25">
      <c r="A107" s="8" t="s">
        <v>61</v>
      </c>
      <c r="B107" s="4">
        <v>711</v>
      </c>
      <c r="C107" s="44">
        <f t="shared" si="6"/>
        <v>2022000</v>
      </c>
      <c r="D107" s="44">
        <f t="shared" si="6"/>
        <v>0</v>
      </c>
      <c r="E107" s="60">
        <v>2022000</v>
      </c>
      <c r="F107" s="14"/>
      <c r="G107" s="14"/>
      <c r="H107" s="14"/>
      <c r="I107" s="14"/>
      <c r="J107" s="14"/>
      <c r="K107" s="13">
        <f t="shared" si="4"/>
        <v>1606000</v>
      </c>
      <c r="L107" s="13">
        <f t="shared" si="5"/>
        <v>0</v>
      </c>
      <c r="M107" s="14">
        <v>1606000</v>
      </c>
      <c r="N107" s="14"/>
      <c r="O107" s="14"/>
      <c r="P107" s="14"/>
      <c r="Q107" s="14"/>
      <c r="R107" s="14"/>
      <c r="S107" s="23"/>
    </row>
    <row r="108" spans="1:19" ht="12.5" x14ac:dyDescent="0.25">
      <c r="A108" s="8" t="s">
        <v>62</v>
      </c>
      <c r="B108" s="4">
        <v>712</v>
      </c>
      <c r="C108" s="44">
        <f t="shared" si="6"/>
        <v>0</v>
      </c>
      <c r="D108" s="44">
        <f t="shared" si="6"/>
        <v>0</v>
      </c>
      <c r="E108" s="43"/>
      <c r="F108" s="14"/>
      <c r="G108" s="14"/>
      <c r="H108" s="14"/>
      <c r="I108" s="14"/>
      <c r="J108" s="14"/>
      <c r="K108" s="13">
        <f t="shared" si="4"/>
        <v>225000</v>
      </c>
      <c r="L108" s="13">
        <f t="shared" si="5"/>
        <v>0</v>
      </c>
      <c r="M108" s="14">
        <v>225000</v>
      </c>
      <c r="N108" s="14"/>
      <c r="O108" s="14"/>
      <c r="P108" s="14"/>
      <c r="Q108" s="14"/>
      <c r="R108" s="14"/>
      <c r="S108" s="23"/>
    </row>
    <row r="109" spans="1:19" ht="12.5" x14ac:dyDescent="0.25">
      <c r="A109" s="8" t="s">
        <v>63</v>
      </c>
      <c r="B109" s="4">
        <v>713</v>
      </c>
      <c r="C109" s="44">
        <f t="shared" si="6"/>
        <v>1228200</v>
      </c>
      <c r="D109" s="44">
        <f t="shared" si="6"/>
        <v>0</v>
      </c>
      <c r="E109" s="43">
        <v>1228200</v>
      </c>
      <c r="F109" s="14"/>
      <c r="G109" s="14"/>
      <c r="H109" s="14"/>
      <c r="I109" s="14"/>
      <c r="J109" s="14"/>
      <c r="K109" s="13">
        <f t="shared" si="4"/>
        <v>1252125</v>
      </c>
      <c r="L109" s="13">
        <f t="shared" si="5"/>
        <v>0</v>
      </c>
      <c r="M109" s="14">
        <v>1252125</v>
      </c>
      <c r="N109" s="14"/>
      <c r="O109" s="14"/>
      <c r="P109" s="14"/>
      <c r="Q109" s="14"/>
      <c r="R109" s="14"/>
      <c r="S109" s="23"/>
    </row>
    <row r="110" spans="1:19" ht="12.5" x14ac:dyDescent="0.25">
      <c r="A110" s="8" t="s">
        <v>64</v>
      </c>
      <c r="B110" s="4">
        <v>714</v>
      </c>
      <c r="C110" s="44">
        <f t="shared" si="6"/>
        <v>1165200</v>
      </c>
      <c r="D110" s="44">
        <f t="shared" si="6"/>
        <v>0</v>
      </c>
      <c r="E110" s="43">
        <v>1165200</v>
      </c>
      <c r="F110" s="14"/>
      <c r="G110" s="14"/>
      <c r="H110" s="14"/>
      <c r="I110" s="14"/>
      <c r="J110" s="14"/>
      <c r="K110" s="13">
        <f t="shared" si="4"/>
        <v>1156350</v>
      </c>
      <c r="L110" s="13">
        <f t="shared" si="5"/>
        <v>0</v>
      </c>
      <c r="M110" s="14">
        <v>1156350</v>
      </c>
      <c r="N110" s="14"/>
      <c r="O110" s="14"/>
      <c r="P110" s="14"/>
      <c r="Q110" s="14"/>
      <c r="R110" s="14"/>
      <c r="S110" s="23"/>
    </row>
    <row r="111" spans="1:19" ht="12.5" x14ac:dyDescent="0.25">
      <c r="A111" s="8" t="s">
        <v>65</v>
      </c>
      <c r="B111" s="4">
        <v>715</v>
      </c>
      <c r="C111" s="44">
        <f t="shared" si="6"/>
        <v>414878</v>
      </c>
      <c r="D111" s="44">
        <f t="shared" si="6"/>
        <v>0</v>
      </c>
      <c r="E111" s="43">
        <v>414878</v>
      </c>
      <c r="F111" s="14"/>
      <c r="G111" s="14"/>
      <c r="H111" s="14"/>
      <c r="I111" s="14"/>
      <c r="J111" s="14"/>
      <c r="K111" s="13">
        <f t="shared" si="4"/>
        <v>380000</v>
      </c>
      <c r="L111" s="13">
        <f t="shared" si="5"/>
        <v>0</v>
      </c>
      <c r="M111" s="14">
        <v>380000</v>
      </c>
      <c r="N111" s="14"/>
      <c r="O111" s="14"/>
      <c r="P111" s="14"/>
      <c r="Q111" s="14"/>
      <c r="R111" s="14"/>
      <c r="S111" s="23"/>
    </row>
    <row r="112" spans="1:19" ht="12.5" x14ac:dyDescent="0.25">
      <c r="A112" s="8" t="s">
        <v>66</v>
      </c>
      <c r="B112" s="4">
        <v>716</v>
      </c>
      <c r="C112" s="44">
        <f t="shared" si="6"/>
        <v>192906</v>
      </c>
      <c r="D112" s="44">
        <f t="shared" si="6"/>
        <v>0</v>
      </c>
      <c r="E112" s="43">
        <v>192906</v>
      </c>
      <c r="F112" s="14"/>
      <c r="G112" s="14"/>
      <c r="H112" s="14"/>
      <c r="I112" s="14"/>
      <c r="J112" s="14"/>
      <c r="K112" s="13">
        <f t="shared" si="4"/>
        <v>161700</v>
      </c>
      <c r="L112" s="13">
        <f t="shared" si="5"/>
        <v>0</v>
      </c>
      <c r="M112" s="14">
        <v>161700</v>
      </c>
      <c r="N112" s="14"/>
      <c r="O112" s="14"/>
      <c r="P112" s="14"/>
      <c r="Q112" s="14"/>
      <c r="R112" s="14"/>
      <c r="S112" s="23"/>
    </row>
    <row r="113" spans="1:19" ht="12.5" x14ac:dyDescent="0.25">
      <c r="A113" s="8" t="s">
        <v>67</v>
      </c>
      <c r="B113" s="4">
        <v>717</v>
      </c>
      <c r="C113" s="44">
        <f t="shared" si="6"/>
        <v>165000</v>
      </c>
      <c r="D113" s="44">
        <f t="shared" si="6"/>
        <v>0</v>
      </c>
      <c r="E113" s="43">
        <v>165000</v>
      </c>
      <c r="F113" s="14"/>
      <c r="G113" s="14"/>
      <c r="H113" s="14"/>
      <c r="I113" s="14"/>
      <c r="J113" s="14"/>
      <c r="K113" s="13">
        <f t="shared" si="4"/>
        <v>180000</v>
      </c>
      <c r="L113" s="13">
        <f t="shared" si="5"/>
        <v>0</v>
      </c>
      <c r="M113" s="14">
        <v>180000</v>
      </c>
      <c r="N113" s="14"/>
      <c r="O113" s="14"/>
      <c r="P113" s="14"/>
      <c r="Q113" s="14"/>
      <c r="R113" s="14"/>
      <c r="S113" s="23"/>
    </row>
    <row r="114" spans="1:19" ht="12.5" x14ac:dyDescent="0.25">
      <c r="A114" s="8" t="s">
        <v>68</v>
      </c>
      <c r="B114" s="4">
        <v>720</v>
      </c>
      <c r="C114" s="44">
        <f t="shared" si="6"/>
        <v>30400</v>
      </c>
      <c r="D114" s="44">
        <f t="shared" si="6"/>
        <v>0</v>
      </c>
      <c r="E114" s="43">
        <v>30400</v>
      </c>
      <c r="F114" s="14"/>
      <c r="G114" s="14"/>
      <c r="H114" s="14"/>
      <c r="I114" s="14"/>
      <c r="J114" s="14"/>
      <c r="K114" s="13">
        <f t="shared" si="4"/>
        <v>31700</v>
      </c>
      <c r="L114" s="13">
        <f t="shared" si="5"/>
        <v>0</v>
      </c>
      <c r="M114" s="14">
        <v>31700</v>
      </c>
      <c r="N114" s="14"/>
      <c r="O114" s="14"/>
      <c r="P114" s="14"/>
      <c r="Q114" s="14"/>
      <c r="R114" s="14"/>
      <c r="S114" s="23"/>
    </row>
    <row r="115" spans="1:19" ht="12.5" x14ac:dyDescent="0.25">
      <c r="A115" s="8" t="s">
        <v>163</v>
      </c>
      <c r="B115" s="4">
        <v>721</v>
      </c>
      <c r="C115" s="44">
        <f t="shared" si="6"/>
        <v>73436.25</v>
      </c>
      <c r="D115" s="44">
        <f t="shared" si="6"/>
        <v>0</v>
      </c>
      <c r="E115" s="43">
        <v>73436.25</v>
      </c>
      <c r="F115" s="14"/>
      <c r="G115" s="14"/>
      <c r="H115" s="14"/>
      <c r="I115" s="14"/>
      <c r="J115" s="14"/>
      <c r="K115" s="13">
        <f t="shared" si="4"/>
        <v>70205.75</v>
      </c>
      <c r="L115" s="13">
        <f t="shared" si="5"/>
        <v>0</v>
      </c>
      <c r="M115" s="14">
        <v>70205.75</v>
      </c>
      <c r="N115" s="14"/>
      <c r="O115" s="14"/>
      <c r="P115" s="14"/>
      <c r="Q115" s="14"/>
      <c r="R115" s="14"/>
      <c r="S115" s="23"/>
    </row>
    <row r="116" spans="1:19" ht="12.5" x14ac:dyDescent="0.25">
      <c r="A116" s="8" t="s">
        <v>69</v>
      </c>
      <c r="B116" s="4">
        <v>722</v>
      </c>
      <c r="C116" s="44">
        <f t="shared" si="6"/>
        <v>54000</v>
      </c>
      <c r="D116" s="44">
        <f t="shared" si="6"/>
        <v>0</v>
      </c>
      <c r="E116" s="43">
        <v>54000</v>
      </c>
      <c r="F116" s="14"/>
      <c r="G116" s="14"/>
      <c r="H116" s="14"/>
      <c r="I116" s="14"/>
      <c r="J116" s="14"/>
      <c r="K116" s="13">
        <f t="shared" si="4"/>
        <v>85507.8</v>
      </c>
      <c r="L116" s="13">
        <f t="shared" si="5"/>
        <v>0</v>
      </c>
      <c r="M116" s="14">
        <v>85507.8</v>
      </c>
      <c r="N116" s="14"/>
      <c r="O116" s="14"/>
      <c r="P116" s="14"/>
      <c r="Q116" s="14"/>
      <c r="R116" s="14"/>
      <c r="S116" s="23"/>
    </row>
    <row r="117" spans="1:19" ht="12.5" x14ac:dyDescent="0.25">
      <c r="A117" s="8" t="s">
        <v>70</v>
      </c>
      <c r="B117" s="4">
        <v>724</v>
      </c>
      <c r="C117" s="44">
        <f t="shared" si="6"/>
        <v>422916.67</v>
      </c>
      <c r="D117" s="44">
        <f t="shared" si="6"/>
        <v>0</v>
      </c>
      <c r="E117" s="43">
        <v>422916.67</v>
      </c>
      <c r="F117" s="14"/>
      <c r="G117" s="14"/>
      <c r="H117" s="14"/>
      <c r="I117" s="14"/>
      <c r="J117" s="14"/>
      <c r="K117" s="13">
        <f t="shared" si="4"/>
        <v>377500</v>
      </c>
      <c r="L117" s="13">
        <f t="shared" si="5"/>
        <v>0</v>
      </c>
      <c r="M117" s="14">
        <v>377500</v>
      </c>
      <c r="N117" s="14"/>
      <c r="O117" s="14"/>
      <c r="P117" s="14"/>
      <c r="Q117" s="14"/>
      <c r="R117" s="14"/>
      <c r="S117" s="23"/>
    </row>
    <row r="118" spans="1:19" ht="12.5" x14ac:dyDescent="0.25">
      <c r="A118" s="8" t="s">
        <v>71</v>
      </c>
      <c r="B118" s="4">
        <v>725</v>
      </c>
      <c r="C118" s="44">
        <f t="shared" si="6"/>
        <v>1281142.45</v>
      </c>
      <c r="D118" s="44">
        <f t="shared" si="6"/>
        <v>0</v>
      </c>
      <c r="E118" s="43">
        <v>1281142.45</v>
      </c>
      <c r="F118" s="14"/>
      <c r="G118" s="14"/>
      <c r="H118" s="14"/>
      <c r="I118" s="14"/>
      <c r="J118" s="14"/>
      <c r="K118" s="13">
        <f t="shared" si="4"/>
        <v>1047784.5</v>
      </c>
      <c r="L118" s="13">
        <f t="shared" si="5"/>
        <v>0</v>
      </c>
      <c r="M118" s="14">
        <v>1047784.5</v>
      </c>
      <c r="N118" s="14"/>
      <c r="O118" s="14"/>
      <c r="P118" s="14"/>
      <c r="Q118" s="14"/>
      <c r="R118" s="14"/>
      <c r="S118" s="23"/>
    </row>
    <row r="119" spans="1:19" ht="12.5" x14ac:dyDescent="0.25">
      <c r="A119" s="8" t="s">
        <v>72</v>
      </c>
      <c r="B119" s="4">
        <v>731</v>
      </c>
      <c r="C119" s="44">
        <f t="shared" si="6"/>
        <v>1846496.76</v>
      </c>
      <c r="D119" s="44">
        <f t="shared" si="6"/>
        <v>0</v>
      </c>
      <c r="E119" s="43">
        <v>1846496.76</v>
      </c>
      <c r="F119" s="14"/>
      <c r="G119" s="14"/>
      <c r="H119" s="14"/>
      <c r="I119" s="14"/>
      <c r="J119" s="14"/>
      <c r="K119" s="13">
        <f t="shared" si="4"/>
        <v>1501634.25</v>
      </c>
      <c r="L119" s="13">
        <f t="shared" si="5"/>
        <v>0</v>
      </c>
      <c r="M119" s="14">
        <v>1501634.25</v>
      </c>
      <c r="N119" s="14"/>
      <c r="O119" s="14"/>
      <c r="P119" s="14"/>
      <c r="Q119" s="14"/>
      <c r="R119" s="14"/>
      <c r="S119" s="23"/>
    </row>
    <row r="120" spans="1:19" ht="12.5" x14ac:dyDescent="0.25">
      <c r="A120" s="8" t="s">
        <v>73</v>
      </c>
      <c r="B120" s="4">
        <v>732</v>
      </c>
      <c r="C120" s="44">
        <f t="shared" si="6"/>
        <v>307913.28000000003</v>
      </c>
      <c r="D120" s="44">
        <f t="shared" si="6"/>
        <v>0</v>
      </c>
      <c r="E120" s="43">
        <v>307913.28000000003</v>
      </c>
      <c r="F120" s="14"/>
      <c r="G120" s="14"/>
      <c r="H120" s="14"/>
      <c r="I120" s="14"/>
      <c r="J120" s="14"/>
      <c r="K120" s="13">
        <f t="shared" si="4"/>
        <v>241300.29</v>
      </c>
      <c r="L120" s="13">
        <f t="shared" si="5"/>
        <v>0</v>
      </c>
      <c r="M120" s="14">
        <v>241300.29</v>
      </c>
      <c r="N120" s="14"/>
      <c r="O120" s="14"/>
      <c r="P120" s="14"/>
      <c r="Q120" s="14"/>
      <c r="R120" s="14"/>
      <c r="S120" s="23"/>
    </row>
    <row r="121" spans="1:19" ht="12.5" x14ac:dyDescent="0.25">
      <c r="A121" s="8" t="s">
        <v>74</v>
      </c>
      <c r="B121" s="4">
        <v>733</v>
      </c>
      <c r="C121" s="44">
        <f t="shared" si="6"/>
        <v>191068.75</v>
      </c>
      <c r="D121" s="44">
        <f t="shared" si="6"/>
        <v>0</v>
      </c>
      <c r="E121" s="43">
        <v>191068.75</v>
      </c>
      <c r="F121" s="14"/>
      <c r="G121" s="14"/>
      <c r="H121" s="14"/>
      <c r="I121" s="14"/>
      <c r="J121" s="14"/>
      <c r="K121" s="13">
        <f t="shared" si="4"/>
        <v>138480</v>
      </c>
      <c r="L121" s="13">
        <f t="shared" si="5"/>
        <v>0</v>
      </c>
      <c r="M121" s="14">
        <v>138480</v>
      </c>
      <c r="N121" s="14"/>
      <c r="O121" s="14"/>
      <c r="P121" s="14"/>
      <c r="Q121" s="14"/>
      <c r="R121" s="14"/>
      <c r="S121" s="23"/>
    </row>
    <row r="122" spans="1:19" ht="12.5" x14ac:dyDescent="0.25">
      <c r="A122" s="8" t="s">
        <v>75</v>
      </c>
      <c r="B122" s="4">
        <v>734</v>
      </c>
      <c r="C122" s="44">
        <f t="shared" si="6"/>
        <v>89214.43</v>
      </c>
      <c r="D122" s="44">
        <f t="shared" si="6"/>
        <v>0</v>
      </c>
      <c r="E122" s="43">
        <v>89214.43</v>
      </c>
      <c r="F122" s="14"/>
      <c r="G122" s="14"/>
      <c r="H122" s="14"/>
      <c r="I122" s="14"/>
      <c r="J122" s="14"/>
      <c r="K122" s="13">
        <f t="shared" si="4"/>
        <v>76771.87</v>
      </c>
      <c r="L122" s="13">
        <f t="shared" si="5"/>
        <v>0</v>
      </c>
      <c r="M122" s="14">
        <v>76771.87</v>
      </c>
      <c r="N122" s="14"/>
      <c r="O122" s="14"/>
      <c r="P122" s="14"/>
      <c r="Q122" s="14"/>
      <c r="R122" s="14"/>
      <c r="S122" s="23"/>
    </row>
    <row r="123" spans="1:19" ht="12.5" x14ac:dyDescent="0.25">
      <c r="A123" s="8" t="s">
        <v>76</v>
      </c>
      <c r="B123" s="4">
        <v>742</v>
      </c>
      <c r="C123" s="44">
        <f t="shared" si="6"/>
        <v>100642.02</v>
      </c>
      <c r="D123" s="44">
        <f t="shared" si="6"/>
        <v>0</v>
      </c>
      <c r="E123" s="43">
        <v>100642.02</v>
      </c>
      <c r="F123" s="14"/>
      <c r="G123" s="14"/>
      <c r="H123" s="14"/>
      <c r="I123" s="14"/>
      <c r="J123" s="14"/>
      <c r="K123" s="13">
        <f t="shared" si="4"/>
        <v>1549691.01</v>
      </c>
      <c r="L123" s="13">
        <f t="shared" si="5"/>
        <v>0</v>
      </c>
      <c r="M123" s="14">
        <v>1549691.01</v>
      </c>
      <c r="N123" s="14"/>
      <c r="O123" s="14"/>
      <c r="P123" s="14"/>
      <c r="Q123" s="14"/>
      <c r="R123" s="14"/>
      <c r="S123" s="23"/>
    </row>
    <row r="124" spans="1:19" ht="12.5" x14ac:dyDescent="0.25">
      <c r="A124" s="8" t="s">
        <v>164</v>
      </c>
      <c r="B124" s="4">
        <v>749</v>
      </c>
      <c r="C124" s="44">
        <f t="shared" si="6"/>
        <v>0</v>
      </c>
      <c r="D124" s="44">
        <f t="shared" si="6"/>
        <v>0</v>
      </c>
      <c r="F124" s="14"/>
      <c r="G124" s="14"/>
      <c r="H124" s="14"/>
      <c r="I124" s="14"/>
      <c r="J124" s="14"/>
      <c r="K124" s="13">
        <f t="shared" si="4"/>
        <v>14700</v>
      </c>
      <c r="L124" s="13">
        <f t="shared" si="5"/>
        <v>0</v>
      </c>
      <c r="M124" s="14">
        <v>14700</v>
      </c>
      <c r="N124" s="14"/>
      <c r="O124" s="14"/>
      <c r="P124" s="14"/>
      <c r="Q124" s="14"/>
      <c r="R124" s="14"/>
      <c r="S124" s="23"/>
    </row>
    <row r="125" spans="1:19" ht="12.5" x14ac:dyDescent="0.25">
      <c r="A125" s="8" t="s">
        <v>77</v>
      </c>
      <c r="B125" s="4">
        <v>751</v>
      </c>
      <c r="C125" s="44">
        <f t="shared" si="6"/>
        <v>1332349.95</v>
      </c>
      <c r="D125" s="44">
        <f t="shared" si="6"/>
        <v>0</v>
      </c>
      <c r="E125" s="43">
        <v>1269372.95</v>
      </c>
      <c r="F125" s="14"/>
      <c r="G125" s="14">
        <v>62977</v>
      </c>
      <c r="H125" s="14"/>
      <c r="I125" s="14"/>
      <c r="J125" s="14"/>
      <c r="K125" s="13">
        <f t="shared" si="4"/>
        <v>1858904.11</v>
      </c>
      <c r="L125" s="13">
        <f t="shared" si="5"/>
        <v>0</v>
      </c>
      <c r="M125" s="14">
        <v>1853600.11</v>
      </c>
      <c r="N125" s="14"/>
      <c r="O125" s="14">
        <v>5304</v>
      </c>
      <c r="P125" s="14"/>
      <c r="Q125" s="14"/>
      <c r="R125" s="14"/>
      <c r="S125" s="23"/>
    </row>
    <row r="126" spans="1:19" ht="12.5" x14ac:dyDescent="0.25">
      <c r="A126" s="8" t="s">
        <v>79</v>
      </c>
      <c r="B126" s="4">
        <v>753</v>
      </c>
      <c r="C126" s="44">
        <f t="shared" si="6"/>
        <v>141277.07</v>
      </c>
      <c r="D126" s="44">
        <f t="shared" si="6"/>
        <v>0</v>
      </c>
      <c r="E126" s="43">
        <v>141277.07</v>
      </c>
      <c r="F126" s="14"/>
      <c r="G126" s="14"/>
      <c r="H126" s="14"/>
      <c r="I126" s="14"/>
      <c r="J126" s="14"/>
      <c r="K126" s="13">
        <f t="shared" si="4"/>
        <v>100088.53</v>
      </c>
      <c r="L126" s="13">
        <f t="shared" si="5"/>
        <v>0</v>
      </c>
      <c r="M126" s="14">
        <v>100088.53</v>
      </c>
      <c r="N126" s="14"/>
      <c r="O126" s="14"/>
      <c r="P126" s="14"/>
      <c r="Q126" s="14"/>
      <c r="R126" s="14"/>
      <c r="S126" s="23"/>
    </row>
    <row r="127" spans="1:19" ht="12.5" x14ac:dyDescent="0.25">
      <c r="A127" s="8" t="s">
        <v>78</v>
      </c>
      <c r="B127" s="4">
        <v>755</v>
      </c>
      <c r="C127" s="44">
        <f t="shared" si="6"/>
        <v>763797.37</v>
      </c>
      <c r="D127" s="44">
        <f t="shared" si="6"/>
        <v>0</v>
      </c>
      <c r="E127" s="43">
        <v>751777.37</v>
      </c>
      <c r="F127" s="14"/>
      <c r="G127" s="14">
        <v>12020</v>
      </c>
      <c r="H127" s="14"/>
      <c r="I127" s="14"/>
      <c r="J127" s="14"/>
      <c r="K127" s="13">
        <f t="shared" si="4"/>
        <v>1111830.79</v>
      </c>
      <c r="L127" s="13">
        <f t="shared" si="5"/>
        <v>0</v>
      </c>
      <c r="M127" s="14">
        <v>1042739.79</v>
      </c>
      <c r="N127" s="14"/>
      <c r="O127" s="14">
        <v>69091</v>
      </c>
      <c r="P127" s="14"/>
      <c r="Q127" s="14"/>
      <c r="R127" s="14"/>
      <c r="S127" s="23"/>
    </row>
    <row r="128" spans="1:19" ht="12.5" x14ac:dyDescent="0.25">
      <c r="A128" s="8" t="s">
        <v>80</v>
      </c>
      <c r="B128" s="4">
        <v>756</v>
      </c>
      <c r="C128" s="44">
        <f t="shared" si="6"/>
        <v>47245</v>
      </c>
      <c r="D128" s="44">
        <f t="shared" si="6"/>
        <v>0</v>
      </c>
      <c r="E128" s="43">
        <v>43622.5</v>
      </c>
      <c r="F128" s="14"/>
      <c r="G128" s="14">
        <v>3622.5</v>
      </c>
      <c r="H128" s="14"/>
      <c r="I128" s="14"/>
      <c r="J128" s="14"/>
      <c r="K128" s="13">
        <f t="shared" si="4"/>
        <v>43916</v>
      </c>
      <c r="L128" s="13">
        <f t="shared" si="5"/>
        <v>0</v>
      </c>
      <c r="M128" s="14">
        <v>43916</v>
      </c>
      <c r="N128" s="14"/>
      <c r="O128" s="14"/>
      <c r="P128" s="14"/>
      <c r="Q128" s="14"/>
      <c r="R128" s="14"/>
      <c r="S128" s="23"/>
    </row>
    <row r="129" spans="1:19" ht="12.5" x14ac:dyDescent="0.25">
      <c r="A129" s="8" t="s">
        <v>165</v>
      </c>
      <c r="B129" s="4">
        <v>757</v>
      </c>
      <c r="C129" s="44">
        <f t="shared" si="6"/>
        <v>34405</v>
      </c>
      <c r="D129" s="44">
        <f t="shared" si="6"/>
        <v>0</v>
      </c>
      <c r="E129" s="43">
        <v>34405</v>
      </c>
      <c r="F129" s="14"/>
      <c r="G129" s="14"/>
      <c r="H129" s="14"/>
      <c r="I129" s="14"/>
      <c r="J129" s="14"/>
      <c r="K129" s="13">
        <f t="shared" si="4"/>
        <v>32604.720000000001</v>
      </c>
      <c r="L129" s="13">
        <f t="shared" si="5"/>
        <v>0</v>
      </c>
      <c r="M129" s="14">
        <v>32604.720000000001</v>
      </c>
      <c r="N129" s="14"/>
      <c r="O129" s="14"/>
      <c r="P129" s="14"/>
      <c r="Q129" s="14"/>
      <c r="R129" s="14"/>
      <c r="S129" s="23"/>
    </row>
    <row r="130" spans="1:19" ht="12.5" x14ac:dyDescent="0.25">
      <c r="A130" s="8" t="s">
        <v>158</v>
      </c>
      <c r="B130" s="4">
        <v>758</v>
      </c>
      <c r="C130" s="44">
        <f t="shared" si="6"/>
        <v>27018</v>
      </c>
      <c r="D130" s="44">
        <f t="shared" si="6"/>
        <v>0</v>
      </c>
      <c r="E130" s="43">
        <v>27018</v>
      </c>
      <c r="F130" s="14"/>
      <c r="G130" s="14"/>
      <c r="H130" s="14"/>
      <c r="I130" s="14"/>
      <c r="J130" s="14"/>
      <c r="K130" s="13">
        <f t="shared" si="4"/>
        <v>216668.3</v>
      </c>
      <c r="L130" s="13">
        <f t="shared" si="5"/>
        <v>0</v>
      </c>
      <c r="M130" s="14">
        <v>216668.3</v>
      </c>
      <c r="N130" s="14"/>
      <c r="O130" s="14"/>
      <c r="P130" s="14"/>
      <c r="Q130" s="14"/>
      <c r="R130" s="14"/>
      <c r="S130" s="23"/>
    </row>
    <row r="131" spans="1:19" ht="12.5" x14ac:dyDescent="0.25">
      <c r="A131" s="8"/>
      <c r="B131" s="4"/>
      <c r="C131" s="44"/>
      <c r="D131" s="44"/>
      <c r="E131" s="43"/>
      <c r="F131" s="14"/>
      <c r="G131" s="14"/>
      <c r="H131" s="14"/>
      <c r="I131" s="14"/>
      <c r="J131" s="14"/>
      <c r="K131" s="13"/>
      <c r="L131" s="13"/>
      <c r="M131" s="14"/>
      <c r="N131" s="14"/>
      <c r="O131" s="14"/>
      <c r="P131" s="14"/>
      <c r="Q131" s="14"/>
      <c r="R131" s="14"/>
      <c r="S131" s="23"/>
    </row>
    <row r="132" spans="1:19" ht="12.5" x14ac:dyDescent="0.25">
      <c r="A132" s="8"/>
      <c r="B132" s="4"/>
      <c r="C132" s="44"/>
      <c r="D132" s="44"/>
      <c r="E132" s="43"/>
      <c r="F132" s="14"/>
      <c r="G132" s="14"/>
      <c r="H132" s="14"/>
      <c r="I132" s="14"/>
      <c r="J132" s="14"/>
      <c r="K132" s="13"/>
      <c r="L132" s="13"/>
      <c r="M132" s="14"/>
      <c r="N132" s="14"/>
      <c r="O132" s="14"/>
      <c r="P132" s="14"/>
      <c r="Q132" s="14"/>
      <c r="R132" s="14"/>
      <c r="S132" s="23"/>
    </row>
    <row r="133" spans="1:19" ht="12.5" x14ac:dyDescent="0.25">
      <c r="A133" s="8"/>
      <c r="B133" s="4"/>
      <c r="C133" s="44"/>
      <c r="D133" s="44"/>
      <c r="E133" s="43"/>
      <c r="F133" s="14"/>
      <c r="G133" s="14"/>
      <c r="H133" s="14"/>
      <c r="I133" s="14"/>
      <c r="J133" s="14"/>
      <c r="K133" s="13"/>
      <c r="L133" s="13"/>
      <c r="M133" s="14"/>
      <c r="N133" s="14"/>
      <c r="O133" s="14"/>
      <c r="P133" s="14"/>
      <c r="Q133" s="14"/>
      <c r="R133" s="14"/>
      <c r="S133" s="23"/>
    </row>
    <row r="134" spans="1:19" ht="12.5" x14ac:dyDescent="0.25">
      <c r="A134" s="8"/>
      <c r="B134" s="4"/>
      <c r="C134" s="44"/>
      <c r="D134" s="44"/>
      <c r="E134" s="43"/>
      <c r="F134" s="14"/>
      <c r="G134" s="14"/>
      <c r="H134" s="14"/>
      <c r="I134" s="14"/>
      <c r="J134" s="14"/>
      <c r="K134" s="13"/>
      <c r="L134" s="13"/>
      <c r="M134" s="14"/>
      <c r="N134" s="14"/>
      <c r="O134" s="14"/>
      <c r="P134" s="14"/>
      <c r="Q134" s="14"/>
      <c r="R134" s="14"/>
      <c r="S134" s="23"/>
    </row>
    <row r="135" spans="1:19" ht="12.5" x14ac:dyDescent="0.25">
      <c r="A135" s="8"/>
      <c r="B135" s="4"/>
      <c r="C135" s="44"/>
      <c r="D135" s="44"/>
      <c r="E135" s="43"/>
      <c r="F135" s="14"/>
      <c r="G135" s="14"/>
      <c r="H135" s="14"/>
      <c r="I135" s="14"/>
      <c r="J135" s="14"/>
      <c r="K135" s="13"/>
      <c r="L135" s="13"/>
      <c r="M135" s="14"/>
      <c r="N135" s="14"/>
      <c r="O135" s="14"/>
      <c r="P135" s="14"/>
      <c r="Q135" s="14"/>
      <c r="R135" s="14"/>
      <c r="S135" s="23"/>
    </row>
    <row r="136" spans="1:19" ht="12.5" x14ac:dyDescent="0.25">
      <c r="A136" s="8"/>
      <c r="B136" s="4"/>
      <c r="C136" s="44"/>
      <c r="D136" s="44"/>
      <c r="E136" s="43"/>
      <c r="F136" s="14"/>
      <c r="G136" s="14"/>
      <c r="H136" s="14"/>
      <c r="I136" s="14"/>
      <c r="J136" s="14"/>
      <c r="K136" s="13"/>
      <c r="L136" s="13"/>
      <c r="M136" s="14"/>
      <c r="N136" s="14"/>
      <c r="O136" s="14"/>
      <c r="P136" s="14"/>
      <c r="Q136" s="14"/>
      <c r="R136" s="14"/>
      <c r="S136" s="23"/>
    </row>
    <row r="137" spans="1:19" ht="12.5" x14ac:dyDescent="0.25">
      <c r="A137" s="8" t="s">
        <v>81</v>
      </c>
      <c r="B137" s="4">
        <v>759</v>
      </c>
      <c r="C137" s="44">
        <f t="shared" si="6"/>
        <v>679829.86</v>
      </c>
      <c r="D137" s="44">
        <f t="shared" si="6"/>
        <v>0</v>
      </c>
      <c r="E137" s="43">
        <v>679829.86</v>
      </c>
      <c r="F137" s="14"/>
      <c r="G137" s="14"/>
      <c r="H137" s="14"/>
      <c r="I137" s="14"/>
      <c r="J137" s="14"/>
      <c r="K137" s="13">
        <f t="shared" si="4"/>
        <v>763290.31</v>
      </c>
      <c r="L137" s="13">
        <f t="shared" si="5"/>
        <v>0</v>
      </c>
      <c r="M137" s="14">
        <v>763290.31</v>
      </c>
      <c r="N137" s="14"/>
      <c r="O137" s="14"/>
      <c r="P137" s="14"/>
      <c r="Q137" s="14"/>
      <c r="R137" s="14"/>
      <c r="S137" s="23"/>
    </row>
    <row r="138" spans="1:19" ht="12.5" x14ac:dyDescent="0.25">
      <c r="A138" s="8" t="s">
        <v>82</v>
      </c>
      <c r="B138" s="4">
        <v>760</v>
      </c>
      <c r="C138" s="44">
        <f t="shared" si="6"/>
        <v>15000</v>
      </c>
      <c r="D138" s="44">
        <f t="shared" si="6"/>
        <v>0</v>
      </c>
      <c r="E138" s="43">
        <v>15000</v>
      </c>
      <c r="F138" s="14"/>
      <c r="G138" s="14"/>
      <c r="H138" s="14"/>
      <c r="I138" s="14"/>
      <c r="J138" s="14"/>
      <c r="K138" s="13">
        <f t="shared" si="4"/>
        <v>199397.7</v>
      </c>
      <c r="L138" s="13">
        <f t="shared" si="5"/>
        <v>0</v>
      </c>
      <c r="M138" s="14">
        <v>199397.7</v>
      </c>
      <c r="N138" s="14"/>
      <c r="O138" s="14"/>
      <c r="P138" s="14"/>
      <c r="Q138" s="14"/>
      <c r="R138" s="14"/>
      <c r="S138" s="23"/>
    </row>
    <row r="139" spans="1:19" ht="12.5" x14ac:dyDescent="0.25">
      <c r="A139" s="8" t="s">
        <v>83</v>
      </c>
      <c r="B139" s="4">
        <v>761</v>
      </c>
      <c r="C139" s="44">
        <f t="shared" si="6"/>
        <v>2756637.0900000003</v>
      </c>
      <c r="D139" s="44">
        <f t="shared" si="6"/>
        <v>0</v>
      </c>
      <c r="E139" s="43">
        <v>2667559.9700000002</v>
      </c>
      <c r="F139" s="14"/>
      <c r="G139" s="14">
        <v>89077.119999999995</v>
      </c>
      <c r="H139" s="14"/>
      <c r="I139" s="14"/>
      <c r="J139" s="14"/>
      <c r="K139" s="13">
        <f t="shared" si="4"/>
        <v>2051476.92</v>
      </c>
      <c r="L139" s="13">
        <f t="shared" si="5"/>
        <v>0</v>
      </c>
      <c r="M139" s="14">
        <v>2022851.88</v>
      </c>
      <c r="N139" s="14"/>
      <c r="O139" s="14">
        <v>28625.040000000001</v>
      </c>
      <c r="P139" s="14"/>
      <c r="Q139" s="14"/>
      <c r="R139" s="14"/>
      <c r="S139" s="23"/>
    </row>
    <row r="140" spans="1:19" ht="12.5" x14ac:dyDescent="0.25">
      <c r="A140" s="8" t="s">
        <v>432</v>
      </c>
      <c r="B140" s="4">
        <v>762</v>
      </c>
      <c r="C140" s="44">
        <f t="shared" si="6"/>
        <v>0</v>
      </c>
      <c r="D140" s="44">
        <f t="shared" si="6"/>
        <v>0</v>
      </c>
      <c r="E140" s="43"/>
      <c r="F140" s="14"/>
      <c r="G140" s="14"/>
      <c r="H140" s="14"/>
      <c r="I140" s="14"/>
      <c r="J140" s="14"/>
      <c r="K140" s="13">
        <f>M140+O140+Q140</f>
        <v>2470</v>
      </c>
      <c r="L140" s="13">
        <f>N140+P140+R140</f>
        <v>0</v>
      </c>
      <c r="M140" s="14">
        <v>2470</v>
      </c>
      <c r="N140" s="14"/>
      <c r="O140" s="14"/>
      <c r="P140" s="14"/>
      <c r="Q140" s="14"/>
      <c r="R140" s="14"/>
      <c r="S140" s="23"/>
    </row>
    <row r="141" spans="1:19" ht="12.5" x14ac:dyDescent="0.25">
      <c r="A141" s="8" t="s">
        <v>433</v>
      </c>
      <c r="B141" s="4">
        <v>764</v>
      </c>
      <c r="C141" s="44">
        <f t="shared" si="6"/>
        <v>63353</v>
      </c>
      <c r="D141" s="44">
        <f t="shared" si="6"/>
        <v>0</v>
      </c>
      <c r="E141" s="43">
        <v>63353</v>
      </c>
      <c r="F141" s="14"/>
      <c r="G141" s="14"/>
      <c r="H141" s="14"/>
      <c r="I141" s="14"/>
      <c r="J141" s="14"/>
      <c r="K141" s="13">
        <f>M141+O141+Q141</f>
        <v>26498</v>
      </c>
      <c r="L141" s="13">
        <f>N141+P141+R141</f>
        <v>0</v>
      </c>
      <c r="M141" s="14">
        <v>26498</v>
      </c>
      <c r="N141" s="14"/>
      <c r="O141" s="14"/>
      <c r="P141" s="14"/>
      <c r="Q141" s="14"/>
      <c r="R141" s="14"/>
      <c r="S141" s="23"/>
    </row>
    <row r="142" spans="1:19" ht="12.5" x14ac:dyDescent="0.25">
      <c r="A142" s="8" t="s">
        <v>84</v>
      </c>
      <c r="B142" s="4">
        <v>765</v>
      </c>
      <c r="C142" s="44">
        <f t="shared" si="6"/>
        <v>135455.84</v>
      </c>
      <c r="D142" s="44">
        <f t="shared" si="6"/>
        <v>0</v>
      </c>
      <c r="E142" s="43">
        <v>127760.84</v>
      </c>
      <c r="F142" s="14"/>
      <c r="G142" s="14">
        <v>7695</v>
      </c>
      <c r="H142" s="14"/>
      <c r="I142" s="14"/>
      <c r="J142" s="14"/>
      <c r="K142" s="13">
        <f t="shared" si="4"/>
        <v>59205.5</v>
      </c>
      <c r="L142" s="13">
        <f t="shared" si="5"/>
        <v>0</v>
      </c>
      <c r="M142" s="14">
        <v>59205.5</v>
      </c>
      <c r="N142" s="14"/>
      <c r="O142" s="14"/>
      <c r="P142" s="14"/>
      <c r="Q142" s="14"/>
      <c r="R142" s="14"/>
      <c r="S142" s="23"/>
    </row>
    <row r="143" spans="1:19" ht="12.5" x14ac:dyDescent="0.25">
      <c r="A143" s="8" t="s">
        <v>85</v>
      </c>
      <c r="B143" s="4">
        <v>767</v>
      </c>
      <c r="C143" s="44">
        <f t="shared" si="6"/>
        <v>429731.46</v>
      </c>
      <c r="D143" s="44">
        <f t="shared" si="6"/>
        <v>0</v>
      </c>
      <c r="E143" s="43">
        <v>429731.46</v>
      </c>
      <c r="F143" s="14"/>
      <c r="G143" s="14"/>
      <c r="H143" s="14"/>
      <c r="I143" s="14"/>
      <c r="J143" s="14"/>
      <c r="K143" s="13">
        <f t="shared" si="4"/>
        <v>337193.37</v>
      </c>
      <c r="L143" s="13">
        <f t="shared" si="5"/>
        <v>0</v>
      </c>
      <c r="M143" s="14">
        <v>337193.37</v>
      </c>
      <c r="N143" s="14"/>
      <c r="O143" s="14"/>
      <c r="P143" s="14"/>
      <c r="Q143" s="14"/>
      <c r="R143" s="14"/>
      <c r="S143" s="23"/>
    </row>
    <row r="144" spans="1:19" ht="12.5" x14ac:dyDescent="0.25">
      <c r="A144" s="8" t="s">
        <v>434</v>
      </c>
      <c r="B144" s="4">
        <v>771</v>
      </c>
      <c r="C144" s="44">
        <f t="shared" si="6"/>
        <v>0</v>
      </c>
      <c r="D144" s="44">
        <f t="shared" si="6"/>
        <v>0</v>
      </c>
      <c r="E144" s="43"/>
      <c r="F144" s="14"/>
      <c r="G144" s="14"/>
      <c r="H144" s="14"/>
      <c r="I144" s="14"/>
      <c r="J144" s="14"/>
      <c r="K144" s="13">
        <f>M144+O144+Q144</f>
        <v>135.41999999999999</v>
      </c>
      <c r="L144" s="13">
        <f>N144+P144+R144</f>
        <v>0</v>
      </c>
      <c r="M144" s="14">
        <v>135.41999999999999</v>
      </c>
      <c r="N144" s="14"/>
      <c r="O144" s="14"/>
      <c r="P144" s="14"/>
      <c r="Q144" s="14"/>
      <c r="R144" s="14"/>
      <c r="S144" s="23"/>
    </row>
    <row r="145" spans="1:19" ht="12.5" x14ac:dyDescent="0.25">
      <c r="A145" s="8" t="s">
        <v>86</v>
      </c>
      <c r="B145" s="4">
        <v>772</v>
      </c>
      <c r="C145" s="44">
        <f t="shared" si="6"/>
        <v>56539.09</v>
      </c>
      <c r="D145" s="44">
        <f t="shared" si="6"/>
        <v>0</v>
      </c>
      <c r="E145" s="43">
        <v>56539.09</v>
      </c>
      <c r="F145" s="14"/>
      <c r="G145" s="14"/>
      <c r="H145" s="14"/>
      <c r="I145" s="14"/>
      <c r="J145" s="14"/>
      <c r="K145" s="13">
        <f t="shared" si="4"/>
        <v>37649.919999999998</v>
      </c>
      <c r="L145" s="13">
        <f t="shared" si="5"/>
        <v>0</v>
      </c>
      <c r="M145" s="14">
        <v>37649.919999999998</v>
      </c>
      <c r="N145" s="14"/>
      <c r="O145" s="14"/>
      <c r="P145" s="14"/>
      <c r="Q145" s="14"/>
      <c r="R145" s="14"/>
      <c r="S145" s="23"/>
    </row>
    <row r="146" spans="1:19" ht="12.5" x14ac:dyDescent="0.25">
      <c r="A146" s="8" t="s">
        <v>87</v>
      </c>
      <c r="B146" s="4">
        <v>773</v>
      </c>
      <c r="C146" s="44">
        <f t="shared" si="6"/>
        <v>233850</v>
      </c>
      <c r="D146" s="44">
        <f t="shared" si="6"/>
        <v>0</v>
      </c>
      <c r="E146" s="43">
        <v>233850</v>
      </c>
      <c r="F146" s="14"/>
      <c r="G146" s="14"/>
      <c r="H146" s="14"/>
      <c r="I146" s="14"/>
      <c r="J146" s="14"/>
      <c r="K146" s="13">
        <f t="shared" si="4"/>
        <v>710200</v>
      </c>
      <c r="L146" s="13">
        <f t="shared" si="5"/>
        <v>0</v>
      </c>
      <c r="M146" s="14">
        <v>710200</v>
      </c>
      <c r="N146" s="14"/>
      <c r="O146" s="14"/>
      <c r="P146" s="14"/>
      <c r="Q146" s="14"/>
      <c r="R146" s="14"/>
      <c r="S146" s="23"/>
    </row>
    <row r="147" spans="1:19" ht="12.5" x14ac:dyDescent="0.25">
      <c r="A147" s="8" t="s">
        <v>468</v>
      </c>
      <c r="B147" s="4">
        <v>774</v>
      </c>
      <c r="C147" s="44">
        <f t="shared" si="6"/>
        <v>4068.35</v>
      </c>
      <c r="D147" s="44">
        <f t="shared" si="6"/>
        <v>0</v>
      </c>
      <c r="E147" s="43"/>
      <c r="F147" s="14"/>
      <c r="G147" s="14">
        <v>4068.35</v>
      </c>
      <c r="H147" s="14"/>
      <c r="I147" s="14"/>
      <c r="J147" s="14"/>
      <c r="K147" s="13"/>
      <c r="L147" s="13"/>
      <c r="M147" s="14"/>
      <c r="N147" s="14"/>
      <c r="O147" s="14"/>
      <c r="P147" s="14"/>
      <c r="Q147" s="14"/>
      <c r="R147" s="14"/>
      <c r="S147" s="23"/>
    </row>
    <row r="148" spans="1:19" ht="12.5" x14ac:dyDescent="0.25">
      <c r="A148" s="8" t="s">
        <v>88</v>
      </c>
      <c r="B148" s="4">
        <v>778</v>
      </c>
      <c r="C148" s="44">
        <f t="shared" si="6"/>
        <v>0</v>
      </c>
      <c r="D148" s="44">
        <f t="shared" si="6"/>
        <v>0</v>
      </c>
      <c r="E148" s="43"/>
      <c r="F148" s="14"/>
      <c r="G148" s="14"/>
      <c r="H148" s="14"/>
      <c r="I148" s="14"/>
      <c r="J148" s="14"/>
      <c r="K148" s="13">
        <f t="shared" si="4"/>
        <v>5000</v>
      </c>
      <c r="L148" s="13">
        <f t="shared" si="5"/>
        <v>0</v>
      </c>
      <c r="M148" s="14">
        <v>5000</v>
      </c>
      <c r="N148" s="14"/>
      <c r="O148" s="14"/>
      <c r="P148" s="14"/>
      <c r="Q148" s="14"/>
      <c r="R148" s="14"/>
      <c r="S148" s="23"/>
    </row>
    <row r="149" spans="1:19" ht="12.5" x14ac:dyDescent="0.25">
      <c r="A149" s="8" t="s">
        <v>89</v>
      </c>
      <c r="B149" s="4">
        <v>780</v>
      </c>
      <c r="C149" s="44">
        <f t="shared" si="6"/>
        <v>307800</v>
      </c>
      <c r="D149" s="44">
        <f t="shared" si="6"/>
        <v>0</v>
      </c>
      <c r="E149" s="43">
        <v>307800</v>
      </c>
      <c r="F149" s="14"/>
      <c r="G149" s="14"/>
      <c r="H149" s="14"/>
      <c r="I149" s="14"/>
      <c r="J149" s="14"/>
      <c r="K149" s="13">
        <f t="shared" si="4"/>
        <v>186500</v>
      </c>
      <c r="L149" s="13">
        <f t="shared" si="5"/>
        <v>0</v>
      </c>
      <c r="M149" s="14">
        <v>186500</v>
      </c>
      <c r="N149" s="14"/>
      <c r="O149" s="14"/>
      <c r="P149" s="14"/>
      <c r="Q149" s="14"/>
      <c r="R149" s="14"/>
      <c r="S149" s="23"/>
    </row>
    <row r="150" spans="1:19" ht="12.5" x14ac:dyDescent="0.25">
      <c r="A150" s="8" t="s">
        <v>435</v>
      </c>
      <c r="B150" s="4">
        <v>781</v>
      </c>
      <c r="C150" s="44">
        <f t="shared" ref="C150:D213" si="7">E150+G150+I150</f>
        <v>0</v>
      </c>
      <c r="D150" s="44">
        <f t="shared" si="7"/>
        <v>0</v>
      </c>
      <c r="E150" s="43"/>
      <c r="F150" s="14"/>
      <c r="G150" s="14"/>
      <c r="H150" s="14"/>
      <c r="I150" s="14"/>
      <c r="J150" s="14"/>
      <c r="K150" s="13">
        <f>M150+O150+Q150</f>
        <v>1045</v>
      </c>
      <c r="L150" s="13">
        <f>N150+P150+R150</f>
        <v>0</v>
      </c>
      <c r="M150" s="14">
        <v>1045</v>
      </c>
      <c r="N150" s="14"/>
      <c r="O150" s="14"/>
      <c r="P150" s="14"/>
      <c r="Q150" s="14"/>
      <c r="R150" s="14"/>
      <c r="S150" s="23"/>
    </row>
    <row r="151" spans="1:19" ht="12.5" x14ac:dyDescent="0.25">
      <c r="A151" s="8" t="s">
        <v>90</v>
      </c>
      <c r="B151" s="4">
        <v>782</v>
      </c>
      <c r="C151" s="44">
        <f t="shared" si="7"/>
        <v>10000</v>
      </c>
      <c r="D151" s="44">
        <f t="shared" si="7"/>
        <v>0</v>
      </c>
      <c r="E151" s="43">
        <v>10000</v>
      </c>
      <c r="F151" s="14"/>
      <c r="G151" s="14"/>
      <c r="H151" s="14"/>
      <c r="I151" s="14"/>
      <c r="J151" s="14"/>
      <c r="K151" s="13">
        <f t="shared" si="4"/>
        <v>18480</v>
      </c>
      <c r="L151" s="13">
        <f t="shared" si="5"/>
        <v>0</v>
      </c>
      <c r="M151" s="14">
        <v>18480</v>
      </c>
      <c r="N151" s="14"/>
      <c r="O151" s="14"/>
      <c r="P151" s="14"/>
      <c r="Q151" s="14"/>
      <c r="R151" s="14"/>
      <c r="S151" s="23"/>
    </row>
    <row r="152" spans="1:19" ht="12.5" x14ac:dyDescent="0.25">
      <c r="A152" s="8" t="s">
        <v>91</v>
      </c>
      <c r="B152" s="4">
        <v>783</v>
      </c>
      <c r="C152" s="44">
        <f t="shared" si="7"/>
        <v>952800.9</v>
      </c>
      <c r="D152" s="44">
        <f t="shared" si="7"/>
        <v>0</v>
      </c>
      <c r="E152" s="43">
        <v>943984.9</v>
      </c>
      <c r="F152" s="14"/>
      <c r="G152" s="14">
        <v>8816</v>
      </c>
      <c r="H152" s="14"/>
      <c r="I152" s="14"/>
      <c r="J152" s="14"/>
      <c r="K152" s="13">
        <f t="shared" si="4"/>
        <v>838828.15</v>
      </c>
      <c r="L152" s="13">
        <f t="shared" si="5"/>
        <v>0</v>
      </c>
      <c r="M152" s="14">
        <v>838684.15</v>
      </c>
      <c r="N152" s="14"/>
      <c r="O152" s="14">
        <v>144</v>
      </c>
      <c r="P152" s="14"/>
      <c r="Q152" s="14"/>
      <c r="R152" s="14"/>
      <c r="S152" s="23"/>
    </row>
    <row r="153" spans="1:19" ht="12.5" x14ac:dyDescent="0.25">
      <c r="A153" s="8" t="s">
        <v>436</v>
      </c>
      <c r="B153" s="4">
        <v>786</v>
      </c>
      <c r="C153" s="44">
        <f t="shared" si="7"/>
        <v>18000</v>
      </c>
      <c r="D153" s="44">
        <f t="shared" si="7"/>
        <v>0</v>
      </c>
      <c r="E153" s="43">
        <v>18000</v>
      </c>
      <c r="F153" s="14"/>
      <c r="G153" s="14"/>
      <c r="H153" s="14"/>
      <c r="I153" s="14"/>
      <c r="J153" s="14"/>
      <c r="K153" s="13">
        <f>M153+O153+Q153</f>
        <v>18600</v>
      </c>
      <c r="L153" s="13">
        <f>N153+P153+R153</f>
        <v>0</v>
      </c>
      <c r="M153" s="14">
        <v>18600</v>
      </c>
      <c r="N153" s="14"/>
      <c r="O153" s="14"/>
      <c r="P153" s="14"/>
      <c r="Q153" s="14"/>
      <c r="R153" s="14"/>
      <c r="S153" s="23"/>
    </row>
    <row r="154" spans="1:19" ht="12.5" x14ac:dyDescent="0.25">
      <c r="A154" s="8" t="s">
        <v>166</v>
      </c>
      <c r="B154" s="4">
        <v>787</v>
      </c>
      <c r="C154" s="44">
        <f t="shared" si="7"/>
        <v>19950</v>
      </c>
      <c r="D154" s="44">
        <f t="shared" si="7"/>
        <v>0</v>
      </c>
      <c r="E154" s="43">
        <v>19950</v>
      </c>
      <c r="F154" s="14"/>
      <c r="G154" s="14"/>
      <c r="H154" s="14"/>
      <c r="I154" s="14"/>
      <c r="J154" s="14"/>
      <c r="K154" s="13">
        <f t="shared" si="4"/>
        <v>89000</v>
      </c>
      <c r="L154" s="13">
        <f t="shared" si="5"/>
        <v>0</v>
      </c>
      <c r="M154" s="14">
        <v>89000</v>
      </c>
      <c r="N154" s="14"/>
      <c r="O154" s="14"/>
      <c r="P154" s="14"/>
      <c r="Q154" s="14"/>
      <c r="R154" s="14"/>
      <c r="S154" s="23"/>
    </row>
    <row r="155" spans="1:19" ht="12.5" x14ac:dyDescent="0.25">
      <c r="A155" s="8" t="s">
        <v>155</v>
      </c>
      <c r="B155" s="4">
        <v>792</v>
      </c>
      <c r="C155" s="44">
        <f t="shared" si="7"/>
        <v>48346</v>
      </c>
      <c r="D155" s="44">
        <f t="shared" si="7"/>
        <v>0</v>
      </c>
      <c r="E155" s="43">
        <v>48346</v>
      </c>
      <c r="F155" s="14"/>
      <c r="G155" s="14"/>
      <c r="H155" s="14"/>
      <c r="I155" s="14"/>
      <c r="J155" s="14"/>
      <c r="K155" s="13">
        <f t="shared" si="4"/>
        <v>56209.29</v>
      </c>
      <c r="L155" s="13">
        <f t="shared" si="5"/>
        <v>0</v>
      </c>
      <c r="M155" s="14">
        <v>56209.29</v>
      </c>
      <c r="N155" s="14"/>
      <c r="O155" s="14"/>
      <c r="P155" s="14"/>
      <c r="Q155" s="14"/>
      <c r="R155" s="14"/>
      <c r="S155" s="23"/>
    </row>
    <row r="156" spans="1:19" ht="12.5" x14ac:dyDescent="0.25">
      <c r="A156" s="8" t="s">
        <v>474</v>
      </c>
      <c r="B156" s="4">
        <v>794</v>
      </c>
      <c r="C156" s="44">
        <f t="shared" si="7"/>
        <v>454554</v>
      </c>
      <c r="D156" s="44">
        <f t="shared" si="7"/>
        <v>0</v>
      </c>
      <c r="E156" s="43">
        <v>454554</v>
      </c>
      <c r="F156" s="14"/>
      <c r="G156" s="14"/>
      <c r="H156" s="14"/>
      <c r="I156" s="14"/>
      <c r="J156" s="14"/>
      <c r="K156" s="13"/>
      <c r="L156" s="13"/>
      <c r="M156" s="14"/>
      <c r="N156" s="14"/>
      <c r="O156" s="14"/>
      <c r="P156" s="14"/>
      <c r="Q156" s="14"/>
      <c r="R156" s="14"/>
      <c r="S156" s="23"/>
    </row>
    <row r="157" spans="1:19" ht="12.5" x14ac:dyDescent="0.25">
      <c r="A157" s="8" t="s">
        <v>171</v>
      </c>
      <c r="B157" s="4">
        <v>795</v>
      </c>
      <c r="C157" s="44">
        <f t="shared" si="7"/>
        <v>4119325.66</v>
      </c>
      <c r="D157" s="44">
        <f t="shared" si="7"/>
        <v>0</v>
      </c>
      <c r="E157" s="43">
        <v>3836976.66</v>
      </c>
      <c r="F157" s="14"/>
      <c r="G157" s="14">
        <v>282349</v>
      </c>
      <c r="H157" s="14"/>
      <c r="I157" s="14"/>
      <c r="J157" s="14"/>
      <c r="K157" s="13">
        <f t="shared" si="4"/>
        <v>4238880.07</v>
      </c>
      <c r="L157" s="13">
        <f t="shared" si="5"/>
        <v>0</v>
      </c>
      <c r="M157" s="14">
        <v>3919354.08</v>
      </c>
      <c r="N157" s="14"/>
      <c r="O157" s="14">
        <v>319525.99</v>
      </c>
      <c r="P157" s="14"/>
      <c r="Q157" s="14"/>
      <c r="R157" s="14"/>
      <c r="S157" s="23"/>
    </row>
    <row r="158" spans="1:19" ht="12.5" x14ac:dyDescent="0.25">
      <c r="A158" s="8" t="s">
        <v>170</v>
      </c>
      <c r="B158" s="4">
        <v>796</v>
      </c>
      <c r="C158" s="44">
        <f t="shared" si="7"/>
        <v>0</v>
      </c>
      <c r="D158" s="44">
        <f t="shared" si="7"/>
        <v>0</v>
      </c>
      <c r="E158" s="43">
        <v>0</v>
      </c>
      <c r="F158" s="14"/>
      <c r="G158" s="14"/>
      <c r="H158" s="14"/>
      <c r="I158" s="14"/>
      <c r="J158" s="14"/>
      <c r="K158" s="13">
        <f t="shared" si="4"/>
        <v>295002.92</v>
      </c>
      <c r="L158" s="13">
        <f t="shared" si="5"/>
        <v>0</v>
      </c>
      <c r="M158" s="14">
        <v>295002.92</v>
      </c>
      <c r="N158" s="14"/>
      <c r="O158" s="14"/>
      <c r="P158" s="14"/>
      <c r="Q158" s="14"/>
      <c r="R158" s="14"/>
      <c r="S158" s="23"/>
    </row>
    <row r="159" spans="1:19" ht="12.5" x14ac:dyDescent="0.25">
      <c r="A159" s="8" t="s">
        <v>92</v>
      </c>
      <c r="B159" s="4">
        <v>797</v>
      </c>
      <c r="C159" s="44">
        <f t="shared" si="7"/>
        <v>25200</v>
      </c>
      <c r="D159" s="44">
        <f t="shared" si="7"/>
        <v>0</v>
      </c>
      <c r="E159" s="43">
        <v>25200</v>
      </c>
      <c r="F159" s="14"/>
      <c r="G159" s="14"/>
      <c r="H159" s="14"/>
      <c r="I159" s="14"/>
      <c r="J159" s="14"/>
      <c r="K159" s="13">
        <f t="shared" ref="K159:K212" si="8">M159+O159+Q159</f>
        <v>22200</v>
      </c>
      <c r="L159" s="13">
        <f t="shared" ref="L159:L212" si="9">N159+P159+R159</f>
        <v>0</v>
      </c>
      <c r="M159" s="14">
        <v>22200</v>
      </c>
      <c r="N159" s="14"/>
      <c r="O159" s="14"/>
      <c r="P159" s="14"/>
      <c r="Q159" s="14"/>
      <c r="R159" s="14"/>
      <c r="S159" s="23"/>
    </row>
    <row r="160" spans="1:19" ht="12.5" x14ac:dyDescent="0.25">
      <c r="A160" s="8" t="s">
        <v>437</v>
      </c>
      <c r="B160" s="4">
        <v>799</v>
      </c>
      <c r="C160" s="44">
        <f t="shared" si="7"/>
        <v>412400</v>
      </c>
      <c r="D160" s="44">
        <f t="shared" si="7"/>
        <v>0</v>
      </c>
      <c r="E160" s="43">
        <v>412400</v>
      </c>
      <c r="F160" s="14"/>
      <c r="G160" s="14"/>
      <c r="H160" s="14"/>
      <c r="I160" s="14"/>
      <c r="J160" s="14"/>
      <c r="K160" s="13">
        <f>M160+O160+Q160</f>
        <v>282575</v>
      </c>
      <c r="L160" s="13">
        <f>N160+P160+R160</f>
        <v>0</v>
      </c>
      <c r="M160" s="14">
        <v>282575</v>
      </c>
      <c r="N160" s="14"/>
      <c r="O160" s="14"/>
      <c r="P160" s="14"/>
      <c r="Q160" s="14"/>
      <c r="R160" s="14"/>
      <c r="S160" s="23"/>
    </row>
    <row r="161" spans="1:19" ht="12.5" x14ac:dyDescent="0.25">
      <c r="A161" s="8" t="s">
        <v>475</v>
      </c>
      <c r="B161" s="4">
        <v>802</v>
      </c>
      <c r="C161" s="44">
        <f t="shared" si="7"/>
        <v>119060</v>
      </c>
      <c r="D161" s="44">
        <f t="shared" si="7"/>
        <v>0</v>
      </c>
      <c r="E161" s="43">
        <v>119060</v>
      </c>
      <c r="F161" s="14"/>
      <c r="G161" s="14"/>
      <c r="H161" s="14"/>
      <c r="I161" s="14"/>
      <c r="J161" s="14"/>
      <c r="K161" s="13"/>
      <c r="L161" s="13"/>
      <c r="M161" s="14"/>
      <c r="N161" s="14"/>
      <c r="O161" s="14"/>
      <c r="P161" s="14"/>
      <c r="Q161" s="14"/>
      <c r="R161" s="14"/>
      <c r="S161" s="23"/>
    </row>
    <row r="162" spans="1:19" ht="12.5" x14ac:dyDescent="0.25">
      <c r="A162" s="8" t="s">
        <v>167</v>
      </c>
      <c r="B162" s="4">
        <v>805</v>
      </c>
      <c r="C162" s="44">
        <f t="shared" si="7"/>
        <v>255686.3</v>
      </c>
      <c r="D162" s="44">
        <f t="shared" si="7"/>
        <v>0</v>
      </c>
      <c r="E162" s="43">
        <v>255686.3</v>
      </c>
      <c r="F162" s="14"/>
      <c r="G162" s="14"/>
      <c r="H162" s="14"/>
      <c r="I162" s="14"/>
      <c r="J162" s="14"/>
      <c r="K162" s="13">
        <f t="shared" si="8"/>
        <v>99001.1</v>
      </c>
      <c r="L162" s="13">
        <f t="shared" si="9"/>
        <v>0</v>
      </c>
      <c r="M162" s="14">
        <v>99001.1</v>
      </c>
      <c r="N162" s="14"/>
      <c r="O162" s="14"/>
      <c r="P162" s="14"/>
      <c r="Q162" s="14"/>
      <c r="R162" s="14"/>
      <c r="S162" s="23"/>
    </row>
    <row r="163" spans="1:19" ht="12.5" x14ac:dyDescent="0.25">
      <c r="A163" s="8" t="s">
        <v>93</v>
      </c>
      <c r="B163" s="4">
        <v>811</v>
      </c>
      <c r="C163" s="44">
        <f t="shared" si="7"/>
        <v>1006784.03</v>
      </c>
      <c r="D163" s="44">
        <f t="shared" si="7"/>
        <v>0</v>
      </c>
      <c r="E163" s="43">
        <v>1006784.03</v>
      </c>
      <c r="F163" s="14"/>
      <c r="G163" s="14"/>
      <c r="H163" s="14"/>
      <c r="I163" s="14"/>
      <c r="J163" s="14"/>
      <c r="K163" s="13">
        <f t="shared" si="8"/>
        <v>737641.88</v>
      </c>
      <c r="L163" s="13">
        <f t="shared" si="9"/>
        <v>0</v>
      </c>
      <c r="M163" s="14">
        <v>737641.88</v>
      </c>
      <c r="N163" s="14"/>
      <c r="O163" s="14"/>
      <c r="P163" s="14"/>
      <c r="Q163" s="14"/>
      <c r="R163" s="14"/>
      <c r="S163" s="23"/>
    </row>
    <row r="164" spans="1:19" ht="12.5" x14ac:dyDescent="0.25">
      <c r="A164" s="8" t="s">
        <v>430</v>
      </c>
      <c r="B164" s="4">
        <v>812</v>
      </c>
      <c r="C164" s="44">
        <f t="shared" si="7"/>
        <v>0</v>
      </c>
      <c r="D164" s="44">
        <f t="shared" si="7"/>
        <v>0</v>
      </c>
      <c r="E164" s="43"/>
      <c r="F164" s="14"/>
      <c r="G164" s="14"/>
      <c r="H164" s="14"/>
      <c r="I164" s="14"/>
      <c r="J164" s="14"/>
      <c r="K164" s="13">
        <f t="shared" si="8"/>
        <v>12815</v>
      </c>
      <c r="L164" s="13">
        <f t="shared" si="9"/>
        <v>0</v>
      </c>
      <c r="M164" s="14"/>
      <c r="N164" s="14"/>
      <c r="O164" s="14">
        <v>12815</v>
      </c>
      <c r="P164" s="14"/>
      <c r="Q164" s="14"/>
      <c r="R164" s="14"/>
      <c r="S164" s="23"/>
    </row>
    <row r="165" spans="1:19" ht="12.5" x14ac:dyDescent="0.25">
      <c r="A165" s="8" t="s">
        <v>438</v>
      </c>
      <c r="B165" s="4">
        <v>814</v>
      </c>
      <c r="C165" s="44">
        <f t="shared" si="7"/>
        <v>758881.37</v>
      </c>
      <c r="D165" s="44">
        <f t="shared" si="7"/>
        <v>0</v>
      </c>
      <c r="E165" s="43">
        <v>758881.37</v>
      </c>
      <c r="F165" s="14"/>
      <c r="G165" s="14"/>
      <c r="H165" s="14"/>
      <c r="I165" s="14"/>
      <c r="J165" s="14"/>
      <c r="K165" s="13">
        <f>M165+O165+Q165</f>
        <v>55100</v>
      </c>
      <c r="L165" s="13">
        <f>N165+P165+R165</f>
        <v>0</v>
      </c>
      <c r="M165" s="14">
        <v>55100</v>
      </c>
      <c r="N165" s="14"/>
      <c r="O165" s="14"/>
      <c r="P165" s="14"/>
      <c r="Q165" s="14"/>
      <c r="R165" s="14"/>
      <c r="S165" s="23"/>
    </row>
    <row r="166" spans="1:19" ht="12.5" x14ac:dyDescent="0.25">
      <c r="A166" s="8" t="s">
        <v>168</v>
      </c>
      <c r="B166" s="4">
        <v>815</v>
      </c>
      <c r="C166" s="44">
        <f t="shared" si="7"/>
        <v>286500</v>
      </c>
      <c r="D166" s="44">
        <f t="shared" si="7"/>
        <v>0</v>
      </c>
      <c r="E166" s="43">
        <v>286500</v>
      </c>
      <c r="F166" s="14"/>
      <c r="G166" s="14"/>
      <c r="H166" s="14"/>
      <c r="I166" s="14"/>
      <c r="J166" s="14"/>
      <c r="K166" s="13">
        <f t="shared" si="8"/>
        <v>3065</v>
      </c>
      <c r="L166" s="13">
        <f t="shared" si="9"/>
        <v>0</v>
      </c>
      <c r="M166" s="14">
        <v>3065</v>
      </c>
      <c r="N166" s="14"/>
      <c r="O166" s="14"/>
      <c r="P166" s="14"/>
      <c r="Q166" s="14"/>
      <c r="R166" s="14"/>
      <c r="S166" s="23"/>
    </row>
    <row r="167" spans="1:19" ht="12.5" x14ac:dyDescent="0.25">
      <c r="A167" s="8" t="s">
        <v>148</v>
      </c>
      <c r="B167" s="4">
        <v>821</v>
      </c>
      <c r="C167" s="44">
        <f t="shared" si="7"/>
        <v>14100</v>
      </c>
      <c r="D167" s="44">
        <f t="shared" si="7"/>
        <v>0</v>
      </c>
      <c r="E167" s="43">
        <v>14100</v>
      </c>
      <c r="F167" s="14"/>
      <c r="G167" s="14"/>
      <c r="H167" s="14"/>
      <c r="I167" s="14"/>
      <c r="J167" s="14"/>
      <c r="K167" s="13">
        <f t="shared" si="8"/>
        <v>53000</v>
      </c>
      <c r="L167" s="13">
        <f t="shared" si="9"/>
        <v>0</v>
      </c>
      <c r="M167" s="14">
        <v>53000</v>
      </c>
      <c r="N167" s="14"/>
      <c r="O167" s="14"/>
      <c r="P167" s="14"/>
      <c r="Q167" s="14"/>
      <c r="R167" s="14"/>
      <c r="S167" s="23"/>
    </row>
    <row r="168" spans="1:19" ht="12.5" x14ac:dyDescent="0.25">
      <c r="A168" s="8" t="s">
        <v>94</v>
      </c>
      <c r="B168" s="4">
        <v>823</v>
      </c>
      <c r="C168" s="44">
        <f t="shared" si="7"/>
        <v>6600</v>
      </c>
      <c r="D168" s="44">
        <f t="shared" si="7"/>
        <v>0</v>
      </c>
      <c r="E168" s="43"/>
      <c r="F168" s="14"/>
      <c r="G168" s="14">
        <v>6600</v>
      </c>
      <c r="H168" s="14"/>
      <c r="I168" s="14"/>
      <c r="J168" s="14"/>
      <c r="K168" s="13">
        <f t="shared" si="8"/>
        <v>62959.8</v>
      </c>
      <c r="L168" s="13">
        <f t="shared" si="9"/>
        <v>0</v>
      </c>
      <c r="M168" s="14">
        <v>62959.8</v>
      </c>
      <c r="N168" s="14"/>
      <c r="O168" s="14"/>
      <c r="P168" s="14"/>
      <c r="Q168" s="14"/>
      <c r="R168" s="14"/>
      <c r="S168" s="23"/>
    </row>
    <row r="169" spans="1:19" ht="12.5" x14ac:dyDescent="0.25">
      <c r="A169" s="8" t="s">
        <v>95</v>
      </c>
      <c r="B169" s="4">
        <v>830</v>
      </c>
      <c r="C169" s="44">
        <f t="shared" si="7"/>
        <v>8460</v>
      </c>
      <c r="D169" s="44">
        <f t="shared" si="7"/>
        <v>0</v>
      </c>
      <c r="E169" s="43">
        <v>8460</v>
      </c>
      <c r="F169" s="14"/>
      <c r="G169" s="14"/>
      <c r="H169" s="14"/>
      <c r="I169" s="14"/>
      <c r="J169" s="14"/>
      <c r="K169" s="13">
        <f t="shared" si="8"/>
        <v>53575</v>
      </c>
      <c r="L169" s="13">
        <f t="shared" si="9"/>
        <v>0</v>
      </c>
      <c r="M169" s="14">
        <v>53575</v>
      </c>
      <c r="N169" s="14"/>
      <c r="O169" s="14"/>
      <c r="P169" s="14"/>
      <c r="Q169" s="14"/>
      <c r="R169" s="14"/>
      <c r="S169" s="23"/>
    </row>
    <row r="170" spans="1:19" ht="12.5" x14ac:dyDescent="0.25">
      <c r="A170" s="8" t="s">
        <v>439</v>
      </c>
      <c r="B170" s="4">
        <v>831</v>
      </c>
      <c r="C170" s="44">
        <f t="shared" si="7"/>
        <v>31800</v>
      </c>
      <c r="D170" s="44">
        <f t="shared" si="7"/>
        <v>0</v>
      </c>
      <c r="E170" s="43">
        <v>31800</v>
      </c>
      <c r="F170" s="14"/>
      <c r="G170" s="14"/>
      <c r="H170" s="14"/>
      <c r="I170" s="14"/>
      <c r="J170" s="14"/>
      <c r="K170" s="13">
        <f>M170+O170+Q170</f>
        <v>38600</v>
      </c>
      <c r="L170" s="13">
        <f>N170+P170+R170</f>
        <v>0</v>
      </c>
      <c r="M170" s="14">
        <v>38600</v>
      </c>
      <c r="N170" s="14"/>
      <c r="O170" s="14"/>
      <c r="P170" s="14"/>
      <c r="Q170" s="14"/>
      <c r="R170" s="14"/>
      <c r="S170" s="23"/>
    </row>
    <row r="171" spans="1:19" ht="12.5" x14ac:dyDescent="0.25">
      <c r="A171" s="8" t="s">
        <v>477</v>
      </c>
      <c r="B171" s="4">
        <v>840</v>
      </c>
      <c r="C171" s="44">
        <f t="shared" si="7"/>
        <v>69250</v>
      </c>
      <c r="D171" s="44">
        <f t="shared" si="7"/>
        <v>0</v>
      </c>
      <c r="E171" s="43">
        <v>69250</v>
      </c>
      <c r="F171" s="14"/>
      <c r="G171" s="14"/>
      <c r="H171" s="14"/>
      <c r="I171" s="14"/>
      <c r="J171" s="14"/>
      <c r="K171" s="13"/>
      <c r="L171" s="13"/>
      <c r="M171" s="14"/>
      <c r="N171" s="14"/>
      <c r="O171" s="14"/>
      <c r="P171" s="14"/>
      <c r="Q171" s="14"/>
      <c r="R171" s="14"/>
      <c r="S171" s="23"/>
    </row>
    <row r="172" spans="1:19" ht="12.5" x14ac:dyDescent="0.25">
      <c r="A172" s="8" t="s">
        <v>96</v>
      </c>
      <c r="B172" s="4">
        <v>841</v>
      </c>
      <c r="C172" s="44">
        <f t="shared" si="7"/>
        <v>693393.34</v>
      </c>
      <c r="D172" s="44">
        <f t="shared" si="7"/>
        <v>0</v>
      </c>
      <c r="E172" s="43">
        <v>693393.34</v>
      </c>
      <c r="F172" s="14"/>
      <c r="G172" s="14"/>
      <c r="H172" s="14"/>
      <c r="I172" s="14"/>
      <c r="J172" s="14"/>
      <c r="K172" s="13">
        <f t="shared" si="8"/>
        <v>906884.45</v>
      </c>
      <c r="L172" s="13">
        <f t="shared" si="9"/>
        <v>0</v>
      </c>
      <c r="M172" s="14">
        <v>906884.45</v>
      </c>
      <c r="N172" s="14"/>
      <c r="O172" s="14"/>
      <c r="P172" s="14"/>
      <c r="Q172" s="14"/>
      <c r="R172" s="14"/>
      <c r="S172" s="23"/>
    </row>
    <row r="173" spans="1:19" ht="12.5" x14ac:dyDescent="0.25">
      <c r="A173" s="8" t="s">
        <v>97</v>
      </c>
      <c r="B173" s="4">
        <v>851</v>
      </c>
      <c r="C173" s="44">
        <f t="shared" si="7"/>
        <v>581753</v>
      </c>
      <c r="D173" s="44">
        <f t="shared" si="7"/>
        <v>0</v>
      </c>
      <c r="E173" s="43">
        <v>581753</v>
      </c>
      <c r="F173" s="14"/>
      <c r="G173" s="14"/>
      <c r="H173" s="14"/>
      <c r="I173" s="14"/>
      <c r="J173" s="14"/>
      <c r="K173" s="13">
        <f t="shared" si="8"/>
        <v>334200.5</v>
      </c>
      <c r="L173" s="13">
        <f t="shared" si="9"/>
        <v>0</v>
      </c>
      <c r="M173" s="14">
        <v>334200.5</v>
      </c>
      <c r="N173" s="14"/>
      <c r="O173" s="14"/>
      <c r="P173" s="14"/>
      <c r="Q173" s="14"/>
      <c r="R173" s="14"/>
      <c r="S173" s="23"/>
    </row>
    <row r="174" spans="1:19" ht="12.5" x14ac:dyDescent="0.25">
      <c r="A174" s="8" t="s">
        <v>151</v>
      </c>
      <c r="B174" s="4">
        <v>854</v>
      </c>
      <c r="C174" s="44">
        <f t="shared" si="7"/>
        <v>0</v>
      </c>
      <c r="D174" s="44">
        <f t="shared" si="7"/>
        <v>0</v>
      </c>
      <c r="E174" s="43"/>
      <c r="F174" s="14"/>
      <c r="G174" s="14"/>
      <c r="H174" s="14"/>
      <c r="I174" s="14"/>
      <c r="J174" s="14"/>
      <c r="K174" s="13">
        <f t="shared" si="8"/>
        <v>131945.5</v>
      </c>
      <c r="L174" s="13">
        <f t="shared" si="9"/>
        <v>0</v>
      </c>
      <c r="M174" s="14">
        <v>131945.5</v>
      </c>
      <c r="N174" s="14"/>
      <c r="O174" s="14"/>
      <c r="P174" s="14"/>
      <c r="Q174" s="14"/>
      <c r="R174" s="14"/>
      <c r="S174" s="23"/>
    </row>
    <row r="175" spans="1:19" ht="12.5" x14ac:dyDescent="0.25">
      <c r="A175" s="8" t="s">
        <v>476</v>
      </c>
      <c r="B175" s="4">
        <v>855</v>
      </c>
      <c r="C175" s="44">
        <f t="shared" si="7"/>
        <v>0</v>
      </c>
      <c r="D175" s="44">
        <f t="shared" si="7"/>
        <v>0</v>
      </c>
      <c r="E175" s="43">
        <v>0</v>
      </c>
      <c r="F175" s="14"/>
      <c r="G175" s="14"/>
      <c r="H175" s="14"/>
      <c r="I175" s="14"/>
      <c r="J175" s="14"/>
      <c r="K175" s="13"/>
      <c r="L175" s="13"/>
      <c r="M175" s="14"/>
      <c r="N175" s="14"/>
      <c r="O175" s="14"/>
      <c r="P175" s="14"/>
      <c r="Q175" s="14"/>
      <c r="R175" s="14"/>
      <c r="S175" s="23"/>
    </row>
    <row r="176" spans="1:19" ht="12.5" x14ac:dyDescent="0.25">
      <c r="A176" s="8" t="s">
        <v>98</v>
      </c>
      <c r="B176" s="4">
        <v>874</v>
      </c>
      <c r="C176" s="44">
        <f t="shared" si="7"/>
        <v>294529</v>
      </c>
      <c r="D176" s="44">
        <f t="shared" si="7"/>
        <v>0</v>
      </c>
      <c r="E176" s="43">
        <v>294529</v>
      </c>
      <c r="F176" s="14"/>
      <c r="G176" s="14"/>
      <c r="H176" s="14"/>
      <c r="I176" s="14"/>
      <c r="J176" s="14"/>
      <c r="K176" s="13">
        <f t="shared" si="8"/>
        <v>2920020.7</v>
      </c>
      <c r="L176" s="13">
        <f t="shared" si="9"/>
        <v>0</v>
      </c>
      <c r="M176" s="14">
        <v>2920020.7</v>
      </c>
      <c r="N176" s="14"/>
      <c r="O176" s="14"/>
      <c r="P176" s="14"/>
      <c r="Q176" s="14"/>
      <c r="R176" s="14"/>
      <c r="S176" s="23"/>
    </row>
    <row r="177" spans="1:19" ht="12.5" x14ac:dyDescent="0.25">
      <c r="A177" s="8" t="s">
        <v>99</v>
      </c>
      <c r="B177" s="4">
        <v>878</v>
      </c>
      <c r="C177" s="44">
        <f t="shared" si="7"/>
        <v>1397617.5</v>
      </c>
      <c r="D177" s="44">
        <f t="shared" si="7"/>
        <v>0</v>
      </c>
      <c r="E177" s="43">
        <v>1258017.5</v>
      </c>
      <c r="F177" s="14"/>
      <c r="G177" s="14">
        <v>139600</v>
      </c>
      <c r="H177" s="14"/>
      <c r="I177" s="14"/>
      <c r="J177" s="14"/>
      <c r="K177" s="13">
        <f t="shared" si="8"/>
        <v>1325335</v>
      </c>
      <c r="L177" s="13">
        <f t="shared" si="9"/>
        <v>0</v>
      </c>
      <c r="M177" s="14">
        <v>1279810</v>
      </c>
      <c r="N177" s="14"/>
      <c r="O177" s="14">
        <v>45525</v>
      </c>
      <c r="P177" s="14"/>
      <c r="Q177" s="14"/>
      <c r="R177" s="14"/>
      <c r="S177" s="23"/>
    </row>
    <row r="178" spans="1:19" ht="12.5" x14ac:dyDescent="0.25">
      <c r="A178" s="8" t="s">
        <v>440</v>
      </c>
      <c r="B178" s="4">
        <v>884</v>
      </c>
      <c r="C178" s="44">
        <f t="shared" si="7"/>
        <v>63082.78</v>
      </c>
      <c r="D178" s="44">
        <f t="shared" si="7"/>
        <v>0</v>
      </c>
      <c r="E178" s="43">
        <v>58884.78</v>
      </c>
      <c r="F178" s="14"/>
      <c r="G178" s="14">
        <v>4198</v>
      </c>
      <c r="H178" s="14"/>
      <c r="I178" s="14"/>
      <c r="J178" s="14"/>
      <c r="K178" s="13">
        <f>M178+O178+Q178</f>
        <v>66896.789999999994</v>
      </c>
      <c r="L178" s="13">
        <f>N178+P178+R178</f>
        <v>0</v>
      </c>
      <c r="M178" s="14">
        <v>66896.789999999994</v>
      </c>
      <c r="N178" s="14"/>
      <c r="O178" s="14"/>
      <c r="P178" s="14"/>
      <c r="Q178" s="14"/>
      <c r="R178" s="14"/>
      <c r="S178" s="23"/>
    </row>
    <row r="179" spans="1:19" ht="12.5" x14ac:dyDescent="0.25">
      <c r="A179" s="8" t="s">
        <v>173</v>
      </c>
      <c r="B179" s="4">
        <v>892</v>
      </c>
      <c r="C179" s="44">
        <f t="shared" si="7"/>
        <v>5446.95</v>
      </c>
      <c r="D179" s="44">
        <f t="shared" si="7"/>
        <v>0</v>
      </c>
      <c r="F179" s="14"/>
      <c r="G179" s="14">
        <v>5446.95</v>
      </c>
      <c r="H179" s="14"/>
      <c r="I179" s="14"/>
      <c r="J179" s="14"/>
      <c r="K179" s="13">
        <f t="shared" si="8"/>
        <v>0</v>
      </c>
      <c r="L179" s="13">
        <f t="shared" si="9"/>
        <v>0</v>
      </c>
      <c r="M179" s="14"/>
      <c r="N179" s="14"/>
      <c r="O179" s="14"/>
      <c r="P179" s="14"/>
      <c r="Q179" s="14"/>
      <c r="R179" s="14"/>
      <c r="S179" s="23"/>
    </row>
    <row r="180" spans="1:19" ht="12.5" x14ac:dyDescent="0.25">
      <c r="A180" s="8" t="s">
        <v>100</v>
      </c>
      <c r="B180" s="4">
        <v>893</v>
      </c>
      <c r="C180" s="44">
        <f t="shared" si="7"/>
        <v>61091.59</v>
      </c>
      <c r="D180" s="44">
        <f t="shared" si="7"/>
        <v>0</v>
      </c>
      <c r="E180" s="43">
        <v>24546.59</v>
      </c>
      <c r="F180" s="14"/>
      <c r="G180" s="14">
        <v>36545</v>
      </c>
      <c r="H180" s="14"/>
      <c r="I180" s="14"/>
      <c r="J180" s="14"/>
      <c r="K180" s="13">
        <f t="shared" si="8"/>
        <v>37355.550000000003</v>
      </c>
      <c r="L180" s="13">
        <f t="shared" si="9"/>
        <v>0</v>
      </c>
      <c r="M180" s="14">
        <v>37355.550000000003</v>
      </c>
      <c r="N180" s="14"/>
      <c r="O180" s="14"/>
      <c r="P180" s="14"/>
      <c r="Q180" s="14"/>
      <c r="R180" s="14"/>
      <c r="S180" s="23"/>
    </row>
    <row r="181" spans="1:19" ht="12.5" x14ac:dyDescent="0.25">
      <c r="A181" s="8" t="s">
        <v>117</v>
      </c>
      <c r="B181" s="4">
        <v>902</v>
      </c>
      <c r="C181" s="44">
        <f t="shared" si="7"/>
        <v>26070.67</v>
      </c>
      <c r="D181" s="44">
        <f t="shared" si="7"/>
        <v>0</v>
      </c>
      <c r="E181" s="43">
        <v>26070.67</v>
      </c>
      <c r="F181" s="14"/>
      <c r="G181" s="14"/>
      <c r="H181" s="14"/>
      <c r="I181" s="14"/>
      <c r="J181" s="14"/>
      <c r="K181" s="13">
        <f t="shared" si="8"/>
        <v>22737.33</v>
      </c>
      <c r="L181" s="13">
        <f t="shared" si="9"/>
        <v>0</v>
      </c>
      <c r="M181" s="14">
        <v>22737.33</v>
      </c>
      <c r="N181" s="14"/>
      <c r="O181" s="14"/>
      <c r="P181" s="14"/>
      <c r="Q181" s="14"/>
      <c r="R181" s="14"/>
      <c r="S181" s="23"/>
    </row>
    <row r="182" spans="1:19" ht="12.5" x14ac:dyDescent="0.25">
      <c r="A182" s="8" t="s">
        <v>159</v>
      </c>
      <c r="B182" s="4">
        <v>905</v>
      </c>
      <c r="C182" s="44">
        <f t="shared" si="7"/>
        <v>37591.53</v>
      </c>
      <c r="D182" s="44">
        <f t="shared" si="7"/>
        <v>0</v>
      </c>
      <c r="E182" s="43">
        <v>37591.53</v>
      </c>
      <c r="F182" s="14"/>
      <c r="G182" s="14"/>
      <c r="H182" s="14"/>
      <c r="I182" s="14"/>
      <c r="J182" s="14"/>
      <c r="K182" s="13">
        <f t="shared" si="8"/>
        <v>37424.870000000003</v>
      </c>
      <c r="L182" s="13">
        <f t="shared" si="9"/>
        <v>0</v>
      </c>
      <c r="M182" s="14">
        <v>37424.870000000003</v>
      </c>
      <c r="N182" s="14"/>
      <c r="O182" s="14"/>
      <c r="P182" s="14"/>
      <c r="Q182" s="14"/>
      <c r="R182" s="14"/>
      <c r="S182" s="23"/>
    </row>
    <row r="183" spans="1:19" ht="12.5" x14ac:dyDescent="0.25">
      <c r="A183" s="8" t="s">
        <v>118</v>
      </c>
      <c r="B183" s="4">
        <v>911</v>
      </c>
      <c r="C183" s="44">
        <f t="shared" si="7"/>
        <v>207915.41</v>
      </c>
      <c r="D183" s="44">
        <f t="shared" si="7"/>
        <v>0</v>
      </c>
      <c r="E183" s="43">
        <v>207915.41</v>
      </c>
      <c r="F183" s="14"/>
      <c r="G183" s="14"/>
      <c r="H183" s="14"/>
      <c r="I183" s="14"/>
      <c r="J183" s="14"/>
      <c r="K183" s="13">
        <f t="shared" si="8"/>
        <v>181210.77</v>
      </c>
      <c r="L183" s="13">
        <f t="shared" si="9"/>
        <v>0</v>
      </c>
      <c r="M183" s="14">
        <v>181210.77</v>
      </c>
      <c r="N183" s="14"/>
      <c r="O183" s="14"/>
      <c r="P183" s="14"/>
      <c r="Q183" s="14"/>
      <c r="R183" s="14"/>
      <c r="S183" s="23"/>
    </row>
    <row r="184" spans="1:19" ht="12.5" x14ac:dyDescent="0.25">
      <c r="A184" s="8" t="s">
        <v>119</v>
      </c>
      <c r="B184" s="4">
        <v>912</v>
      </c>
      <c r="C184" s="44">
        <f t="shared" si="7"/>
        <v>6345.88</v>
      </c>
      <c r="D184" s="44">
        <f t="shared" si="7"/>
        <v>0</v>
      </c>
      <c r="E184" s="43">
        <v>6345.88</v>
      </c>
      <c r="F184" s="14"/>
      <c r="G184" s="14"/>
      <c r="H184" s="14"/>
      <c r="I184" s="14"/>
      <c r="J184" s="14"/>
      <c r="K184" s="13">
        <f t="shared" si="8"/>
        <v>6345.88</v>
      </c>
      <c r="L184" s="13">
        <f t="shared" si="9"/>
        <v>0</v>
      </c>
      <c r="M184" s="14">
        <v>6345.88</v>
      </c>
      <c r="N184" s="14"/>
      <c r="O184" s="14"/>
      <c r="P184" s="14"/>
      <c r="Q184" s="14"/>
      <c r="R184" s="14"/>
      <c r="S184" s="23"/>
    </row>
    <row r="185" spans="1:19" ht="12.5" x14ac:dyDescent="0.25">
      <c r="A185" s="8" t="s">
        <v>120</v>
      </c>
      <c r="B185" s="4">
        <v>913</v>
      </c>
      <c r="C185" s="44">
        <f t="shared" si="7"/>
        <v>0</v>
      </c>
      <c r="D185" s="44">
        <f t="shared" si="7"/>
        <v>0</v>
      </c>
      <c r="E185" s="43"/>
      <c r="F185" s="14"/>
      <c r="G185" s="14"/>
      <c r="H185" s="14"/>
      <c r="I185" s="14"/>
      <c r="J185" s="14"/>
      <c r="K185" s="13">
        <f t="shared" si="8"/>
        <v>16343.2</v>
      </c>
      <c r="L185" s="13">
        <f t="shared" si="9"/>
        <v>0</v>
      </c>
      <c r="M185" s="14">
        <v>16343.2</v>
      </c>
      <c r="N185" s="14"/>
      <c r="O185" s="14"/>
      <c r="P185" s="14"/>
      <c r="Q185" s="14"/>
      <c r="R185" s="14"/>
      <c r="S185" s="23"/>
    </row>
    <row r="186" spans="1:19" ht="12.5" x14ac:dyDescent="0.25">
      <c r="A186" s="8" t="s">
        <v>121</v>
      </c>
      <c r="B186" s="4">
        <v>914</v>
      </c>
      <c r="C186" s="44">
        <f t="shared" si="7"/>
        <v>477409.08</v>
      </c>
      <c r="D186" s="44">
        <f t="shared" si="7"/>
        <v>0</v>
      </c>
      <c r="E186" s="43">
        <v>477409.08</v>
      </c>
      <c r="F186" s="14"/>
      <c r="G186" s="14"/>
      <c r="H186" s="14"/>
      <c r="I186" s="14"/>
      <c r="J186" s="14"/>
      <c r="K186" s="13">
        <f t="shared" si="8"/>
        <v>55886.28</v>
      </c>
      <c r="L186" s="13">
        <f t="shared" si="9"/>
        <v>0</v>
      </c>
      <c r="M186" s="14">
        <v>55886.28</v>
      </c>
      <c r="N186" s="14"/>
      <c r="O186" s="14"/>
      <c r="P186" s="14"/>
      <c r="Q186" s="14"/>
      <c r="R186" s="14"/>
      <c r="S186" s="23"/>
    </row>
    <row r="187" spans="1:19" ht="12.5" x14ac:dyDescent="0.25">
      <c r="A187" s="8" t="s">
        <v>122</v>
      </c>
      <c r="B187" s="4">
        <v>921</v>
      </c>
      <c r="C187" s="44">
        <f t="shared" si="7"/>
        <v>92822.21</v>
      </c>
      <c r="D187" s="44">
        <f t="shared" si="7"/>
        <v>0</v>
      </c>
      <c r="E187" s="43">
        <v>92822.21</v>
      </c>
      <c r="F187" s="14"/>
      <c r="G187" s="14"/>
      <c r="H187" s="14"/>
      <c r="I187" s="14"/>
      <c r="J187" s="14"/>
      <c r="K187" s="13">
        <f t="shared" si="8"/>
        <v>148127.6</v>
      </c>
      <c r="L187" s="13">
        <f t="shared" si="9"/>
        <v>0</v>
      </c>
      <c r="M187" s="14">
        <v>148127.6</v>
      </c>
      <c r="N187" s="14"/>
      <c r="O187" s="14"/>
      <c r="P187" s="14"/>
      <c r="Q187" s="14"/>
      <c r="R187" s="14"/>
      <c r="S187" s="23"/>
    </row>
    <row r="188" spans="1:19" ht="12.5" x14ac:dyDescent="0.25">
      <c r="A188" s="8" t="s">
        <v>123</v>
      </c>
      <c r="B188" s="4">
        <v>922</v>
      </c>
      <c r="C188" s="44">
        <f t="shared" si="7"/>
        <v>27515.7</v>
      </c>
      <c r="D188" s="44">
        <f t="shared" si="7"/>
        <v>0</v>
      </c>
      <c r="E188" s="43">
        <v>27515.7</v>
      </c>
      <c r="F188" s="14"/>
      <c r="G188" s="14"/>
      <c r="H188" s="14"/>
      <c r="I188" s="14"/>
      <c r="J188" s="14"/>
      <c r="K188" s="13">
        <f t="shared" si="8"/>
        <v>203561.8</v>
      </c>
      <c r="L188" s="13">
        <f t="shared" si="9"/>
        <v>0</v>
      </c>
      <c r="M188" s="14">
        <v>203561.8</v>
      </c>
      <c r="N188" s="14"/>
      <c r="O188" s="14"/>
      <c r="P188" s="14"/>
      <c r="Q188" s="14"/>
      <c r="R188" s="14"/>
      <c r="S188" s="23"/>
    </row>
    <row r="189" spans="1:19" ht="12.5" x14ac:dyDescent="0.25">
      <c r="A189" s="8" t="s">
        <v>129</v>
      </c>
      <c r="B189" s="4">
        <v>923</v>
      </c>
      <c r="C189" s="44">
        <f t="shared" si="7"/>
        <v>275743.19</v>
      </c>
      <c r="D189" s="44">
        <f t="shared" si="7"/>
        <v>0</v>
      </c>
      <c r="E189" s="43">
        <v>275743.19</v>
      </c>
      <c r="F189" s="14"/>
      <c r="G189" s="14"/>
      <c r="H189" s="14"/>
      <c r="I189" s="14"/>
      <c r="J189" s="14"/>
      <c r="K189" s="13">
        <f t="shared" si="8"/>
        <v>281759.35999999999</v>
      </c>
      <c r="L189" s="13">
        <f t="shared" si="9"/>
        <v>0</v>
      </c>
      <c r="M189" s="14">
        <v>281759.35999999999</v>
      </c>
      <c r="N189" s="14"/>
      <c r="O189" s="14"/>
      <c r="P189" s="14"/>
      <c r="Q189" s="14"/>
      <c r="R189" s="14"/>
      <c r="S189" s="23"/>
    </row>
    <row r="190" spans="1:19" ht="12.5" x14ac:dyDescent="0.25">
      <c r="A190" s="8" t="s">
        <v>124</v>
      </c>
      <c r="B190" s="4">
        <v>924</v>
      </c>
      <c r="C190" s="44">
        <f t="shared" si="7"/>
        <v>9063.48</v>
      </c>
      <c r="D190" s="44">
        <f t="shared" si="7"/>
        <v>0</v>
      </c>
      <c r="E190" s="43">
        <v>9063.48</v>
      </c>
      <c r="F190" s="14"/>
      <c r="G190" s="14"/>
      <c r="H190" s="14"/>
      <c r="I190" s="14"/>
      <c r="J190" s="14"/>
      <c r="K190" s="13">
        <f t="shared" si="8"/>
        <v>5740</v>
      </c>
      <c r="L190" s="13">
        <f t="shared" si="9"/>
        <v>0</v>
      </c>
      <c r="M190" s="14">
        <v>5740</v>
      </c>
      <c r="N190" s="14"/>
      <c r="O190" s="14"/>
      <c r="P190" s="14"/>
      <c r="Q190" s="14"/>
      <c r="R190" s="14"/>
      <c r="S190" s="23"/>
    </row>
    <row r="191" spans="1:19" ht="12.5" x14ac:dyDescent="0.25">
      <c r="A191" s="8" t="s">
        <v>125</v>
      </c>
      <c r="B191" s="4">
        <v>929</v>
      </c>
      <c r="C191" s="44">
        <f t="shared" si="7"/>
        <v>58094.6</v>
      </c>
      <c r="D191" s="44">
        <f t="shared" si="7"/>
        <v>0</v>
      </c>
      <c r="E191" s="43">
        <v>58094.6</v>
      </c>
      <c r="F191" s="14"/>
      <c r="G191" s="14"/>
      <c r="H191" s="14"/>
      <c r="I191" s="14"/>
      <c r="J191" s="14"/>
      <c r="K191" s="13">
        <f t="shared" si="8"/>
        <v>86255.25</v>
      </c>
      <c r="L191" s="13">
        <f t="shared" si="9"/>
        <v>0</v>
      </c>
      <c r="M191" s="14">
        <v>86255.25</v>
      </c>
      <c r="N191" s="14"/>
      <c r="O191" s="14"/>
      <c r="P191" s="14"/>
      <c r="Q191" s="14"/>
      <c r="R191" s="14"/>
      <c r="S191" s="23"/>
    </row>
    <row r="192" spans="1:19" ht="12.5" x14ac:dyDescent="0.25">
      <c r="A192" s="8" t="s">
        <v>126</v>
      </c>
      <c r="B192" s="4">
        <v>930</v>
      </c>
      <c r="C192" s="44">
        <f t="shared" si="7"/>
        <v>175970</v>
      </c>
      <c r="D192" s="44">
        <f t="shared" si="7"/>
        <v>0</v>
      </c>
      <c r="E192" s="43">
        <v>175970</v>
      </c>
      <c r="F192" s="14"/>
      <c r="G192" s="14"/>
      <c r="H192" s="14"/>
      <c r="I192" s="14"/>
      <c r="J192" s="14"/>
      <c r="K192" s="13">
        <f t="shared" si="8"/>
        <v>370331.16</v>
      </c>
      <c r="L192" s="13">
        <f t="shared" si="9"/>
        <v>0</v>
      </c>
      <c r="M192" s="14">
        <v>370331.16</v>
      </c>
      <c r="N192" s="14"/>
      <c r="O192" s="14"/>
      <c r="P192" s="14"/>
      <c r="Q192" s="14"/>
      <c r="R192" s="14"/>
      <c r="S192" s="23"/>
    </row>
    <row r="193" spans="1:19" ht="12.5" x14ac:dyDescent="0.25">
      <c r="A193" s="8" t="s">
        <v>479</v>
      </c>
      <c r="B193" s="4">
        <v>936</v>
      </c>
      <c r="C193" s="44">
        <f t="shared" si="7"/>
        <v>31519.200000000001</v>
      </c>
      <c r="D193" s="44">
        <f t="shared" si="7"/>
        <v>0</v>
      </c>
      <c r="E193" s="43">
        <v>31519.200000000001</v>
      </c>
      <c r="F193" s="14"/>
      <c r="G193" s="14"/>
      <c r="H193" s="14"/>
      <c r="I193" s="14"/>
      <c r="J193" s="14"/>
      <c r="K193" s="13"/>
      <c r="L193" s="13"/>
      <c r="M193" s="14"/>
      <c r="N193" s="14"/>
      <c r="O193" s="14"/>
      <c r="P193" s="14"/>
      <c r="Q193" s="14"/>
      <c r="R193" s="14"/>
      <c r="S193" s="23"/>
    </row>
    <row r="194" spans="1:19" ht="12.5" x14ac:dyDescent="0.25">
      <c r="A194" s="8" t="s">
        <v>127</v>
      </c>
      <c r="B194" s="4">
        <v>940</v>
      </c>
      <c r="C194" s="44">
        <f t="shared" si="7"/>
        <v>39890</v>
      </c>
      <c r="D194" s="44">
        <f t="shared" si="7"/>
        <v>0</v>
      </c>
      <c r="E194" s="43">
        <v>39890</v>
      </c>
      <c r="F194" s="14"/>
      <c r="G194" s="14"/>
      <c r="H194" s="14"/>
      <c r="I194" s="14"/>
      <c r="J194" s="14"/>
      <c r="K194" s="13">
        <f t="shared" si="8"/>
        <v>138432.82</v>
      </c>
      <c r="L194" s="13">
        <f t="shared" si="9"/>
        <v>0</v>
      </c>
      <c r="M194" s="14">
        <v>138432.82</v>
      </c>
      <c r="N194" s="14"/>
      <c r="O194" s="14"/>
      <c r="P194" s="14"/>
      <c r="Q194" s="14"/>
      <c r="R194" s="14"/>
      <c r="S194" s="23"/>
    </row>
    <row r="195" spans="1:19" ht="12.5" x14ac:dyDescent="0.25">
      <c r="A195" s="8" t="s">
        <v>128</v>
      </c>
      <c r="B195" s="4">
        <v>941</v>
      </c>
      <c r="C195" s="44">
        <f t="shared" si="7"/>
        <v>1075013.01</v>
      </c>
      <c r="D195" s="44">
        <f t="shared" si="7"/>
        <v>0</v>
      </c>
      <c r="E195" s="43">
        <v>1075013.01</v>
      </c>
      <c r="F195" s="14"/>
      <c r="G195" s="14"/>
      <c r="H195" s="14"/>
      <c r="I195" s="14"/>
      <c r="J195" s="14"/>
      <c r="K195" s="13">
        <f t="shared" si="8"/>
        <v>191799.21</v>
      </c>
      <c r="L195" s="13">
        <f t="shared" si="9"/>
        <v>0</v>
      </c>
      <c r="M195" s="14">
        <v>191799.21</v>
      </c>
      <c r="N195" s="14"/>
      <c r="O195" s="14"/>
      <c r="P195" s="14"/>
      <c r="Q195" s="14"/>
      <c r="R195" s="14"/>
      <c r="S195" s="23"/>
    </row>
    <row r="196" spans="1:19" ht="12.5" x14ac:dyDescent="0.25">
      <c r="A196" s="8" t="s">
        <v>160</v>
      </c>
      <c r="B196" s="4">
        <v>948</v>
      </c>
      <c r="C196" s="44">
        <f t="shared" si="7"/>
        <v>0</v>
      </c>
      <c r="D196" s="44">
        <f t="shared" si="7"/>
        <v>0</v>
      </c>
      <c r="E196" s="43"/>
      <c r="F196" s="14"/>
      <c r="G196" s="14"/>
      <c r="H196" s="14"/>
      <c r="I196" s="14"/>
      <c r="J196" s="14"/>
      <c r="K196" s="13">
        <f t="shared" si="8"/>
        <v>9450</v>
      </c>
      <c r="L196" s="13">
        <f t="shared" si="9"/>
        <v>0</v>
      </c>
      <c r="M196" s="14">
        <v>9450</v>
      </c>
      <c r="N196" s="14"/>
      <c r="O196" s="14"/>
      <c r="P196" s="14"/>
      <c r="Q196" s="14"/>
      <c r="R196" s="14"/>
      <c r="S196" s="23"/>
    </row>
    <row r="197" spans="1:19" ht="12.5" x14ac:dyDescent="0.25">
      <c r="A197" s="8" t="s">
        <v>101</v>
      </c>
      <c r="B197" s="4">
        <v>954</v>
      </c>
      <c r="C197" s="44">
        <f t="shared" si="7"/>
        <v>16256.91</v>
      </c>
      <c r="D197" s="44">
        <f t="shared" si="7"/>
        <v>0</v>
      </c>
      <c r="E197" s="43">
        <v>16256.91</v>
      </c>
      <c r="F197" s="14"/>
      <c r="G197" s="14"/>
      <c r="H197" s="14"/>
      <c r="I197" s="14"/>
      <c r="J197" s="14"/>
      <c r="K197" s="13">
        <f t="shared" si="8"/>
        <v>15602.37</v>
      </c>
      <c r="L197" s="13">
        <f t="shared" si="9"/>
        <v>0</v>
      </c>
      <c r="M197" s="14">
        <v>15602.37</v>
      </c>
      <c r="N197" s="14"/>
      <c r="O197" s="14"/>
      <c r="P197" s="14"/>
      <c r="Q197" s="14"/>
      <c r="R197" s="14"/>
      <c r="S197" s="23"/>
    </row>
    <row r="198" spans="1:19" ht="12.5" x14ac:dyDescent="0.25">
      <c r="A198" s="8"/>
      <c r="B198" s="4"/>
      <c r="C198" s="44"/>
      <c r="D198" s="44"/>
      <c r="E198" s="43"/>
      <c r="F198" s="14"/>
      <c r="G198" s="14"/>
      <c r="H198" s="14"/>
      <c r="I198" s="14"/>
      <c r="J198" s="14"/>
      <c r="K198" s="13"/>
      <c r="L198" s="13"/>
      <c r="M198" s="14"/>
      <c r="N198" s="14"/>
      <c r="O198" s="14"/>
      <c r="P198" s="14"/>
      <c r="Q198" s="14"/>
      <c r="R198" s="14"/>
      <c r="S198" s="23"/>
    </row>
    <row r="199" spans="1:19" ht="12.5" x14ac:dyDescent="0.25">
      <c r="A199" s="8"/>
      <c r="B199" s="4"/>
      <c r="C199" s="44"/>
      <c r="D199" s="44"/>
      <c r="E199" s="43"/>
      <c r="F199" s="14"/>
      <c r="G199" s="14"/>
      <c r="H199" s="14"/>
      <c r="I199" s="14"/>
      <c r="J199" s="14"/>
      <c r="K199" s="13"/>
      <c r="L199" s="13"/>
      <c r="M199" s="14"/>
      <c r="N199" s="14"/>
      <c r="O199" s="14"/>
      <c r="P199" s="14"/>
      <c r="Q199" s="14"/>
      <c r="R199" s="14"/>
      <c r="S199" s="23"/>
    </row>
    <row r="200" spans="1:19" ht="12.5" x14ac:dyDescent="0.25">
      <c r="A200" s="8"/>
      <c r="B200" s="4"/>
      <c r="C200" s="44"/>
      <c r="D200" s="44"/>
      <c r="E200" s="43"/>
      <c r="F200" s="14"/>
      <c r="G200" s="14"/>
      <c r="H200" s="14"/>
      <c r="I200" s="14"/>
      <c r="J200" s="14"/>
      <c r="K200" s="13"/>
      <c r="L200" s="13"/>
      <c r="M200" s="14"/>
      <c r="N200" s="14"/>
      <c r="O200" s="14"/>
      <c r="P200" s="14"/>
      <c r="Q200" s="14"/>
      <c r="R200" s="14"/>
      <c r="S200" s="23"/>
    </row>
    <row r="201" spans="1:19" ht="12.5" x14ac:dyDescent="0.25">
      <c r="A201" s="8"/>
      <c r="B201" s="4"/>
      <c r="C201" s="44"/>
      <c r="D201" s="44"/>
      <c r="E201" s="43"/>
      <c r="F201" s="14"/>
      <c r="G201" s="14"/>
      <c r="H201" s="14"/>
      <c r="I201" s="14"/>
      <c r="J201" s="14"/>
      <c r="K201" s="13"/>
      <c r="L201" s="13"/>
      <c r="M201" s="14"/>
      <c r="N201" s="14"/>
      <c r="O201" s="14"/>
      <c r="P201" s="14"/>
      <c r="Q201" s="14"/>
      <c r="R201" s="14"/>
      <c r="S201" s="23"/>
    </row>
    <row r="202" spans="1:19" ht="12.5" x14ac:dyDescent="0.25">
      <c r="A202" s="8"/>
      <c r="B202" s="4"/>
      <c r="C202" s="44"/>
      <c r="D202" s="44"/>
      <c r="E202" s="43"/>
      <c r="F202" s="14"/>
      <c r="G202" s="14"/>
      <c r="H202" s="14"/>
      <c r="I202" s="14"/>
      <c r="J202" s="14"/>
      <c r="K202" s="13"/>
      <c r="L202" s="13"/>
      <c r="M202" s="14"/>
      <c r="N202" s="14"/>
      <c r="O202" s="14"/>
      <c r="P202" s="14"/>
      <c r="Q202" s="14"/>
      <c r="R202" s="14"/>
      <c r="S202" s="23"/>
    </row>
    <row r="203" spans="1:19" ht="12.5" x14ac:dyDescent="0.25">
      <c r="A203" s="8"/>
      <c r="B203" s="4"/>
      <c r="C203" s="44"/>
      <c r="D203" s="44"/>
      <c r="E203" s="43"/>
      <c r="F203" s="14"/>
      <c r="G203" s="14"/>
      <c r="H203" s="14"/>
      <c r="I203" s="14"/>
      <c r="J203" s="14"/>
      <c r="K203" s="13"/>
      <c r="L203" s="13"/>
      <c r="M203" s="14"/>
      <c r="N203" s="14"/>
      <c r="O203" s="14"/>
      <c r="P203" s="14"/>
      <c r="Q203" s="14"/>
      <c r="R203" s="14"/>
      <c r="S203" s="23"/>
    </row>
    <row r="204" spans="1:19" ht="12.5" x14ac:dyDescent="0.25">
      <c r="A204" s="8"/>
      <c r="B204" s="4"/>
      <c r="C204" s="44"/>
      <c r="D204" s="44"/>
      <c r="E204" s="43"/>
      <c r="F204" s="14"/>
      <c r="G204" s="14"/>
      <c r="H204" s="14"/>
      <c r="I204" s="14"/>
      <c r="J204" s="14"/>
      <c r="K204" s="13"/>
      <c r="L204" s="13"/>
      <c r="M204" s="14"/>
      <c r="N204" s="14"/>
      <c r="O204" s="14"/>
      <c r="P204" s="14"/>
      <c r="Q204" s="14"/>
      <c r="R204" s="14"/>
      <c r="S204" s="23"/>
    </row>
    <row r="205" spans="1:19" ht="12.5" x14ac:dyDescent="0.25">
      <c r="A205" s="8"/>
      <c r="B205" s="4"/>
      <c r="C205" s="44"/>
      <c r="D205" s="44"/>
      <c r="E205" s="43"/>
      <c r="F205" s="14"/>
      <c r="G205" s="14"/>
      <c r="H205" s="14"/>
      <c r="I205" s="14"/>
      <c r="J205" s="14"/>
      <c r="K205" s="13"/>
      <c r="L205" s="13"/>
      <c r="M205" s="14"/>
      <c r="N205" s="14"/>
      <c r="O205" s="14"/>
      <c r="P205" s="14"/>
      <c r="Q205" s="14"/>
      <c r="R205" s="14"/>
      <c r="S205" s="23"/>
    </row>
    <row r="206" spans="1:19" ht="12.5" x14ac:dyDescent="0.25">
      <c r="A206" s="8"/>
      <c r="B206" s="4"/>
      <c r="C206" s="44"/>
      <c r="D206" s="44"/>
      <c r="E206" s="43"/>
      <c r="F206" s="14"/>
      <c r="G206" s="14"/>
      <c r="H206" s="14"/>
      <c r="I206" s="14"/>
      <c r="J206" s="14"/>
      <c r="K206" s="13"/>
      <c r="L206" s="13"/>
      <c r="M206" s="14"/>
      <c r="N206" s="14"/>
      <c r="O206" s="14"/>
      <c r="P206" s="14"/>
      <c r="Q206" s="14"/>
      <c r="R206" s="14"/>
      <c r="S206" s="23"/>
    </row>
    <row r="207" spans="1:19" ht="12.5" x14ac:dyDescent="0.25">
      <c r="A207" s="8"/>
      <c r="B207" s="4"/>
      <c r="C207" s="44"/>
      <c r="D207" s="44"/>
      <c r="E207" s="43"/>
      <c r="F207" s="14"/>
      <c r="G207" s="14"/>
      <c r="H207" s="14"/>
      <c r="I207" s="14"/>
      <c r="J207" s="14"/>
      <c r="K207" s="13"/>
      <c r="L207" s="13"/>
      <c r="M207" s="14"/>
      <c r="N207" s="14"/>
      <c r="O207" s="14"/>
      <c r="P207" s="14"/>
      <c r="Q207" s="14"/>
      <c r="R207" s="14"/>
      <c r="S207" s="23"/>
    </row>
    <row r="208" spans="1:19" ht="12.5" x14ac:dyDescent="0.25">
      <c r="A208" s="8" t="s">
        <v>102</v>
      </c>
      <c r="B208" s="4">
        <v>969</v>
      </c>
      <c r="C208" s="44">
        <f t="shared" si="7"/>
        <v>4204430.1900000004</v>
      </c>
      <c r="D208" s="44">
        <f t="shared" si="7"/>
        <v>0</v>
      </c>
      <c r="E208" s="43">
        <v>4204430.1900000004</v>
      </c>
      <c r="F208" s="14"/>
      <c r="G208" s="14"/>
      <c r="H208" s="14"/>
      <c r="I208" s="14"/>
      <c r="J208" s="14"/>
      <c r="K208" s="13">
        <f t="shared" si="8"/>
        <v>4091014.42</v>
      </c>
      <c r="L208" s="13">
        <f t="shared" si="9"/>
        <v>0</v>
      </c>
      <c r="M208" s="14">
        <v>3915047.38</v>
      </c>
      <c r="N208" s="14"/>
      <c r="O208" s="14">
        <v>175967.04</v>
      </c>
      <c r="P208" s="14"/>
      <c r="Q208" s="14"/>
      <c r="R208" s="14"/>
      <c r="S208" s="23"/>
    </row>
    <row r="209" spans="1:19" ht="12.5" x14ac:dyDescent="0.25">
      <c r="A209" s="8" t="s">
        <v>146</v>
      </c>
      <c r="B209" s="4">
        <v>971</v>
      </c>
      <c r="C209" s="44">
        <f t="shared" si="7"/>
        <v>428</v>
      </c>
      <c r="D209" s="44">
        <f t="shared" si="7"/>
        <v>0</v>
      </c>
      <c r="E209" s="43">
        <v>428</v>
      </c>
      <c r="F209" s="14"/>
      <c r="G209" s="14"/>
      <c r="H209" s="14"/>
      <c r="I209" s="14"/>
      <c r="J209" s="14"/>
      <c r="K209" s="13">
        <f t="shared" si="8"/>
        <v>9614</v>
      </c>
      <c r="L209" s="13">
        <f t="shared" si="9"/>
        <v>0</v>
      </c>
      <c r="M209" s="14">
        <v>9614</v>
      </c>
      <c r="N209" s="14"/>
      <c r="O209" s="14"/>
      <c r="P209" s="14"/>
      <c r="Q209" s="14"/>
      <c r="R209" s="14"/>
      <c r="S209" s="23"/>
    </row>
    <row r="210" spans="1:19" ht="12.5" x14ac:dyDescent="0.25">
      <c r="A210" s="8" t="s">
        <v>169</v>
      </c>
      <c r="B210" s="4">
        <v>974</v>
      </c>
      <c r="C210" s="44">
        <f t="shared" si="7"/>
        <v>0</v>
      </c>
      <c r="D210" s="44">
        <f t="shared" si="7"/>
        <v>0</v>
      </c>
      <c r="E210" s="43"/>
      <c r="F210" s="14"/>
      <c r="G210" s="14"/>
      <c r="H210" s="14"/>
      <c r="I210" s="14"/>
      <c r="J210" s="14"/>
      <c r="K210" s="13">
        <f t="shared" si="8"/>
        <v>0</v>
      </c>
      <c r="L210" s="13">
        <f t="shared" si="9"/>
        <v>0</v>
      </c>
      <c r="M210" s="14"/>
      <c r="N210" s="14"/>
      <c r="O210" s="14"/>
      <c r="P210" s="14"/>
      <c r="Q210" s="14"/>
      <c r="R210" s="14"/>
      <c r="S210" s="23"/>
    </row>
    <row r="211" spans="1:19" ht="12.5" x14ac:dyDescent="0.25">
      <c r="A211" s="8" t="s">
        <v>103</v>
      </c>
      <c r="B211" s="4">
        <v>975</v>
      </c>
      <c r="C211" s="44">
        <f t="shared" si="7"/>
        <v>1391085.64</v>
      </c>
      <c r="D211" s="44">
        <f t="shared" si="7"/>
        <v>0</v>
      </c>
      <c r="E211" s="43">
        <v>1391085.64</v>
      </c>
      <c r="F211" s="14"/>
      <c r="G211" s="14"/>
      <c r="H211" s="14"/>
      <c r="I211" s="14"/>
      <c r="J211" s="14"/>
      <c r="K211" s="13">
        <f t="shared" si="8"/>
        <v>1743769.95</v>
      </c>
      <c r="L211" s="13">
        <f t="shared" si="9"/>
        <v>0</v>
      </c>
      <c r="M211" s="14">
        <v>1743769.95</v>
      </c>
      <c r="N211" s="14"/>
      <c r="O211" s="14"/>
      <c r="P211" s="14"/>
      <c r="Q211" s="14"/>
      <c r="R211" s="14"/>
      <c r="S211" s="23"/>
    </row>
    <row r="212" spans="1:19" ht="12.5" x14ac:dyDescent="0.25">
      <c r="A212" s="8" t="s">
        <v>104</v>
      </c>
      <c r="B212" s="4">
        <v>979</v>
      </c>
      <c r="C212" s="44">
        <f t="shared" si="7"/>
        <v>0</v>
      </c>
      <c r="D212" s="44">
        <f t="shared" si="7"/>
        <v>0</v>
      </c>
      <c r="E212" s="43"/>
      <c r="F212" s="14"/>
      <c r="G212" s="14"/>
      <c r="H212" s="14"/>
      <c r="I212" s="14"/>
      <c r="J212" s="14"/>
      <c r="K212" s="13">
        <f t="shared" si="8"/>
        <v>0</v>
      </c>
      <c r="L212" s="13">
        <f t="shared" si="9"/>
        <v>0</v>
      </c>
      <c r="M212" s="14"/>
      <c r="N212" s="14"/>
      <c r="O212" s="14"/>
      <c r="P212" s="14"/>
      <c r="Q212" s="14"/>
      <c r="R212" s="14"/>
      <c r="S212" s="23"/>
    </row>
    <row r="213" spans="1:19" ht="12.5" x14ac:dyDescent="0.25">
      <c r="A213" s="8"/>
      <c r="B213" s="4"/>
      <c r="C213" s="44"/>
      <c r="D213" s="44">
        <f t="shared" si="7"/>
        <v>0</v>
      </c>
      <c r="E213" s="43"/>
      <c r="F213" s="12"/>
      <c r="G213" s="12"/>
      <c r="H213" s="12"/>
      <c r="I213" s="12"/>
      <c r="J213" s="12"/>
      <c r="K213" s="12"/>
      <c r="L213" s="12"/>
      <c r="M213" s="14"/>
      <c r="N213" s="12"/>
      <c r="O213" s="12"/>
      <c r="P213" s="12"/>
      <c r="Q213" s="12"/>
      <c r="R213" s="12"/>
      <c r="S213" s="23"/>
    </row>
    <row r="214" spans="1:19" thickBot="1" x14ac:dyDescent="0.3">
      <c r="A214" s="4"/>
      <c r="B214" s="63" t="s">
        <v>106</v>
      </c>
      <c r="C214" s="55">
        <f>SUM(C10:C212)</f>
        <v>161745812.34</v>
      </c>
      <c r="D214" s="55">
        <f>SUM(D10:D212)</f>
        <v>161745812.34</v>
      </c>
      <c r="E214" s="61">
        <f>SUM(E10:E212)</f>
        <v>143306126.36999997</v>
      </c>
      <c r="F214" s="15">
        <f>SUM(F10:F212)</f>
        <v>143306126.37000003</v>
      </c>
      <c r="G214" s="15">
        <f t="shared" ref="G214:R214" si="10">SUM(G10:G212)</f>
        <v>914055.42999999993</v>
      </c>
      <c r="H214" s="15">
        <f t="shared" si="10"/>
        <v>914055.42999999993</v>
      </c>
      <c r="I214" s="15">
        <f t="shared" si="10"/>
        <v>17525630.539999999</v>
      </c>
      <c r="J214" s="15">
        <f t="shared" si="10"/>
        <v>17525630.539999999</v>
      </c>
      <c r="K214" s="15">
        <f t="shared" si="10"/>
        <v>136553554.38</v>
      </c>
      <c r="L214" s="15">
        <f t="shared" si="10"/>
        <v>136553554.38</v>
      </c>
      <c r="M214" s="15">
        <f t="shared" si="10"/>
        <v>135319095.07000002</v>
      </c>
      <c r="N214" s="15">
        <f t="shared" si="10"/>
        <v>135319095.07000002</v>
      </c>
      <c r="O214" s="15">
        <f t="shared" si="10"/>
        <v>852152.12</v>
      </c>
      <c r="P214" s="15">
        <f t="shared" si="10"/>
        <v>852152.12</v>
      </c>
      <c r="Q214" s="15">
        <f t="shared" si="10"/>
        <v>382307.19</v>
      </c>
      <c r="R214" s="15">
        <f t="shared" si="10"/>
        <v>382307.19</v>
      </c>
    </row>
    <row r="215" spans="1:19" thickTop="1" x14ac:dyDescent="0.25">
      <c r="A215" s="4"/>
      <c r="B215" s="63"/>
      <c r="C215" s="41"/>
      <c r="D215" s="41"/>
      <c r="E215" s="6"/>
      <c r="F215" s="6"/>
      <c r="G215" s="6"/>
      <c r="H215" s="6"/>
      <c r="I215" s="6"/>
      <c r="J215" s="6"/>
      <c r="K215" s="6"/>
      <c r="L215" s="6"/>
      <c r="M215" s="6"/>
      <c r="N215" s="6"/>
      <c r="O215" s="6"/>
      <c r="P215" s="6"/>
      <c r="Q215" s="6"/>
      <c r="R215" s="6"/>
    </row>
    <row r="216" spans="1:19" ht="12.5" x14ac:dyDescent="0.25">
      <c r="A216" s="4"/>
      <c r="B216" s="63"/>
      <c r="C216" s="41"/>
      <c r="D216" s="41"/>
      <c r="E216" s="6"/>
      <c r="F216" s="6"/>
      <c r="G216" s="6"/>
      <c r="H216" s="6"/>
      <c r="I216" s="6"/>
      <c r="J216" s="6"/>
      <c r="K216" s="6"/>
      <c r="L216" s="6"/>
      <c r="M216" s="6"/>
      <c r="N216" s="6"/>
      <c r="O216" s="6"/>
      <c r="P216" s="6"/>
      <c r="Q216" s="6"/>
      <c r="R216" s="6"/>
    </row>
    <row r="217" spans="1:19" ht="12.5" x14ac:dyDescent="0.25">
      <c r="A217" s="4"/>
      <c r="B217" s="63"/>
      <c r="C217" s="41"/>
      <c r="D217" s="41"/>
      <c r="E217" s="6"/>
      <c r="F217" s="6"/>
      <c r="G217" s="6"/>
      <c r="H217" s="6"/>
      <c r="I217" s="6"/>
      <c r="J217" s="6"/>
      <c r="K217" s="6"/>
      <c r="L217" s="6"/>
      <c r="M217" s="6"/>
      <c r="N217" s="6"/>
      <c r="O217" s="6"/>
      <c r="P217" s="6"/>
      <c r="Q217" s="6"/>
      <c r="R217" s="6"/>
    </row>
    <row r="218" spans="1:19" ht="12.5" x14ac:dyDescent="0.25">
      <c r="A218" s="4"/>
      <c r="B218" s="63"/>
      <c r="C218" s="41"/>
      <c r="D218" s="41"/>
      <c r="E218" s="6"/>
      <c r="F218" s="6"/>
      <c r="G218" s="6"/>
      <c r="H218" s="6"/>
      <c r="I218" s="6"/>
      <c r="J218" s="6"/>
      <c r="K218" s="6"/>
      <c r="L218" s="6"/>
      <c r="M218" s="6"/>
      <c r="N218" s="6"/>
      <c r="O218" s="6"/>
      <c r="P218" s="6"/>
      <c r="Q218" s="6"/>
      <c r="R218" s="6"/>
    </row>
    <row r="219" spans="1:19" ht="12.5" x14ac:dyDescent="0.25">
      <c r="A219" s="4"/>
      <c r="B219" s="63"/>
      <c r="C219" s="41"/>
      <c r="D219" s="41"/>
      <c r="E219" s="6"/>
      <c r="F219" s="6"/>
      <c r="G219" s="6"/>
      <c r="H219" s="6"/>
      <c r="I219" s="6"/>
      <c r="J219" s="6"/>
      <c r="K219" s="6"/>
      <c r="L219" s="6"/>
      <c r="M219" s="6"/>
      <c r="N219" s="6"/>
      <c r="O219" s="6"/>
      <c r="P219" s="6"/>
      <c r="Q219" s="6"/>
      <c r="R219" s="6"/>
    </row>
    <row r="220" spans="1:19" ht="12.5" x14ac:dyDescent="0.25">
      <c r="A220" s="4"/>
      <c r="B220" s="63"/>
      <c r="C220" s="41"/>
      <c r="D220" s="41"/>
      <c r="E220" s="6"/>
      <c r="F220" s="6"/>
      <c r="G220" s="6"/>
      <c r="H220" s="6"/>
      <c r="I220" s="6"/>
      <c r="J220" s="6"/>
      <c r="K220" s="6"/>
      <c r="L220" s="6"/>
      <c r="M220" s="6"/>
      <c r="N220" s="6"/>
      <c r="O220" s="6"/>
      <c r="P220" s="6"/>
      <c r="Q220" s="6"/>
      <c r="R220" s="6"/>
    </row>
    <row r="221" spans="1:19" ht="15.5" x14ac:dyDescent="0.35">
      <c r="A221" s="3"/>
      <c r="B221" s="2"/>
      <c r="C221" s="64"/>
      <c r="D221" s="6"/>
      <c r="E221" s="6"/>
      <c r="F221" s="6"/>
      <c r="G221" s="4" t="s">
        <v>5</v>
      </c>
      <c r="H221" s="8"/>
      <c r="R221" s="23"/>
    </row>
    <row r="222" spans="1:19" ht="15.5" x14ac:dyDescent="0.35">
      <c r="A222" s="56" t="s">
        <v>491</v>
      </c>
      <c r="B222" s="65" t="s">
        <v>442</v>
      </c>
      <c r="C222" s="3"/>
      <c r="D222" s="3"/>
      <c r="E222" s="3"/>
      <c r="F222" s="3"/>
      <c r="G222" s="8"/>
      <c r="H222" s="8"/>
    </row>
    <row r="223" spans="1:19" ht="15.5" x14ac:dyDescent="0.35">
      <c r="A223" s="3"/>
      <c r="B223" s="2"/>
      <c r="C223" s="2"/>
      <c r="D223" s="2"/>
      <c r="E223" s="2"/>
      <c r="F223" s="2"/>
      <c r="G223" s="4"/>
      <c r="H223" s="4" t="s">
        <v>105</v>
      </c>
    </row>
    <row r="224" spans="1:19" ht="15.5" x14ac:dyDescent="0.35">
      <c r="A224" s="66" t="s">
        <v>489</v>
      </c>
      <c r="B224" s="2"/>
      <c r="C224" s="385" t="s">
        <v>105</v>
      </c>
      <c r="D224" s="385"/>
      <c r="E224" s="2"/>
      <c r="F224" s="41"/>
      <c r="G224" s="4"/>
      <c r="H224" s="4" t="s">
        <v>6</v>
      </c>
    </row>
    <row r="225" spans="1:11" ht="15.5" x14ac:dyDescent="0.35">
      <c r="A225" s="4" t="s">
        <v>492</v>
      </c>
      <c r="B225" s="2"/>
      <c r="C225" s="343" t="s">
        <v>6</v>
      </c>
      <c r="D225" s="343"/>
      <c r="E225" s="2"/>
      <c r="F225" s="2"/>
      <c r="G225" s="2"/>
      <c r="H225" s="2"/>
      <c r="I225" s="4"/>
      <c r="J225" s="4"/>
      <c r="K225" t="s">
        <v>105</v>
      </c>
    </row>
    <row r="226" spans="1:11" ht="15.5" x14ac:dyDescent="0.35">
      <c r="A226" s="3"/>
      <c r="B226" s="2"/>
      <c r="C226" s="2"/>
      <c r="D226" s="2"/>
      <c r="E226" s="2"/>
      <c r="F226" s="2"/>
      <c r="G226" s="2"/>
      <c r="H226" s="2"/>
      <c r="I226" s="4"/>
      <c r="J226" s="4"/>
      <c r="K226" t="s">
        <v>6</v>
      </c>
    </row>
    <row r="227" spans="1:11" ht="15.5" x14ac:dyDescent="0.35">
      <c r="A227" s="3"/>
      <c r="B227" s="2"/>
      <c r="C227" s="2"/>
      <c r="D227" s="2"/>
      <c r="E227" s="2"/>
      <c r="F227" s="2"/>
      <c r="G227" s="2"/>
      <c r="H227" s="2"/>
      <c r="I227" s="4"/>
      <c r="J227" s="4"/>
    </row>
    <row r="228" spans="1:11" ht="15.5" x14ac:dyDescent="0.35">
      <c r="A228" s="3"/>
      <c r="B228" s="2"/>
      <c r="C228" s="2"/>
      <c r="D228" s="2"/>
      <c r="E228" s="2"/>
      <c r="F228" s="2"/>
      <c r="G228" s="2"/>
      <c r="H228" s="2"/>
      <c r="I228" s="4"/>
      <c r="J228" s="4"/>
    </row>
    <row r="229" spans="1:11" ht="15.5" x14ac:dyDescent="0.35">
      <c r="A229" s="3"/>
      <c r="B229" s="2"/>
      <c r="C229" s="2"/>
      <c r="D229" s="2"/>
      <c r="E229" s="2"/>
      <c r="F229" s="2"/>
      <c r="G229" s="2"/>
      <c r="H229" s="2"/>
      <c r="I229" s="4"/>
      <c r="J229" s="4"/>
    </row>
    <row r="230" spans="1:11" ht="15.5" x14ac:dyDescent="0.35">
      <c r="A230" s="3"/>
      <c r="B230" s="2"/>
      <c r="C230" s="2"/>
      <c r="D230" s="2"/>
      <c r="E230" s="2"/>
      <c r="F230" s="2"/>
      <c r="G230" s="2"/>
      <c r="H230" s="2"/>
      <c r="I230" s="4"/>
      <c r="J230" s="4"/>
    </row>
    <row r="231" spans="1:11" ht="15.5" x14ac:dyDescent="0.35">
      <c r="A231" s="3"/>
      <c r="B231" s="2"/>
      <c r="C231" s="2"/>
      <c r="D231" s="2"/>
      <c r="E231" s="2"/>
      <c r="F231" s="2"/>
      <c r="G231" s="2"/>
      <c r="H231" s="2"/>
      <c r="I231" s="4"/>
      <c r="J231" s="4"/>
    </row>
    <row r="232" spans="1:11" ht="15.5" x14ac:dyDescent="0.35">
      <c r="A232" s="3"/>
      <c r="B232" s="2"/>
      <c r="C232" s="2"/>
      <c r="D232" s="2"/>
      <c r="E232" s="2"/>
      <c r="F232" s="2"/>
      <c r="G232" s="2"/>
      <c r="H232" s="2"/>
      <c r="I232" s="4"/>
      <c r="J232" s="4"/>
    </row>
    <row r="233" spans="1:11" ht="15.5" x14ac:dyDescent="0.35">
      <c r="A233" s="3"/>
      <c r="B233" s="2"/>
      <c r="C233" s="2"/>
      <c r="D233" s="2"/>
      <c r="E233" s="2"/>
      <c r="F233" s="2"/>
      <c r="G233" s="2"/>
      <c r="H233" s="2"/>
      <c r="I233" s="4"/>
      <c r="J233" s="4"/>
    </row>
    <row r="234" spans="1:11" ht="15.5" x14ac:dyDescent="0.35">
      <c r="A234" s="3"/>
      <c r="B234" s="2"/>
      <c r="C234" s="2"/>
      <c r="D234" s="2"/>
      <c r="E234" s="2"/>
      <c r="F234" s="2"/>
      <c r="G234" s="2"/>
      <c r="H234" s="2"/>
      <c r="I234" s="4"/>
      <c r="J234" s="4"/>
    </row>
    <row r="235" spans="1:11" ht="15.5" x14ac:dyDescent="0.35">
      <c r="A235" s="3"/>
      <c r="B235" s="2"/>
      <c r="C235" s="2"/>
      <c r="D235" s="2"/>
      <c r="E235" s="2"/>
      <c r="F235" s="2"/>
      <c r="G235" s="2"/>
      <c r="H235" s="2"/>
      <c r="I235" s="4"/>
      <c r="J235" s="4"/>
    </row>
    <row r="236" spans="1:11" ht="15.5" x14ac:dyDescent="0.35">
      <c r="A236" s="3"/>
      <c r="B236" s="2"/>
      <c r="C236" s="2"/>
      <c r="D236" s="2"/>
      <c r="E236" s="2"/>
      <c r="F236" s="2"/>
      <c r="G236" s="2"/>
      <c r="H236" s="2"/>
      <c r="I236" s="4"/>
      <c r="J236" s="4"/>
    </row>
    <row r="237" spans="1:11" ht="15.5" x14ac:dyDescent="0.35">
      <c r="A237" s="3"/>
      <c r="B237" s="2"/>
      <c r="C237" s="2"/>
      <c r="D237" s="2"/>
      <c r="E237" s="2"/>
      <c r="F237" s="2"/>
      <c r="G237" s="2"/>
      <c r="H237" s="2"/>
      <c r="I237" s="4"/>
      <c r="J237" s="4"/>
    </row>
    <row r="238" spans="1:11" ht="15.5" x14ac:dyDescent="0.35">
      <c r="A238" s="3"/>
      <c r="B238" s="2"/>
      <c r="C238" s="2"/>
      <c r="D238" s="2"/>
      <c r="E238" s="2"/>
      <c r="F238" s="2"/>
      <c r="G238" s="2"/>
      <c r="H238" s="2"/>
      <c r="I238" s="4"/>
      <c r="J238" s="4"/>
    </row>
    <row r="239" spans="1:11" ht="15.5" x14ac:dyDescent="0.35">
      <c r="A239" s="3"/>
      <c r="B239" s="2"/>
      <c r="C239" s="2"/>
      <c r="D239" s="2"/>
      <c r="E239" s="2"/>
      <c r="F239" s="2"/>
      <c r="G239" s="2"/>
      <c r="H239" s="2"/>
      <c r="I239" s="4"/>
      <c r="J239" s="4"/>
    </row>
    <row r="240" spans="1:11" ht="15.5" x14ac:dyDescent="0.35">
      <c r="A240" s="3"/>
      <c r="B240" s="2"/>
      <c r="C240" s="2"/>
      <c r="D240" s="2"/>
      <c r="E240" s="2"/>
      <c r="F240" s="2"/>
      <c r="G240" s="2"/>
      <c r="H240" s="2"/>
      <c r="I240" s="4"/>
      <c r="J240" s="4"/>
    </row>
    <row r="241" spans="1:10" ht="15.5" x14ac:dyDescent="0.35">
      <c r="A241" s="3"/>
      <c r="B241" s="2"/>
      <c r="C241" s="2"/>
      <c r="D241" s="2"/>
      <c r="E241" s="2"/>
      <c r="F241" s="2"/>
      <c r="G241" s="2"/>
      <c r="H241" s="2"/>
      <c r="I241" s="4"/>
      <c r="J241" s="4"/>
    </row>
    <row r="242" spans="1:10" ht="15.5" x14ac:dyDescent="0.35">
      <c r="A242" s="3"/>
      <c r="B242" s="2"/>
      <c r="C242" s="2"/>
      <c r="D242" s="2"/>
      <c r="E242" s="2"/>
      <c r="F242" s="2"/>
      <c r="G242" s="2"/>
      <c r="H242" s="2"/>
      <c r="I242" s="4"/>
      <c r="J242" s="4"/>
    </row>
    <row r="243" spans="1:10" ht="15.5" x14ac:dyDescent="0.35">
      <c r="A243" s="3"/>
      <c r="B243" s="2"/>
      <c r="C243" s="2"/>
      <c r="D243" s="2"/>
      <c r="E243" s="2"/>
      <c r="F243" s="2"/>
      <c r="G243" s="2"/>
      <c r="H243" s="2"/>
      <c r="I243" s="4"/>
      <c r="J243" s="4"/>
    </row>
    <row r="244" spans="1:10" ht="15.5" x14ac:dyDescent="0.35">
      <c r="A244" s="3"/>
      <c r="B244" s="2"/>
      <c r="C244" s="2"/>
      <c r="D244" s="2"/>
      <c r="E244" s="2"/>
      <c r="F244" s="2"/>
      <c r="G244" s="2"/>
      <c r="H244" s="2"/>
      <c r="I244" s="4"/>
      <c r="J244" s="4"/>
    </row>
    <row r="245" spans="1:10" ht="15.5" x14ac:dyDescent="0.35">
      <c r="A245" s="3"/>
      <c r="B245" s="2"/>
      <c r="C245" s="2"/>
      <c r="D245" s="2"/>
      <c r="E245" s="2"/>
      <c r="F245" s="2"/>
      <c r="G245" s="2"/>
      <c r="H245" s="2"/>
      <c r="I245" s="4"/>
      <c r="J245" s="4"/>
    </row>
    <row r="246" spans="1:10" ht="15.5" x14ac:dyDescent="0.35">
      <c r="A246" s="3"/>
      <c r="B246" s="2"/>
      <c r="C246" s="2"/>
      <c r="D246" s="2"/>
      <c r="E246" s="2"/>
      <c r="F246" s="2"/>
      <c r="G246" s="2"/>
      <c r="H246" s="2"/>
      <c r="I246" s="4"/>
      <c r="J246" s="4"/>
    </row>
    <row r="247" spans="1:10" ht="15.5" x14ac:dyDescent="0.35">
      <c r="A247" s="3"/>
      <c r="B247" s="2"/>
      <c r="C247" s="2"/>
      <c r="D247" s="2"/>
      <c r="E247" s="2"/>
      <c r="F247" s="2"/>
      <c r="G247" s="2"/>
      <c r="H247" s="2"/>
      <c r="I247" s="4"/>
      <c r="J247" s="4"/>
    </row>
    <row r="248" spans="1:10" ht="15.5" x14ac:dyDescent="0.35">
      <c r="A248" s="3"/>
      <c r="B248" s="2"/>
      <c r="C248" s="2"/>
      <c r="D248" s="2"/>
      <c r="E248" s="2"/>
      <c r="F248" s="2"/>
      <c r="G248" s="2"/>
      <c r="H248" s="2"/>
      <c r="I248" s="4"/>
      <c r="J248" s="4"/>
    </row>
    <row r="249" spans="1:10" ht="15.5" x14ac:dyDescent="0.35">
      <c r="A249" s="3"/>
      <c r="B249" s="2"/>
      <c r="C249" s="2"/>
      <c r="D249" s="2"/>
      <c r="E249" s="2"/>
      <c r="F249" s="2"/>
      <c r="G249" s="2"/>
      <c r="H249" s="2"/>
      <c r="I249" s="4"/>
      <c r="J249" s="4"/>
    </row>
    <row r="250" spans="1:10" ht="15.5" x14ac:dyDescent="0.35">
      <c r="A250" s="3"/>
      <c r="B250" s="2"/>
      <c r="C250" s="2"/>
      <c r="D250" s="2"/>
      <c r="E250" s="2"/>
      <c r="F250" s="2"/>
      <c r="G250" s="2"/>
      <c r="H250" s="2"/>
      <c r="I250" s="4"/>
      <c r="J250" s="4"/>
    </row>
    <row r="251" spans="1:10" ht="15.5" x14ac:dyDescent="0.35">
      <c r="A251" s="3"/>
      <c r="B251" s="2"/>
      <c r="C251" s="2"/>
      <c r="D251" s="2"/>
      <c r="E251" s="2"/>
      <c r="F251" s="2"/>
      <c r="G251" s="2"/>
      <c r="H251" s="2"/>
      <c r="I251" s="4"/>
      <c r="J251" s="4"/>
    </row>
    <row r="252" spans="1:10" ht="15.5" x14ac:dyDescent="0.35">
      <c r="A252" s="3"/>
      <c r="B252" s="2"/>
      <c r="C252" s="2"/>
      <c r="D252" s="2"/>
      <c r="E252" s="2"/>
      <c r="F252" s="2"/>
      <c r="G252" s="2"/>
      <c r="H252" s="2"/>
      <c r="I252" s="4"/>
      <c r="J252" s="4"/>
    </row>
    <row r="253" spans="1:10" ht="15.5" x14ac:dyDescent="0.35">
      <c r="A253" s="3"/>
      <c r="B253" s="2"/>
      <c r="C253" s="2"/>
      <c r="D253" s="2"/>
      <c r="E253" s="2"/>
      <c r="F253" s="2"/>
      <c r="G253" s="2"/>
      <c r="H253" s="2"/>
      <c r="I253" s="4"/>
      <c r="J253" s="4"/>
    </row>
    <row r="254" spans="1:10" ht="15.5" x14ac:dyDescent="0.35">
      <c r="A254" s="3"/>
      <c r="B254" s="2"/>
      <c r="C254" s="2"/>
      <c r="D254" s="2"/>
      <c r="E254" s="2"/>
      <c r="F254" s="2"/>
      <c r="G254" s="2"/>
      <c r="H254" s="2"/>
      <c r="I254" s="4"/>
      <c r="J254" s="4"/>
    </row>
    <row r="255" spans="1:10" ht="15.5" x14ac:dyDescent="0.35">
      <c r="A255" s="3"/>
      <c r="B255" s="2"/>
      <c r="C255" s="2"/>
      <c r="D255" s="2"/>
      <c r="E255" s="2"/>
      <c r="F255" s="2"/>
      <c r="G255" s="2"/>
      <c r="H255" s="2"/>
      <c r="I255" s="4"/>
      <c r="J255" s="4"/>
    </row>
    <row r="256" spans="1:10" ht="15.5" x14ac:dyDescent="0.35">
      <c r="A256" s="3"/>
      <c r="B256" s="2"/>
      <c r="C256" s="2"/>
      <c r="D256" s="2"/>
      <c r="E256" s="2"/>
      <c r="F256" s="2"/>
      <c r="G256" s="2"/>
      <c r="H256" s="2"/>
      <c r="I256" s="4"/>
      <c r="J256" s="4"/>
    </row>
    <row r="257" spans="1:18" ht="15.5" x14ac:dyDescent="0.35">
      <c r="A257" s="3"/>
      <c r="B257" s="2"/>
      <c r="C257" s="2"/>
      <c r="D257" s="2"/>
      <c r="E257" s="2"/>
      <c r="F257" s="2"/>
      <c r="G257" s="2"/>
      <c r="H257" s="2"/>
      <c r="I257" s="4"/>
      <c r="J257" s="4"/>
    </row>
    <row r="258" spans="1:18" ht="15.5" x14ac:dyDescent="0.35">
      <c r="A258" s="3"/>
      <c r="B258" s="2"/>
      <c r="C258" s="2"/>
      <c r="D258" s="2"/>
      <c r="E258" s="2"/>
      <c r="F258" s="2"/>
      <c r="G258" s="2"/>
      <c r="H258" s="2"/>
      <c r="I258" s="4"/>
      <c r="J258" s="4"/>
    </row>
    <row r="259" spans="1:18" ht="15.5" x14ac:dyDescent="0.35">
      <c r="A259" s="3"/>
      <c r="B259" s="2"/>
      <c r="C259" s="2"/>
      <c r="D259" s="2"/>
      <c r="E259" s="2"/>
      <c r="F259" s="2"/>
      <c r="G259" s="2"/>
      <c r="H259" s="2"/>
      <c r="I259" s="4"/>
      <c r="J259" s="4"/>
    </row>
    <row r="260" spans="1:18" ht="15.5" x14ac:dyDescent="0.35">
      <c r="A260" s="3"/>
      <c r="B260" s="2"/>
      <c r="C260" s="2"/>
      <c r="D260" s="2"/>
      <c r="E260" s="2"/>
      <c r="F260" s="2"/>
      <c r="G260" s="2"/>
      <c r="H260" s="2"/>
      <c r="I260" s="4"/>
      <c r="J260" s="4"/>
    </row>
    <row r="261" spans="1:18" ht="15.5" x14ac:dyDescent="0.35">
      <c r="A261" s="3"/>
      <c r="B261" s="2"/>
      <c r="C261" s="2"/>
      <c r="D261" s="2"/>
      <c r="E261" s="2"/>
      <c r="F261" s="2"/>
      <c r="G261" s="2"/>
      <c r="H261" s="2"/>
      <c r="I261" s="4"/>
      <c r="J261" s="4"/>
    </row>
    <row r="262" spans="1:18" ht="15.5" x14ac:dyDescent="0.35">
      <c r="A262" s="3"/>
      <c r="B262" s="2"/>
      <c r="C262" s="2"/>
      <c r="D262" s="2"/>
      <c r="E262" s="2"/>
      <c r="F262" s="2"/>
      <c r="G262" s="2"/>
      <c r="H262" s="2"/>
      <c r="I262" s="4"/>
      <c r="J262" s="4"/>
    </row>
    <row r="263" spans="1:18" ht="14" x14ac:dyDescent="0.3">
      <c r="A263" s="347" t="s">
        <v>111</v>
      </c>
      <c r="B263" s="347"/>
      <c r="C263" s="347"/>
      <c r="D263" s="347"/>
      <c r="E263" s="37"/>
      <c r="F263" s="37"/>
      <c r="G263" s="37"/>
      <c r="H263" s="37"/>
      <c r="I263" s="37"/>
      <c r="J263" s="37"/>
      <c r="K263" s="37"/>
      <c r="L263" s="37"/>
      <c r="M263" s="37"/>
      <c r="N263" s="37"/>
      <c r="O263" s="37"/>
      <c r="P263" s="37"/>
      <c r="Q263" s="37"/>
      <c r="R263" s="37"/>
    </row>
    <row r="264" spans="1:18" ht="14" x14ac:dyDescent="0.3">
      <c r="A264" s="347" t="s">
        <v>112</v>
      </c>
      <c r="B264" s="347"/>
      <c r="C264" s="347"/>
      <c r="D264" s="347"/>
      <c r="E264" s="37"/>
      <c r="F264" s="37"/>
      <c r="G264" s="37"/>
      <c r="H264" s="37"/>
      <c r="I264" s="37"/>
      <c r="J264" s="37"/>
      <c r="K264" s="37"/>
      <c r="L264" s="37"/>
      <c r="M264" s="37"/>
      <c r="N264" s="37"/>
      <c r="O264" s="37"/>
      <c r="P264" s="37"/>
      <c r="Q264" s="37"/>
      <c r="R264" s="37"/>
    </row>
    <row r="265" spans="1:18" ht="14" x14ac:dyDescent="0.3">
      <c r="A265" s="347" t="s">
        <v>113</v>
      </c>
      <c r="B265" s="347"/>
      <c r="C265" s="347"/>
      <c r="D265" s="347"/>
      <c r="E265" s="37"/>
      <c r="F265" s="37"/>
      <c r="G265" s="37"/>
      <c r="H265" s="37"/>
      <c r="I265" s="37"/>
      <c r="J265" s="37"/>
      <c r="K265" s="37"/>
      <c r="L265" s="37"/>
      <c r="M265" s="37"/>
      <c r="N265" s="37"/>
      <c r="O265" s="37"/>
      <c r="P265" s="37"/>
      <c r="Q265" s="37"/>
      <c r="R265" s="37"/>
    </row>
    <row r="266" spans="1:18" ht="14" x14ac:dyDescent="0.3">
      <c r="A266" s="347" t="s">
        <v>130</v>
      </c>
      <c r="B266" s="347"/>
      <c r="C266" s="347"/>
      <c r="D266" s="347"/>
      <c r="E266" s="37"/>
      <c r="F266" s="37"/>
      <c r="G266" s="37"/>
      <c r="H266" s="37"/>
      <c r="I266" s="37"/>
      <c r="J266" s="37"/>
      <c r="K266" s="37"/>
      <c r="L266" s="37"/>
      <c r="M266" s="37"/>
      <c r="N266" s="37"/>
      <c r="O266" s="37"/>
      <c r="P266" s="37"/>
      <c r="Q266" s="37"/>
      <c r="R266" s="37"/>
    </row>
    <row r="267" spans="1:18" ht="14" x14ac:dyDescent="0.3">
      <c r="A267" s="347" t="s">
        <v>140</v>
      </c>
      <c r="B267" s="347"/>
      <c r="C267" s="347"/>
      <c r="D267" s="347"/>
      <c r="E267" s="37"/>
      <c r="F267" s="37"/>
      <c r="G267" s="37"/>
      <c r="H267" s="37"/>
      <c r="I267" s="37"/>
      <c r="J267" s="37"/>
      <c r="K267" s="37"/>
      <c r="L267" s="37"/>
      <c r="M267" s="37"/>
      <c r="N267" s="37"/>
      <c r="O267" s="37"/>
      <c r="P267" s="37"/>
      <c r="Q267" s="37"/>
      <c r="R267" s="37"/>
    </row>
    <row r="268" spans="1:18" ht="14" x14ac:dyDescent="0.3">
      <c r="A268" s="347" t="s">
        <v>464</v>
      </c>
      <c r="B268" s="347"/>
      <c r="C268" s="347"/>
      <c r="D268" s="347"/>
      <c r="E268" s="37"/>
      <c r="F268" s="37"/>
      <c r="G268" s="37"/>
      <c r="H268" s="37"/>
      <c r="I268" s="37"/>
      <c r="J268" s="37"/>
      <c r="K268" s="37"/>
      <c r="L268" s="37"/>
      <c r="M268" s="37"/>
      <c r="N268" s="37"/>
      <c r="O268" s="37"/>
      <c r="P268" s="37"/>
      <c r="Q268" s="37"/>
      <c r="R268" s="37"/>
    </row>
    <row r="269" spans="1:18" ht="15.5" x14ac:dyDescent="0.35">
      <c r="A269" s="1"/>
      <c r="B269" s="1"/>
      <c r="C269" s="1"/>
      <c r="D269" s="1"/>
      <c r="E269" s="1"/>
      <c r="F269" s="1"/>
      <c r="G269" s="1"/>
      <c r="H269" s="1"/>
      <c r="I269" s="1"/>
      <c r="J269" s="1"/>
    </row>
    <row r="270" spans="1:18" ht="12.5" x14ac:dyDescent="0.25">
      <c r="A270" s="4"/>
      <c r="B270" s="62" t="s">
        <v>2</v>
      </c>
      <c r="C270" s="386"/>
      <c r="D270" s="386"/>
      <c r="E270" s="387" t="s">
        <v>108</v>
      </c>
      <c r="F270" s="388"/>
      <c r="G270" s="387" t="s">
        <v>109</v>
      </c>
      <c r="H270" s="388"/>
      <c r="I270" s="387" t="s">
        <v>153</v>
      </c>
      <c r="J270" s="389"/>
      <c r="K270" s="9" t="s">
        <v>3</v>
      </c>
      <c r="L270" s="9" t="s">
        <v>4</v>
      </c>
      <c r="M270" s="389" t="s">
        <v>108</v>
      </c>
      <c r="N270" s="388"/>
      <c r="O270" s="387" t="s">
        <v>109</v>
      </c>
      <c r="P270" s="388"/>
      <c r="Q270" s="387" t="s">
        <v>153</v>
      </c>
      <c r="R270" s="388"/>
    </row>
    <row r="271" spans="1:18" ht="12.5" x14ac:dyDescent="0.25">
      <c r="A271" s="62" t="s">
        <v>1</v>
      </c>
      <c r="B271" s="62" t="s">
        <v>177</v>
      </c>
      <c r="C271" s="62" t="s">
        <v>3</v>
      </c>
      <c r="D271" s="62" t="s">
        <v>4</v>
      </c>
      <c r="E271" s="16" t="s">
        <v>3</v>
      </c>
      <c r="F271" s="11" t="s">
        <v>4</v>
      </c>
      <c r="G271" s="11" t="s">
        <v>3</v>
      </c>
      <c r="H271" s="11" t="s">
        <v>4</v>
      </c>
      <c r="I271" s="11" t="s">
        <v>3</v>
      </c>
      <c r="J271" s="10" t="s">
        <v>4</v>
      </c>
      <c r="K271" s="11" t="s">
        <v>178</v>
      </c>
      <c r="L271" s="11" t="s">
        <v>178</v>
      </c>
      <c r="M271" s="16" t="s">
        <v>3</v>
      </c>
      <c r="N271" s="11" t="s">
        <v>4</v>
      </c>
      <c r="O271" s="11" t="s">
        <v>3</v>
      </c>
      <c r="P271" s="11" t="s">
        <v>4</v>
      </c>
      <c r="Q271" s="11" t="s">
        <v>3</v>
      </c>
      <c r="R271" s="11" t="s">
        <v>4</v>
      </c>
    </row>
    <row r="272" spans="1:18" ht="12.5" x14ac:dyDescent="0.25">
      <c r="A272" s="8" t="s">
        <v>9</v>
      </c>
      <c r="B272" s="4">
        <v>101</v>
      </c>
      <c r="C272" s="44">
        <f t="shared" ref="C272:C340" si="11">E272+G272+I272</f>
        <v>257252.42</v>
      </c>
      <c r="D272" s="44">
        <f t="shared" ref="D272:D340" si="12">F272+H272+J272</f>
        <v>0</v>
      </c>
      <c r="E272" s="43">
        <v>83764.28</v>
      </c>
      <c r="F272" s="14"/>
      <c r="G272" s="14"/>
      <c r="H272" s="14"/>
      <c r="I272" s="14">
        <v>173488.14</v>
      </c>
      <c r="J272" s="14"/>
      <c r="K272" s="28">
        <f>M272+O272+Q272</f>
        <v>194059.18000000002</v>
      </c>
      <c r="L272" s="28">
        <f>N272+P272+R272</f>
        <v>0</v>
      </c>
      <c r="M272" s="14">
        <v>37513.730000000003</v>
      </c>
      <c r="N272" s="14"/>
      <c r="O272" s="14"/>
      <c r="P272" s="14"/>
      <c r="Q272" s="14">
        <f>31545.45+125000</f>
        <v>156545.45000000001</v>
      </c>
      <c r="R272" s="14"/>
    </row>
    <row r="273" spans="1:18" ht="12.5" x14ac:dyDescent="0.25">
      <c r="A273" s="8" t="s">
        <v>8</v>
      </c>
      <c r="B273" s="4">
        <v>103</v>
      </c>
      <c r="C273" s="44">
        <f t="shared" si="11"/>
        <v>512733.87</v>
      </c>
      <c r="D273" s="44">
        <f t="shared" si="12"/>
        <v>0</v>
      </c>
      <c r="E273" s="43">
        <v>104840.55</v>
      </c>
      <c r="F273" s="14"/>
      <c r="G273" s="14">
        <v>5603.59</v>
      </c>
      <c r="H273" s="14"/>
      <c r="I273" s="14">
        <v>402289.73</v>
      </c>
      <c r="J273" s="14"/>
      <c r="K273" s="13">
        <f t="shared" ref="K273:K315" si="13">M273+O273+Q273</f>
        <v>6482.28</v>
      </c>
      <c r="L273" s="13">
        <f t="shared" ref="L273:L315" si="14">N273+P273+R273</f>
        <v>0</v>
      </c>
      <c r="M273" s="14">
        <v>3940.1</v>
      </c>
      <c r="N273" s="14"/>
      <c r="O273" s="14">
        <v>2505.44</v>
      </c>
      <c r="P273" s="14"/>
      <c r="Q273" s="14">
        <v>36.74</v>
      </c>
      <c r="R273" s="14"/>
    </row>
    <row r="274" spans="1:18" ht="12.5" x14ac:dyDescent="0.25">
      <c r="A274" s="8" t="s">
        <v>149</v>
      </c>
      <c r="B274" s="4">
        <v>106</v>
      </c>
      <c r="C274" s="44">
        <f t="shared" si="11"/>
        <v>9528.5499999999993</v>
      </c>
      <c r="D274" s="44">
        <f t="shared" si="12"/>
        <v>0</v>
      </c>
      <c r="E274" s="43">
        <v>9528.5499999999993</v>
      </c>
      <c r="F274" s="14"/>
      <c r="G274" s="14"/>
      <c r="H274" s="14"/>
      <c r="J274" s="14"/>
      <c r="K274" s="13">
        <f t="shared" si="13"/>
        <v>14403.26</v>
      </c>
      <c r="L274" s="13">
        <f t="shared" si="14"/>
        <v>0</v>
      </c>
      <c r="M274" s="14">
        <v>14403.26</v>
      </c>
      <c r="N274" s="14"/>
      <c r="O274" s="14"/>
      <c r="P274" s="14"/>
      <c r="Q274" s="14"/>
      <c r="R274" s="14"/>
    </row>
    <row r="275" spans="1:18" ht="12.5" x14ac:dyDescent="0.25">
      <c r="A275" s="8" t="s">
        <v>7</v>
      </c>
      <c r="B275" s="4">
        <v>111</v>
      </c>
      <c r="C275" s="44">
        <f t="shared" si="11"/>
        <v>15347755.550000001</v>
      </c>
      <c r="D275" s="44">
        <f t="shared" si="12"/>
        <v>0</v>
      </c>
      <c r="E275" s="43">
        <v>5118458</v>
      </c>
      <c r="F275" s="14"/>
      <c r="G275" s="14">
        <v>197202.17</v>
      </c>
      <c r="H275" s="14"/>
      <c r="I275" s="14">
        <v>10032095.380000001</v>
      </c>
      <c r="J275" s="14"/>
      <c r="K275" s="13">
        <f t="shared" si="13"/>
        <v>11478955.719999999</v>
      </c>
      <c r="L275" s="13">
        <f t="shared" si="14"/>
        <v>0</v>
      </c>
      <c r="M275" s="14">
        <v>11087815.859999999</v>
      </c>
      <c r="N275" s="14"/>
      <c r="O275" s="14">
        <v>165414.85999999999</v>
      </c>
      <c r="P275" s="14"/>
      <c r="Q275" s="14">
        <v>225725</v>
      </c>
      <c r="R275" s="14"/>
    </row>
    <row r="276" spans="1:18" ht="12.5" x14ac:dyDescent="0.25">
      <c r="A276" s="8" t="s">
        <v>470</v>
      </c>
      <c r="B276" s="4">
        <v>121</v>
      </c>
      <c r="C276" s="44">
        <f t="shared" si="11"/>
        <v>12388.55</v>
      </c>
      <c r="D276" s="44">
        <f t="shared" si="12"/>
        <v>0</v>
      </c>
      <c r="E276" s="43">
        <v>12388.55</v>
      </c>
      <c r="F276" s="14"/>
      <c r="G276" s="14"/>
      <c r="H276" s="14"/>
      <c r="I276" s="14"/>
      <c r="J276" s="14"/>
      <c r="K276" s="13"/>
      <c r="L276" s="13"/>
      <c r="M276" s="14"/>
      <c r="N276" s="14"/>
      <c r="O276" s="14"/>
      <c r="P276" s="14"/>
      <c r="Q276" s="14"/>
      <c r="R276" s="14"/>
    </row>
    <row r="277" spans="1:18" ht="12.5" x14ac:dyDescent="0.25">
      <c r="A277" s="8" t="s">
        <v>157</v>
      </c>
      <c r="B277" s="4">
        <v>123</v>
      </c>
      <c r="C277" s="44">
        <f t="shared" si="11"/>
        <v>2910075.05</v>
      </c>
      <c r="D277" s="44">
        <f t="shared" si="12"/>
        <v>0</v>
      </c>
      <c r="E277" s="43">
        <v>2910075.05</v>
      </c>
      <c r="F277" s="14"/>
      <c r="G277" s="14"/>
      <c r="H277" s="14"/>
      <c r="I277" s="14"/>
      <c r="J277" s="14"/>
      <c r="K277" s="13">
        <f t="shared" si="13"/>
        <v>2279978.1599999997</v>
      </c>
      <c r="L277" s="13">
        <f t="shared" si="14"/>
        <v>0</v>
      </c>
      <c r="M277" s="14">
        <f>2249537.61+30440.55</f>
        <v>2279978.1599999997</v>
      </c>
      <c r="N277" s="14"/>
      <c r="O277" s="14"/>
      <c r="P277" s="14"/>
      <c r="Q277" s="14"/>
      <c r="R277" s="14"/>
    </row>
    <row r="278" spans="1:18" ht="12.5" x14ac:dyDescent="0.25">
      <c r="A278" s="8" t="s">
        <v>11</v>
      </c>
      <c r="B278" s="4">
        <v>127</v>
      </c>
      <c r="C278" s="44">
        <f t="shared" si="11"/>
        <v>15190711.75</v>
      </c>
      <c r="D278" s="44">
        <f t="shared" si="12"/>
        <v>0</v>
      </c>
      <c r="E278" s="43">
        <v>15190711.75</v>
      </c>
      <c r="F278" s="14"/>
      <c r="G278" s="14"/>
      <c r="H278" s="14"/>
      <c r="I278" s="14"/>
      <c r="J278" s="14"/>
      <c r="K278" s="13">
        <f t="shared" si="13"/>
        <v>14742267.380000001</v>
      </c>
      <c r="L278" s="13">
        <f t="shared" si="14"/>
        <v>0</v>
      </c>
      <c r="M278" s="14">
        <v>14742267.380000001</v>
      </c>
      <c r="N278" s="14"/>
      <c r="O278" s="14"/>
      <c r="P278" s="14"/>
      <c r="Q278" s="14"/>
      <c r="R278" s="14"/>
    </row>
    <row r="279" spans="1:18" ht="12.5" x14ac:dyDescent="0.25">
      <c r="A279" s="8" t="s">
        <v>114</v>
      </c>
      <c r="B279" s="4">
        <v>128</v>
      </c>
      <c r="C279" s="44">
        <f t="shared" si="11"/>
        <v>15190711.75</v>
      </c>
      <c r="D279" s="44">
        <f t="shared" si="12"/>
        <v>0</v>
      </c>
      <c r="E279" s="43">
        <v>15190711.75</v>
      </c>
      <c r="F279" s="14"/>
      <c r="G279" s="14"/>
      <c r="H279" s="14"/>
      <c r="I279" s="14"/>
      <c r="J279" s="14"/>
      <c r="K279" s="13">
        <f t="shared" si="13"/>
        <v>14742267.380000001</v>
      </c>
      <c r="L279" s="13">
        <f t="shared" si="14"/>
        <v>0</v>
      </c>
      <c r="M279" s="14">
        <v>14742267.380000001</v>
      </c>
      <c r="N279" s="14"/>
      <c r="O279" s="14"/>
      <c r="P279" s="14"/>
      <c r="Q279" s="14"/>
      <c r="R279" s="14"/>
    </row>
    <row r="280" spans="1:18" ht="12.5" x14ac:dyDescent="0.25">
      <c r="A280" s="8" t="s">
        <v>175</v>
      </c>
      <c r="B280" s="4">
        <v>124</v>
      </c>
      <c r="C280" s="44">
        <f t="shared" si="11"/>
        <v>1247.04</v>
      </c>
      <c r="D280" s="44">
        <f t="shared" si="12"/>
        <v>0</v>
      </c>
      <c r="E280" s="43">
        <v>1247.04</v>
      </c>
      <c r="F280" s="14"/>
      <c r="G280" s="14"/>
      <c r="H280" s="14"/>
      <c r="I280" s="14"/>
      <c r="J280" s="14"/>
      <c r="K280" s="13">
        <f t="shared" si="13"/>
        <v>1247.04</v>
      </c>
      <c r="L280" s="13">
        <f t="shared" si="14"/>
        <v>0</v>
      </c>
      <c r="M280" s="14">
        <v>1247.04</v>
      </c>
      <c r="N280" s="14"/>
      <c r="O280" s="14"/>
      <c r="P280" s="14"/>
      <c r="Q280" s="14"/>
      <c r="R280" s="14"/>
    </row>
    <row r="281" spans="1:18" ht="12.5" x14ac:dyDescent="0.25">
      <c r="A281" s="8" t="s">
        <v>141</v>
      </c>
      <c r="B281" s="4">
        <v>144</v>
      </c>
      <c r="C281" s="44">
        <f t="shared" si="11"/>
        <v>439354.7</v>
      </c>
      <c r="D281" s="44">
        <f t="shared" si="12"/>
        <v>0</v>
      </c>
      <c r="E281" s="43">
        <v>439354.7</v>
      </c>
      <c r="F281" s="14"/>
      <c r="G281" s="14"/>
      <c r="H281" s="14"/>
      <c r="I281" s="14"/>
      <c r="J281" s="14"/>
      <c r="K281" s="13">
        <f t="shared" si="13"/>
        <v>28357.7</v>
      </c>
      <c r="L281" s="13">
        <f t="shared" si="14"/>
        <v>0</v>
      </c>
      <c r="M281" s="14">
        <v>28357.7</v>
      </c>
      <c r="N281" s="14"/>
      <c r="O281" s="14"/>
      <c r="P281" s="14"/>
      <c r="Q281" s="14"/>
      <c r="R281" s="14"/>
    </row>
    <row r="282" spans="1:18" ht="12.5" x14ac:dyDescent="0.25">
      <c r="A282" s="8" t="s">
        <v>483</v>
      </c>
      <c r="B282" s="4">
        <v>146</v>
      </c>
      <c r="C282" s="44">
        <f t="shared" si="11"/>
        <v>105463</v>
      </c>
      <c r="D282" s="44">
        <f t="shared" si="12"/>
        <v>0</v>
      </c>
      <c r="E282" s="43">
        <v>105463</v>
      </c>
      <c r="F282" s="14"/>
      <c r="G282" s="14"/>
      <c r="H282" s="14"/>
      <c r="I282" s="14"/>
      <c r="J282" s="14"/>
      <c r="K282" s="13"/>
      <c r="L282" s="13"/>
      <c r="M282" s="14"/>
      <c r="N282" s="14"/>
      <c r="O282" s="14"/>
      <c r="P282" s="14"/>
      <c r="Q282" s="14"/>
      <c r="R282" s="14"/>
    </row>
    <row r="283" spans="1:18" ht="12.5" x14ac:dyDescent="0.25">
      <c r="A283" s="8" t="s">
        <v>10</v>
      </c>
      <c r="B283" s="4">
        <v>148</v>
      </c>
      <c r="C283" s="44">
        <f t="shared" si="11"/>
        <v>72272.160000000003</v>
      </c>
      <c r="D283" s="44">
        <f t="shared" si="12"/>
        <v>0</v>
      </c>
      <c r="E283" s="43">
        <v>72272.160000000003</v>
      </c>
      <c r="F283" s="14"/>
      <c r="G283" s="14"/>
      <c r="H283" s="14"/>
      <c r="I283" s="14"/>
      <c r="J283" s="14"/>
      <c r="K283" s="13">
        <f t="shared" si="13"/>
        <v>72272.160000000003</v>
      </c>
      <c r="L283" s="13">
        <f t="shared" si="14"/>
        <v>0</v>
      </c>
      <c r="M283" s="14">
        <v>72272.160000000003</v>
      </c>
      <c r="N283" s="14"/>
      <c r="O283" s="14"/>
      <c r="P283" s="14"/>
      <c r="Q283" s="14"/>
      <c r="R283" s="14"/>
    </row>
    <row r="284" spans="1:18" ht="12.5" x14ac:dyDescent="0.25">
      <c r="A284" s="8" t="s">
        <v>115</v>
      </c>
      <c r="B284" s="4">
        <v>149</v>
      </c>
      <c r="C284" s="44">
        <f t="shared" si="11"/>
        <v>1000000</v>
      </c>
      <c r="D284" s="44">
        <f t="shared" si="12"/>
        <v>0</v>
      </c>
      <c r="E284" s="43">
        <v>1000000</v>
      </c>
      <c r="F284" s="14"/>
      <c r="G284" s="14"/>
      <c r="H284" s="14"/>
      <c r="I284" s="14"/>
      <c r="J284" s="14"/>
      <c r="K284" s="13">
        <f t="shared" si="13"/>
        <v>530440.55000000005</v>
      </c>
      <c r="L284" s="13">
        <f t="shared" si="14"/>
        <v>0</v>
      </c>
      <c r="M284" s="14">
        <v>530440.55000000005</v>
      </c>
      <c r="N284" s="14"/>
      <c r="O284" s="14"/>
      <c r="P284" s="14"/>
      <c r="Q284" s="14"/>
      <c r="R284" s="14"/>
    </row>
    <row r="285" spans="1:18" ht="12.5" x14ac:dyDescent="0.25">
      <c r="A285" s="8" t="s">
        <v>172</v>
      </c>
      <c r="B285" s="4">
        <v>155</v>
      </c>
      <c r="C285" s="44">
        <f t="shared" si="11"/>
        <v>0</v>
      </c>
      <c r="D285" s="44">
        <f t="shared" si="12"/>
        <v>0</v>
      </c>
      <c r="E285" s="43"/>
      <c r="F285" s="14"/>
      <c r="G285" s="14"/>
      <c r="H285" s="14"/>
      <c r="I285" s="14"/>
      <c r="J285" s="14"/>
      <c r="K285" s="13">
        <f t="shared" si="13"/>
        <v>500000</v>
      </c>
      <c r="L285" s="13">
        <f t="shared" si="14"/>
        <v>0</v>
      </c>
      <c r="M285" s="14">
        <v>500000</v>
      </c>
      <c r="N285" s="14"/>
      <c r="O285" s="14"/>
      <c r="P285" s="14"/>
      <c r="Q285" s="14"/>
      <c r="R285" s="14"/>
    </row>
    <row r="286" spans="1:18" ht="12.5" x14ac:dyDescent="0.25">
      <c r="A286" s="8" t="s">
        <v>199</v>
      </c>
      <c r="B286" s="4">
        <v>159</v>
      </c>
      <c r="C286" s="44">
        <f t="shared" si="11"/>
        <v>0</v>
      </c>
      <c r="D286" s="44">
        <f t="shared" si="12"/>
        <v>0</v>
      </c>
      <c r="E286" s="43"/>
      <c r="F286" s="14"/>
      <c r="G286" s="14"/>
      <c r="H286" s="14"/>
      <c r="I286" s="14"/>
      <c r="J286" s="14"/>
      <c r="K286" s="13">
        <f t="shared" si="13"/>
        <v>71134</v>
      </c>
      <c r="L286" s="13">
        <f t="shared" si="14"/>
        <v>0</v>
      </c>
      <c r="M286" s="14">
        <v>71134</v>
      </c>
      <c r="N286" s="14"/>
      <c r="O286" s="14"/>
      <c r="P286" s="14"/>
      <c r="Q286" s="14"/>
      <c r="R286" s="14"/>
    </row>
    <row r="287" spans="1:18" ht="12.5" x14ac:dyDescent="0.25">
      <c r="A287" s="8" t="s">
        <v>12</v>
      </c>
      <c r="B287" s="4">
        <v>201</v>
      </c>
      <c r="C287" s="44">
        <f t="shared" si="11"/>
        <v>1912026.15</v>
      </c>
      <c r="D287" s="44">
        <f t="shared" si="12"/>
        <v>0</v>
      </c>
      <c r="E287" s="43">
        <v>1912026.15</v>
      </c>
      <c r="F287" s="14"/>
      <c r="G287" s="14"/>
      <c r="H287" s="14"/>
      <c r="I287" s="14"/>
      <c r="J287" s="14"/>
      <c r="K287" s="13">
        <f t="shared" si="13"/>
        <v>1812026.15</v>
      </c>
      <c r="L287" s="13">
        <f t="shared" si="14"/>
        <v>0</v>
      </c>
      <c r="M287" s="14">
        <v>1812026.15</v>
      </c>
      <c r="N287" s="14"/>
      <c r="O287" s="14"/>
      <c r="P287" s="14"/>
      <c r="Q287" s="14"/>
      <c r="R287" s="14"/>
    </row>
    <row r="288" spans="1:18" ht="12.5" x14ac:dyDescent="0.25">
      <c r="A288" s="8" t="s">
        <v>13</v>
      </c>
      <c r="B288" s="4">
        <v>202</v>
      </c>
      <c r="C288" s="44">
        <f t="shared" si="11"/>
        <v>391060</v>
      </c>
      <c r="D288" s="44">
        <f t="shared" si="12"/>
        <v>0</v>
      </c>
      <c r="E288" s="43">
        <v>391060</v>
      </c>
      <c r="F288" s="14"/>
      <c r="G288" s="14"/>
      <c r="H288" s="14"/>
      <c r="I288" s="14"/>
      <c r="J288" s="14"/>
      <c r="K288" s="13">
        <f t="shared" si="13"/>
        <v>391060</v>
      </c>
      <c r="L288" s="13">
        <f t="shared" si="14"/>
        <v>0</v>
      </c>
      <c r="M288" s="14">
        <v>391060</v>
      </c>
      <c r="N288" s="14"/>
      <c r="O288" s="14"/>
      <c r="P288" s="14"/>
      <c r="Q288" s="14"/>
      <c r="R288" s="14"/>
    </row>
    <row r="289" spans="1:18" ht="12.5" x14ac:dyDescent="0.25">
      <c r="A289" s="8" t="s">
        <v>191</v>
      </c>
      <c r="B289" s="4">
        <v>302</v>
      </c>
      <c r="C289" s="44">
        <f t="shared" si="11"/>
        <v>0</v>
      </c>
      <c r="D289" s="44">
        <f t="shared" si="12"/>
        <v>331287.5</v>
      </c>
      <c r="E289" s="43"/>
      <c r="F289" s="14">
        <v>331287.5</v>
      </c>
      <c r="G289" s="14"/>
      <c r="H289" s="14"/>
      <c r="I289" s="14"/>
      <c r="J289" s="14"/>
      <c r="K289" s="13">
        <f t="shared" si="13"/>
        <v>0</v>
      </c>
      <c r="L289" s="13">
        <f t="shared" si="14"/>
        <v>305216.83</v>
      </c>
      <c r="M289" s="14"/>
      <c r="N289" s="14">
        <v>305216.83</v>
      </c>
      <c r="O289" s="14"/>
      <c r="P289" s="14"/>
      <c r="Q289" s="14"/>
      <c r="R289" s="14"/>
    </row>
    <row r="290" spans="1:18" ht="12.5" x14ac:dyDescent="0.25">
      <c r="A290" s="8" t="s">
        <v>14</v>
      </c>
      <c r="B290" s="4">
        <v>205</v>
      </c>
      <c r="C290" s="44">
        <f t="shared" si="11"/>
        <v>658065</v>
      </c>
      <c r="D290" s="44">
        <f t="shared" si="12"/>
        <v>0</v>
      </c>
      <c r="E290" s="43">
        <v>658065</v>
      </c>
      <c r="F290" s="14"/>
      <c r="G290" s="14"/>
      <c r="H290" s="14"/>
      <c r="I290" s="14"/>
      <c r="J290" s="14"/>
      <c r="K290" s="13">
        <f t="shared" si="13"/>
        <v>658065</v>
      </c>
      <c r="L290" s="13">
        <f t="shared" si="14"/>
        <v>0</v>
      </c>
      <c r="M290" s="14">
        <v>658065</v>
      </c>
      <c r="N290" s="14"/>
      <c r="O290" s="14"/>
      <c r="P290" s="14"/>
      <c r="Q290" s="14"/>
      <c r="R290" s="14"/>
    </row>
    <row r="291" spans="1:18" ht="12.5" x14ac:dyDescent="0.25">
      <c r="A291" s="8" t="s">
        <v>192</v>
      </c>
      <c r="B291" s="4">
        <v>305</v>
      </c>
      <c r="C291" s="44">
        <f t="shared" si="11"/>
        <v>0</v>
      </c>
      <c r="D291" s="44">
        <f t="shared" si="12"/>
        <v>149866.14000000001</v>
      </c>
      <c r="E291" s="43"/>
      <c r="F291" s="14">
        <v>149866.14000000001</v>
      </c>
      <c r="G291" s="14"/>
      <c r="H291" s="14"/>
      <c r="I291" s="14"/>
      <c r="J291" s="14"/>
      <c r="K291" s="13">
        <f t="shared" si="13"/>
        <v>0</v>
      </c>
      <c r="L291" s="13">
        <f t="shared" si="14"/>
        <v>112274.61</v>
      </c>
      <c r="M291" s="14"/>
      <c r="N291" s="14">
        <v>112274.61</v>
      </c>
      <c r="O291" s="14"/>
      <c r="P291" s="14"/>
      <c r="Q291" s="14"/>
      <c r="R291" s="14"/>
    </row>
    <row r="292" spans="1:18" ht="12.5" x14ac:dyDescent="0.25">
      <c r="A292" s="8" t="s">
        <v>15</v>
      </c>
      <c r="B292" s="4">
        <v>211</v>
      </c>
      <c r="C292" s="44">
        <f t="shared" si="11"/>
        <v>10805770.609999999</v>
      </c>
      <c r="D292" s="44">
        <f t="shared" si="12"/>
        <v>0</v>
      </c>
      <c r="E292" s="43">
        <v>10805770.609999999</v>
      </c>
      <c r="F292" s="14"/>
      <c r="G292" s="14"/>
      <c r="H292" s="14"/>
      <c r="I292" s="14"/>
      <c r="J292" s="14"/>
      <c r="K292" s="13">
        <f t="shared" si="13"/>
        <v>10805770.609999999</v>
      </c>
      <c r="L292" s="13">
        <f t="shared" si="14"/>
        <v>0</v>
      </c>
      <c r="M292" s="27">
        <v>10805770.609999999</v>
      </c>
      <c r="N292" s="14"/>
      <c r="O292" s="14"/>
      <c r="P292" s="14"/>
      <c r="Q292" s="14"/>
      <c r="R292" s="14"/>
    </row>
    <row r="293" spans="1:18" ht="12.5" x14ac:dyDescent="0.25">
      <c r="A293" s="8" t="s">
        <v>443</v>
      </c>
      <c r="B293" s="4">
        <v>311</v>
      </c>
      <c r="C293" s="44">
        <f t="shared" si="11"/>
        <v>0</v>
      </c>
      <c r="D293" s="44">
        <f t="shared" si="12"/>
        <v>1246479.54</v>
      </c>
      <c r="E293" s="43"/>
      <c r="F293" s="14">
        <v>1246479.54</v>
      </c>
      <c r="G293" s="14"/>
      <c r="H293" s="14"/>
      <c r="I293" s="14"/>
      <c r="J293" s="14"/>
      <c r="K293" s="13">
        <f t="shared" si="13"/>
        <v>0</v>
      </c>
      <c r="L293" s="13">
        <f t="shared" si="14"/>
        <v>1038564.13</v>
      </c>
      <c r="M293" s="14"/>
      <c r="N293" s="14">
        <v>1038564.13</v>
      </c>
      <c r="O293" s="14"/>
      <c r="P293" s="14"/>
      <c r="Q293" s="14"/>
      <c r="R293" s="14"/>
    </row>
    <row r="294" spans="1:18" ht="12.5" x14ac:dyDescent="0.25">
      <c r="A294" s="8" t="s">
        <v>16</v>
      </c>
      <c r="B294" s="4">
        <v>212</v>
      </c>
      <c r="C294" s="44">
        <f t="shared" si="11"/>
        <v>367294.02</v>
      </c>
      <c r="D294" s="44">
        <f t="shared" si="12"/>
        <v>0</v>
      </c>
      <c r="E294" s="43">
        <v>367294.02</v>
      </c>
      <c r="F294" s="14"/>
      <c r="G294" s="14"/>
      <c r="H294" s="14"/>
      <c r="I294" s="14"/>
      <c r="J294" s="14"/>
      <c r="K294" s="13">
        <f t="shared" si="13"/>
        <v>367294.02</v>
      </c>
      <c r="L294" s="13">
        <f t="shared" si="14"/>
        <v>0</v>
      </c>
      <c r="M294" s="14">
        <v>367294.02</v>
      </c>
      <c r="N294" s="14"/>
      <c r="O294" s="14"/>
      <c r="P294" s="14"/>
      <c r="Q294" s="14"/>
      <c r="R294" s="14"/>
    </row>
    <row r="295" spans="1:18" ht="12.5" x14ac:dyDescent="0.25">
      <c r="A295" s="8" t="s">
        <v>444</v>
      </c>
      <c r="B295" s="4">
        <v>312</v>
      </c>
      <c r="C295" s="44">
        <f t="shared" si="11"/>
        <v>0</v>
      </c>
      <c r="D295" s="44">
        <f t="shared" si="12"/>
        <v>62791.8</v>
      </c>
      <c r="E295" s="43"/>
      <c r="F295" s="14">
        <v>62791.8</v>
      </c>
      <c r="G295" s="14"/>
      <c r="H295" s="14"/>
      <c r="I295" s="14"/>
      <c r="J295" s="14"/>
      <c r="K295" s="13">
        <f t="shared" si="13"/>
        <v>0</v>
      </c>
      <c r="L295" s="13">
        <f t="shared" si="14"/>
        <v>56445.919999999998</v>
      </c>
      <c r="M295" s="14"/>
      <c r="N295" s="14">
        <v>56445.919999999998</v>
      </c>
      <c r="O295" s="14"/>
      <c r="P295" s="14"/>
      <c r="Q295" s="14"/>
      <c r="R295" s="14"/>
    </row>
    <row r="296" spans="1:18" ht="12.5" x14ac:dyDescent="0.25">
      <c r="A296" s="8" t="s">
        <v>17</v>
      </c>
      <c r="B296" s="4">
        <v>213</v>
      </c>
      <c r="C296" s="44">
        <f t="shared" si="11"/>
        <v>0</v>
      </c>
      <c r="D296" s="44">
        <f t="shared" si="12"/>
        <v>0</v>
      </c>
      <c r="E296" s="43"/>
      <c r="F296" s="14"/>
      <c r="G296" s="14"/>
      <c r="H296" s="14"/>
      <c r="I296" s="14"/>
      <c r="J296" s="14"/>
      <c r="K296" s="13">
        <f t="shared" si="13"/>
        <v>0</v>
      </c>
      <c r="L296" s="13">
        <f t="shared" si="14"/>
        <v>0</v>
      </c>
      <c r="M296" s="14"/>
      <c r="N296" s="14"/>
      <c r="O296" s="14"/>
      <c r="P296" s="14"/>
      <c r="Q296" s="14"/>
      <c r="R296" s="14"/>
    </row>
    <row r="297" spans="1:18" ht="12.5" x14ac:dyDescent="0.25">
      <c r="A297" s="8" t="s">
        <v>180</v>
      </c>
      <c r="B297" s="4">
        <v>313</v>
      </c>
      <c r="C297" s="44">
        <f t="shared" si="11"/>
        <v>0</v>
      </c>
      <c r="D297" s="44">
        <f t="shared" si="12"/>
        <v>0</v>
      </c>
      <c r="E297" s="43"/>
      <c r="F297" s="14"/>
      <c r="G297" s="14"/>
      <c r="H297" s="14"/>
      <c r="I297" s="14"/>
      <c r="J297" s="14"/>
      <c r="K297" s="13">
        <f t="shared" si="13"/>
        <v>0</v>
      </c>
      <c r="L297" s="13">
        <f t="shared" si="14"/>
        <v>0</v>
      </c>
      <c r="M297" s="14"/>
      <c r="N297" s="14"/>
      <c r="O297" s="14"/>
      <c r="P297" s="14"/>
      <c r="Q297" s="14"/>
      <c r="R297" s="14"/>
    </row>
    <row r="298" spans="1:18" ht="12.5" x14ac:dyDescent="0.25">
      <c r="A298" s="8" t="s">
        <v>18</v>
      </c>
      <c r="B298" s="4">
        <v>214</v>
      </c>
      <c r="C298" s="44">
        <f t="shared" si="11"/>
        <v>4999090.7699999996</v>
      </c>
      <c r="D298" s="44">
        <f t="shared" si="12"/>
        <v>0</v>
      </c>
      <c r="E298" s="43">
        <v>4999090.7699999996</v>
      </c>
      <c r="F298" s="14"/>
      <c r="G298" s="14"/>
      <c r="H298" s="14"/>
      <c r="I298" s="14"/>
      <c r="J298" s="14"/>
      <c r="K298" s="13">
        <f t="shared" si="13"/>
        <v>4999090.7699999996</v>
      </c>
      <c r="L298" s="13">
        <f t="shared" si="14"/>
        <v>0</v>
      </c>
      <c r="M298" s="14">
        <v>4999090.7699999996</v>
      </c>
      <c r="N298" s="14"/>
      <c r="O298" s="14"/>
      <c r="P298" s="14"/>
      <c r="Q298" s="14"/>
      <c r="R298" s="14"/>
    </row>
    <row r="299" spans="1:18" ht="12.5" x14ac:dyDescent="0.25">
      <c r="A299" s="8" t="s">
        <v>179</v>
      </c>
      <c r="B299" s="4">
        <v>314</v>
      </c>
      <c r="C299" s="44">
        <f t="shared" si="11"/>
        <v>0</v>
      </c>
      <c r="D299" s="44">
        <f t="shared" si="12"/>
        <v>3042709.04</v>
      </c>
      <c r="E299" s="43"/>
      <c r="F299" s="14">
        <v>3042709.04</v>
      </c>
      <c r="G299" s="14"/>
      <c r="H299" s="14"/>
      <c r="I299" s="14"/>
      <c r="J299" s="14"/>
      <c r="K299" s="13">
        <f t="shared" si="13"/>
        <v>0</v>
      </c>
      <c r="L299" s="13">
        <f t="shared" si="14"/>
        <v>2565299.96</v>
      </c>
      <c r="M299" s="14"/>
      <c r="N299" s="14">
        <v>2565299.96</v>
      </c>
      <c r="O299" s="14"/>
      <c r="P299" s="14"/>
      <c r="Q299" s="14"/>
      <c r="R299" s="14"/>
    </row>
    <row r="300" spans="1:18" ht="12.5" x14ac:dyDescent="0.25">
      <c r="A300" s="8" t="s">
        <v>19</v>
      </c>
      <c r="B300" s="4">
        <v>215</v>
      </c>
      <c r="C300" s="44">
        <f t="shared" si="11"/>
        <v>607774</v>
      </c>
      <c r="D300" s="44">
        <f t="shared" si="12"/>
        <v>0</v>
      </c>
      <c r="E300" s="43">
        <v>607774</v>
      </c>
      <c r="F300" s="14"/>
      <c r="G300" s="14"/>
      <c r="H300" s="14"/>
      <c r="I300" s="14"/>
      <c r="J300" s="14"/>
      <c r="K300" s="13">
        <f t="shared" si="13"/>
        <v>607774</v>
      </c>
      <c r="L300" s="13">
        <f t="shared" si="14"/>
        <v>0</v>
      </c>
      <c r="M300" s="14">
        <v>607774</v>
      </c>
      <c r="N300" s="14"/>
      <c r="O300" s="14"/>
      <c r="P300" s="14"/>
      <c r="Q300" s="14"/>
      <c r="R300" s="14"/>
    </row>
    <row r="301" spans="1:18" ht="12.5" x14ac:dyDescent="0.25">
      <c r="A301" s="8" t="s">
        <v>445</v>
      </c>
      <c r="B301" s="4">
        <v>315</v>
      </c>
      <c r="C301" s="44">
        <f t="shared" si="11"/>
        <v>0</v>
      </c>
      <c r="D301" s="44">
        <f t="shared" si="12"/>
        <v>567665.66</v>
      </c>
      <c r="E301" s="43"/>
      <c r="F301" s="14">
        <v>567665.66</v>
      </c>
      <c r="G301" s="14"/>
      <c r="H301" s="14"/>
      <c r="I301" s="14"/>
      <c r="J301" s="14"/>
      <c r="K301" s="13">
        <f t="shared" si="13"/>
        <v>0</v>
      </c>
      <c r="L301" s="13">
        <f t="shared" si="14"/>
        <v>567665.66</v>
      </c>
      <c r="M301" s="14"/>
      <c r="N301" s="14">
        <v>567665.66</v>
      </c>
      <c r="O301" s="14"/>
      <c r="P301" s="14"/>
      <c r="Q301" s="14"/>
      <c r="R301" s="14"/>
    </row>
    <row r="302" spans="1:18" ht="12.5" x14ac:dyDescent="0.25">
      <c r="A302" s="8" t="s">
        <v>20</v>
      </c>
      <c r="B302" s="4">
        <v>221</v>
      </c>
      <c r="C302" s="44">
        <f t="shared" si="11"/>
        <v>928512.08</v>
      </c>
      <c r="D302" s="44">
        <f t="shared" si="12"/>
        <v>0</v>
      </c>
      <c r="E302" s="43">
        <v>928512.08</v>
      </c>
      <c r="F302" s="14"/>
      <c r="G302" s="14"/>
      <c r="H302" s="14"/>
      <c r="I302" s="14"/>
      <c r="J302" s="14"/>
      <c r="K302" s="13">
        <f t="shared" si="13"/>
        <v>611999</v>
      </c>
      <c r="L302" s="13">
        <f t="shared" si="14"/>
        <v>0</v>
      </c>
      <c r="M302" s="14">
        <v>611999</v>
      </c>
      <c r="N302" s="14"/>
      <c r="O302" s="14"/>
      <c r="P302" s="14"/>
      <c r="Q302" s="14"/>
      <c r="R302" s="14"/>
    </row>
    <row r="303" spans="1:18" ht="12.5" x14ac:dyDescent="0.25">
      <c r="A303" s="8" t="s">
        <v>446</v>
      </c>
      <c r="B303" s="4">
        <v>321</v>
      </c>
      <c r="C303" s="44">
        <f t="shared" si="11"/>
        <v>0</v>
      </c>
      <c r="D303" s="44">
        <f t="shared" si="12"/>
        <v>184843.07</v>
      </c>
      <c r="E303" s="43"/>
      <c r="F303" s="14">
        <v>184843.07</v>
      </c>
      <c r="G303" s="14"/>
      <c r="H303" s="14"/>
      <c r="I303" s="14"/>
      <c r="J303" s="14"/>
      <c r="K303" s="13">
        <f t="shared" si="13"/>
        <v>0</v>
      </c>
      <c r="L303" s="13">
        <f t="shared" si="14"/>
        <v>92020.86</v>
      </c>
      <c r="M303" s="14"/>
      <c r="N303" s="14">
        <v>92020.86</v>
      </c>
      <c r="O303" s="14"/>
      <c r="P303" s="14"/>
      <c r="Q303" s="14"/>
      <c r="R303" s="14"/>
    </row>
    <row r="304" spans="1:18" ht="12.5" x14ac:dyDescent="0.25">
      <c r="A304" s="8" t="s">
        <v>21</v>
      </c>
      <c r="B304" s="4">
        <v>222</v>
      </c>
      <c r="C304" s="44">
        <f t="shared" si="11"/>
        <v>553453</v>
      </c>
      <c r="D304" s="44">
        <f t="shared" si="12"/>
        <v>0</v>
      </c>
      <c r="E304" s="43">
        <v>553453</v>
      </c>
      <c r="F304" s="14"/>
      <c r="G304" s="14"/>
      <c r="H304" s="14"/>
      <c r="I304" s="14"/>
      <c r="J304" s="14"/>
      <c r="K304" s="13">
        <f t="shared" si="13"/>
        <v>339406</v>
      </c>
      <c r="L304" s="13">
        <f t="shared" si="14"/>
        <v>0</v>
      </c>
      <c r="M304" s="14">
        <v>339406</v>
      </c>
      <c r="N304" s="14"/>
      <c r="O304" s="14"/>
      <c r="P304" s="14"/>
      <c r="Q304" s="14"/>
      <c r="R304" s="14"/>
    </row>
    <row r="305" spans="1:18" ht="12.5" x14ac:dyDescent="0.25">
      <c r="A305" s="8" t="s">
        <v>447</v>
      </c>
      <c r="B305" s="4">
        <v>322</v>
      </c>
      <c r="C305" s="44">
        <f t="shared" si="11"/>
        <v>0</v>
      </c>
      <c r="D305" s="44">
        <f t="shared" si="12"/>
        <v>119671.5</v>
      </c>
      <c r="E305" s="43"/>
      <c r="F305" s="14">
        <v>119671.5</v>
      </c>
      <c r="G305" s="14"/>
      <c r="H305" s="14"/>
      <c r="I305" s="14"/>
      <c r="J305" s="14"/>
      <c r="K305" s="13">
        <f t="shared" si="13"/>
        <v>0</v>
      </c>
      <c r="L305" s="13">
        <f t="shared" si="14"/>
        <v>92155.8</v>
      </c>
      <c r="M305" s="14"/>
      <c r="N305" s="27">
        <v>92155.8</v>
      </c>
      <c r="O305" s="14"/>
      <c r="P305" s="14"/>
      <c r="Q305" s="14"/>
      <c r="R305" s="14"/>
    </row>
    <row r="306" spans="1:18" ht="12.5" x14ac:dyDescent="0.25">
      <c r="A306" s="8" t="s">
        <v>22</v>
      </c>
      <c r="B306" s="4">
        <v>223</v>
      </c>
      <c r="C306" s="44">
        <f t="shared" si="11"/>
        <v>1277715.8</v>
      </c>
      <c r="D306" s="44">
        <f t="shared" si="12"/>
        <v>0</v>
      </c>
      <c r="E306" s="43">
        <v>1256715.8</v>
      </c>
      <c r="F306" s="14"/>
      <c r="G306" s="14">
        <v>21000</v>
      </c>
      <c r="H306" s="14"/>
      <c r="I306" s="14"/>
      <c r="J306" s="14"/>
      <c r="K306" s="13">
        <f t="shared" si="13"/>
        <v>900585.8</v>
      </c>
      <c r="L306" s="13">
        <f t="shared" si="14"/>
        <v>0</v>
      </c>
      <c r="M306" s="14">
        <v>900585.8</v>
      </c>
      <c r="N306" s="14"/>
      <c r="O306" s="14"/>
      <c r="P306" s="14"/>
      <c r="Q306" s="14"/>
      <c r="R306" s="14"/>
    </row>
    <row r="307" spans="1:18" ht="12.5" x14ac:dyDescent="0.25">
      <c r="A307" s="8" t="s">
        <v>448</v>
      </c>
      <c r="B307" s="4">
        <v>323</v>
      </c>
      <c r="C307" s="44">
        <f t="shared" si="11"/>
        <v>0</v>
      </c>
      <c r="D307" s="44">
        <f t="shared" si="12"/>
        <v>481834.23999999999</v>
      </c>
      <c r="E307" s="43"/>
      <c r="F307" s="14">
        <v>477636.24</v>
      </c>
      <c r="G307" s="14"/>
      <c r="H307" s="14">
        <v>4198</v>
      </c>
      <c r="I307" s="14"/>
      <c r="J307" s="14"/>
      <c r="K307" s="13">
        <f t="shared" si="13"/>
        <v>0</v>
      </c>
      <c r="L307" s="13">
        <f t="shared" si="14"/>
        <v>227692.65</v>
      </c>
      <c r="M307" s="14"/>
      <c r="N307" s="14">
        <v>227692.65</v>
      </c>
      <c r="O307" s="14"/>
      <c r="P307" s="14"/>
      <c r="Q307" s="14"/>
      <c r="R307" s="14"/>
    </row>
    <row r="308" spans="1:18" ht="12.5" x14ac:dyDescent="0.25">
      <c r="A308" s="8" t="s">
        <v>23</v>
      </c>
      <c r="B308" s="4">
        <v>224</v>
      </c>
      <c r="C308" s="44">
        <f t="shared" si="11"/>
        <v>90634.75</v>
      </c>
      <c r="D308" s="44">
        <f t="shared" si="12"/>
        <v>0</v>
      </c>
      <c r="E308" s="43">
        <v>63400</v>
      </c>
      <c r="F308" s="14"/>
      <c r="G308" s="14">
        <v>27234.75</v>
      </c>
      <c r="H308" s="14"/>
      <c r="I308" s="14"/>
      <c r="J308" s="14"/>
      <c r="K308" s="13">
        <f t="shared" si="13"/>
        <v>90634.75</v>
      </c>
      <c r="L308" s="13">
        <f t="shared" si="14"/>
        <v>0</v>
      </c>
      <c r="M308" s="14">
        <v>63400</v>
      </c>
      <c r="N308" s="14"/>
      <c r="O308" s="14">
        <v>27234.75</v>
      </c>
      <c r="P308" s="14"/>
      <c r="Q308" s="14"/>
      <c r="R308" s="14"/>
    </row>
    <row r="309" spans="1:18" ht="12.5" x14ac:dyDescent="0.25">
      <c r="A309" s="8" t="s">
        <v>449</v>
      </c>
      <c r="B309" s="4">
        <v>324</v>
      </c>
      <c r="C309" s="44">
        <f t="shared" si="11"/>
        <v>0</v>
      </c>
      <c r="D309" s="44">
        <f t="shared" si="12"/>
        <v>41445.43</v>
      </c>
      <c r="E309" s="43"/>
      <c r="F309" s="14">
        <v>35998.480000000003</v>
      </c>
      <c r="G309" s="14"/>
      <c r="H309" s="14">
        <v>5446.95</v>
      </c>
      <c r="I309" s="14"/>
      <c r="J309" s="14"/>
      <c r="K309" s="13">
        <f t="shared" si="13"/>
        <v>0</v>
      </c>
      <c r="L309" s="13">
        <f t="shared" si="14"/>
        <v>26935</v>
      </c>
      <c r="M309" s="14"/>
      <c r="N309" s="14">
        <v>26935</v>
      </c>
      <c r="O309" s="14"/>
      <c r="P309" s="14"/>
      <c r="Q309" s="14"/>
      <c r="R309" s="14"/>
    </row>
    <row r="310" spans="1:18" ht="12.5" x14ac:dyDescent="0.25">
      <c r="A310" s="8" t="s">
        <v>24</v>
      </c>
      <c r="B310" s="4">
        <v>229</v>
      </c>
      <c r="C310" s="44">
        <f t="shared" si="11"/>
        <v>290500</v>
      </c>
      <c r="D310" s="44">
        <f t="shared" si="12"/>
        <v>0</v>
      </c>
      <c r="E310" s="43">
        <v>290500</v>
      </c>
      <c r="F310" s="14"/>
      <c r="G310" s="14"/>
      <c r="H310" s="14"/>
      <c r="I310" s="14"/>
      <c r="J310" s="14"/>
      <c r="K310" s="13">
        <f t="shared" si="13"/>
        <v>290500</v>
      </c>
      <c r="L310" s="13">
        <f t="shared" si="14"/>
        <v>0</v>
      </c>
      <c r="M310" s="14">
        <v>290500</v>
      </c>
      <c r="N310" s="14"/>
      <c r="O310" s="14"/>
      <c r="P310" s="14"/>
      <c r="Q310" s="14"/>
      <c r="R310" s="14"/>
    </row>
    <row r="311" spans="1:18" ht="12.5" x14ac:dyDescent="0.25">
      <c r="A311" s="8" t="s">
        <v>456</v>
      </c>
      <c r="B311" s="4">
        <v>329</v>
      </c>
      <c r="C311" s="44">
        <f t="shared" si="11"/>
        <v>0</v>
      </c>
      <c r="D311" s="44">
        <f t="shared" si="12"/>
        <v>243582.1</v>
      </c>
      <c r="E311" s="43"/>
      <c r="F311" s="14">
        <v>243582.1</v>
      </c>
      <c r="G311" s="14"/>
      <c r="H311" s="14"/>
      <c r="I311" s="14"/>
      <c r="J311" s="14"/>
      <c r="K311" s="13">
        <f t="shared" si="13"/>
        <v>0</v>
      </c>
      <c r="L311" s="13">
        <f t="shared" si="14"/>
        <v>185487.5</v>
      </c>
      <c r="M311" s="14"/>
      <c r="N311" s="14">
        <v>185487.5</v>
      </c>
      <c r="O311" s="14"/>
      <c r="P311" s="14"/>
      <c r="Q311" s="14"/>
      <c r="R311" s="14"/>
    </row>
    <row r="312" spans="1:18" ht="12.5" x14ac:dyDescent="0.25">
      <c r="A312" s="8" t="s">
        <v>25</v>
      </c>
      <c r="B312" s="4">
        <v>230</v>
      </c>
      <c r="C312" s="44">
        <f t="shared" si="11"/>
        <v>1909700</v>
      </c>
      <c r="D312" s="44">
        <f t="shared" si="12"/>
        <v>0</v>
      </c>
      <c r="E312" s="43">
        <v>1909700</v>
      </c>
      <c r="F312" s="14"/>
      <c r="G312" s="14"/>
      <c r="H312" s="14"/>
      <c r="I312" s="14"/>
      <c r="J312" s="14"/>
      <c r="K312" s="13">
        <f t="shared" si="13"/>
        <v>1909700</v>
      </c>
      <c r="L312" s="13">
        <f t="shared" si="14"/>
        <v>0</v>
      </c>
      <c r="M312" s="14">
        <v>1909700</v>
      </c>
      <c r="N312" s="14"/>
      <c r="O312" s="14"/>
      <c r="P312" s="14"/>
      <c r="Q312" s="14"/>
      <c r="R312" s="14"/>
    </row>
    <row r="313" spans="1:18" ht="12.5" x14ac:dyDescent="0.25">
      <c r="A313" s="8" t="s">
        <v>455</v>
      </c>
      <c r="B313" s="4">
        <v>330</v>
      </c>
      <c r="C313" s="44">
        <f t="shared" si="11"/>
        <v>0</v>
      </c>
      <c r="D313" s="44">
        <f t="shared" si="12"/>
        <v>982851.88</v>
      </c>
      <c r="E313" s="43"/>
      <c r="F313" s="14">
        <v>982851.88</v>
      </c>
      <c r="G313" s="14"/>
      <c r="H313" s="14"/>
      <c r="I313" s="14"/>
      <c r="J313" s="14"/>
      <c r="K313" s="13">
        <f t="shared" si="13"/>
        <v>0</v>
      </c>
      <c r="L313" s="13">
        <f t="shared" si="14"/>
        <v>806881.88</v>
      </c>
      <c r="M313" s="14"/>
      <c r="N313" s="27">
        <v>806881.88</v>
      </c>
      <c r="O313" s="14"/>
      <c r="P313" s="14"/>
      <c r="Q313" s="14"/>
      <c r="R313" s="14"/>
    </row>
    <row r="314" spans="1:18" ht="12.5" x14ac:dyDescent="0.25">
      <c r="A314" s="8" t="s">
        <v>154</v>
      </c>
      <c r="B314" s="4">
        <v>233</v>
      </c>
      <c r="C314" s="44">
        <f t="shared" si="11"/>
        <v>129000</v>
      </c>
      <c r="D314" s="44">
        <f t="shared" si="12"/>
        <v>0</v>
      </c>
      <c r="E314" s="43">
        <v>129000</v>
      </c>
      <c r="F314" s="14"/>
      <c r="G314" s="14"/>
      <c r="H314" s="14"/>
      <c r="I314" s="14"/>
      <c r="J314" s="14"/>
      <c r="K314" s="13">
        <f t="shared" si="13"/>
        <v>129000</v>
      </c>
      <c r="L314" s="13">
        <f t="shared" si="14"/>
        <v>0</v>
      </c>
      <c r="M314" s="14">
        <v>129000</v>
      </c>
      <c r="N314" s="14"/>
      <c r="O314" s="14"/>
      <c r="P314" s="14"/>
      <c r="Q314" s="14"/>
      <c r="R314" s="14"/>
    </row>
    <row r="315" spans="1:18" ht="12.5" x14ac:dyDescent="0.25">
      <c r="A315" s="8" t="s">
        <v>454</v>
      </c>
      <c r="B315" s="4">
        <v>333</v>
      </c>
      <c r="C315" s="44">
        <f t="shared" si="11"/>
        <v>0</v>
      </c>
      <c r="D315" s="44">
        <f t="shared" si="12"/>
        <v>45399.6</v>
      </c>
      <c r="E315" s="43"/>
      <c r="F315" s="14">
        <v>45399.6</v>
      </c>
      <c r="G315" s="14"/>
      <c r="H315" s="14"/>
      <c r="I315" s="14"/>
      <c r="J315" s="14"/>
      <c r="K315" s="13">
        <f t="shared" si="13"/>
        <v>0</v>
      </c>
      <c r="L315" s="13">
        <f t="shared" si="14"/>
        <v>19600</v>
      </c>
      <c r="M315" s="14"/>
      <c r="N315" s="14">
        <v>19600</v>
      </c>
      <c r="O315" s="14"/>
      <c r="P315" s="14"/>
      <c r="Q315" s="14"/>
      <c r="R315" s="14"/>
    </row>
    <row r="316" spans="1:18" ht="12.5" x14ac:dyDescent="0.25">
      <c r="A316" s="8" t="s">
        <v>424</v>
      </c>
      <c r="B316" s="4">
        <v>236</v>
      </c>
      <c r="C316" s="44">
        <f t="shared" si="11"/>
        <v>78800</v>
      </c>
      <c r="D316" s="44">
        <f t="shared" si="12"/>
        <v>0</v>
      </c>
      <c r="E316" s="43">
        <v>78800</v>
      </c>
      <c r="F316" s="14"/>
      <c r="G316" s="14"/>
      <c r="H316" s="14"/>
      <c r="I316" s="14"/>
      <c r="J316" s="14"/>
      <c r="K316" s="13">
        <v>78800</v>
      </c>
      <c r="L316" s="13"/>
      <c r="M316" s="14">
        <v>78800</v>
      </c>
      <c r="N316" s="14"/>
      <c r="O316" s="14"/>
      <c r="P316" s="14"/>
      <c r="Q316" s="14"/>
      <c r="R316" s="14"/>
    </row>
    <row r="317" spans="1:18" ht="12.5" x14ac:dyDescent="0.25">
      <c r="A317" s="8" t="s">
        <v>478</v>
      </c>
      <c r="B317" s="4">
        <v>336</v>
      </c>
      <c r="C317" s="44">
        <f t="shared" si="11"/>
        <v>0</v>
      </c>
      <c r="D317" s="44">
        <f t="shared" si="12"/>
        <v>31519.200000000001</v>
      </c>
      <c r="E317" s="43"/>
      <c r="F317" s="14">
        <v>31519.200000000001</v>
      </c>
      <c r="G317" s="14"/>
      <c r="H317" s="14"/>
      <c r="I317" s="14"/>
      <c r="J317" s="14"/>
      <c r="K317" s="13"/>
      <c r="L317" s="13"/>
      <c r="M317" s="14"/>
      <c r="N317" s="14"/>
      <c r="O317" s="14"/>
      <c r="P317" s="14"/>
      <c r="Q317" s="14"/>
      <c r="R317" s="14"/>
    </row>
    <row r="318" spans="1:18" ht="12.5" x14ac:dyDescent="0.25">
      <c r="A318" s="8" t="s">
        <v>26</v>
      </c>
      <c r="B318" s="4">
        <v>240</v>
      </c>
      <c r="C318" s="44">
        <f t="shared" si="11"/>
        <v>249560</v>
      </c>
      <c r="D318" s="44">
        <f t="shared" si="12"/>
        <v>0</v>
      </c>
      <c r="E318" s="43">
        <v>249560</v>
      </c>
      <c r="F318" s="14"/>
      <c r="G318" s="14"/>
      <c r="H318" s="14"/>
      <c r="I318" s="14"/>
      <c r="J318" s="14"/>
      <c r="K318" s="13">
        <f t="shared" ref="K318:K348" si="15">M318+O318+Q318</f>
        <v>249560</v>
      </c>
      <c r="L318" s="13">
        <f t="shared" ref="L318:L347" si="16">N318+P318+R318</f>
        <v>0</v>
      </c>
      <c r="M318" s="14">
        <v>249560</v>
      </c>
      <c r="N318" s="14"/>
      <c r="O318" s="14"/>
      <c r="P318" s="14"/>
      <c r="Q318" s="14"/>
      <c r="R318" s="14"/>
    </row>
    <row r="319" spans="1:18" ht="12.5" x14ac:dyDescent="0.25">
      <c r="A319" s="8" t="s">
        <v>453</v>
      </c>
      <c r="B319" s="4">
        <v>340</v>
      </c>
      <c r="C319" s="44">
        <f t="shared" si="11"/>
        <v>0</v>
      </c>
      <c r="D319" s="44">
        <f t="shared" si="12"/>
        <v>120525.14</v>
      </c>
      <c r="E319" s="43"/>
      <c r="F319" s="14">
        <v>120525.14</v>
      </c>
      <c r="G319" s="14"/>
      <c r="H319" s="14"/>
      <c r="I319" s="14"/>
      <c r="J319" s="14"/>
      <c r="K319" s="13">
        <f t="shared" si="15"/>
        <v>0</v>
      </c>
      <c r="L319" s="13">
        <f t="shared" si="16"/>
        <v>80635.14</v>
      </c>
      <c r="M319" s="14"/>
      <c r="N319" s="14">
        <v>80635.14</v>
      </c>
      <c r="O319" s="14"/>
      <c r="P319" s="14"/>
      <c r="Q319" s="14"/>
      <c r="R319" s="14"/>
    </row>
    <row r="320" spans="1:18" ht="12.5" x14ac:dyDescent="0.25">
      <c r="A320" s="8" t="s">
        <v>27</v>
      </c>
      <c r="B320" s="4">
        <v>241</v>
      </c>
      <c r="C320" s="44">
        <f t="shared" si="11"/>
        <v>11490130.09</v>
      </c>
      <c r="D320" s="44">
        <f t="shared" si="12"/>
        <v>0</v>
      </c>
      <c r="E320" s="43">
        <v>11490130.09</v>
      </c>
      <c r="F320" s="14"/>
      <c r="G320" s="14"/>
      <c r="H320" s="14"/>
      <c r="I320" s="14"/>
      <c r="J320" s="14"/>
      <c r="K320" s="13">
        <f t="shared" si="15"/>
        <v>2782992.09</v>
      </c>
      <c r="L320" s="13">
        <f t="shared" si="16"/>
        <v>0</v>
      </c>
      <c r="M320" s="14">
        <v>2782992.09</v>
      </c>
      <c r="N320" s="14"/>
      <c r="O320" s="14"/>
      <c r="P320" s="14"/>
      <c r="Q320" s="14"/>
      <c r="R320" s="14"/>
    </row>
    <row r="321" spans="1:18" ht="12.5" x14ac:dyDescent="0.25">
      <c r="A321" s="8" t="s">
        <v>452</v>
      </c>
      <c r="B321" s="4">
        <v>341</v>
      </c>
      <c r="C321" s="44">
        <f t="shared" si="11"/>
        <v>0</v>
      </c>
      <c r="D321" s="44">
        <f t="shared" si="12"/>
        <v>1543864.59</v>
      </c>
      <c r="E321" s="43"/>
      <c r="F321" s="14">
        <v>1543864.59</v>
      </c>
      <c r="G321" s="14"/>
      <c r="H321" s="14"/>
      <c r="I321" s="14"/>
      <c r="J321" s="14"/>
      <c r="K321" s="13">
        <f t="shared" si="15"/>
        <v>0</v>
      </c>
      <c r="L321" s="13">
        <f t="shared" si="16"/>
        <v>468851.58</v>
      </c>
      <c r="M321" s="14"/>
      <c r="N321" s="14">
        <v>468851.58</v>
      </c>
      <c r="O321" s="14"/>
      <c r="P321" s="14"/>
      <c r="Q321" s="14"/>
      <c r="R321" s="14"/>
    </row>
    <row r="322" spans="1:18" ht="12.5" x14ac:dyDescent="0.25">
      <c r="A322" s="8" t="s">
        <v>28</v>
      </c>
      <c r="B322" s="4">
        <v>248</v>
      </c>
      <c r="C322" s="44">
        <f t="shared" si="11"/>
        <v>0</v>
      </c>
      <c r="D322" s="44">
        <f t="shared" si="12"/>
        <v>0</v>
      </c>
      <c r="E322" s="43"/>
      <c r="F322" s="14"/>
      <c r="G322" s="14"/>
      <c r="H322" s="14"/>
      <c r="I322" s="14"/>
      <c r="J322" s="14"/>
      <c r="K322" s="13">
        <f t="shared" si="15"/>
        <v>0</v>
      </c>
      <c r="L322" s="13">
        <f t="shared" si="16"/>
        <v>0</v>
      </c>
      <c r="M322" s="14"/>
      <c r="N322" s="14"/>
      <c r="O322" s="14"/>
      <c r="P322" s="14"/>
      <c r="Q322" s="14"/>
      <c r="R322" s="14"/>
    </row>
    <row r="323" spans="1:18" ht="12.5" x14ac:dyDescent="0.25">
      <c r="A323" s="8" t="s">
        <v>451</v>
      </c>
      <c r="B323" s="4">
        <v>348</v>
      </c>
      <c r="C323" s="44">
        <f t="shared" si="11"/>
        <v>0</v>
      </c>
      <c r="D323" s="44">
        <f t="shared" si="12"/>
        <v>0</v>
      </c>
      <c r="E323" s="43"/>
      <c r="F323" s="14"/>
      <c r="G323" s="14"/>
      <c r="H323" s="14"/>
      <c r="I323" s="14"/>
      <c r="J323" s="14"/>
      <c r="K323" s="13">
        <f t="shared" si="15"/>
        <v>0</v>
      </c>
      <c r="L323" s="13">
        <f t="shared" si="16"/>
        <v>0</v>
      </c>
      <c r="M323" s="14"/>
      <c r="N323" s="14"/>
      <c r="O323" s="14"/>
      <c r="P323" s="14"/>
      <c r="Q323" s="14"/>
      <c r="R323" s="14"/>
    </row>
    <row r="324" spans="1:18" ht="12.5" x14ac:dyDescent="0.25">
      <c r="A324" s="8"/>
      <c r="B324" s="4"/>
      <c r="C324" s="44"/>
      <c r="D324" s="44"/>
      <c r="E324" s="43"/>
      <c r="F324" s="14"/>
      <c r="G324" s="14"/>
      <c r="H324" s="14"/>
      <c r="I324" s="14"/>
      <c r="J324" s="14"/>
      <c r="K324" s="13"/>
      <c r="L324" s="13"/>
      <c r="M324" s="14"/>
      <c r="N324" s="14"/>
      <c r="O324" s="14"/>
      <c r="P324" s="14"/>
      <c r="Q324" s="14"/>
      <c r="R324" s="14"/>
    </row>
    <row r="325" spans="1:18" ht="12.5" x14ac:dyDescent="0.25">
      <c r="A325" s="8"/>
      <c r="B325" s="4"/>
      <c r="C325" s="44"/>
      <c r="D325" s="44"/>
      <c r="E325" s="43"/>
      <c r="F325" s="14"/>
      <c r="G325" s="14"/>
      <c r="H325" s="14"/>
      <c r="I325" s="14"/>
      <c r="J325" s="14"/>
      <c r="K325" s="13"/>
      <c r="L325" s="13"/>
      <c r="M325" s="14"/>
      <c r="N325" s="14"/>
      <c r="O325" s="14"/>
      <c r="P325" s="14"/>
      <c r="Q325" s="14"/>
      <c r="R325" s="14"/>
    </row>
    <row r="326" spans="1:18" ht="12.5" x14ac:dyDescent="0.25">
      <c r="A326" s="8"/>
      <c r="B326" s="4"/>
      <c r="C326" s="44"/>
      <c r="D326" s="44"/>
      <c r="E326" s="43"/>
      <c r="F326" s="14"/>
      <c r="G326" s="14"/>
      <c r="H326" s="14"/>
      <c r="I326" s="14"/>
      <c r="J326" s="14"/>
      <c r="K326" s="13"/>
      <c r="L326" s="13"/>
      <c r="M326" s="14"/>
      <c r="N326" s="14"/>
      <c r="O326" s="14"/>
      <c r="P326" s="14"/>
      <c r="Q326" s="14"/>
      <c r="R326" s="14"/>
    </row>
    <row r="327" spans="1:18" ht="12.5" x14ac:dyDescent="0.25">
      <c r="A327" s="8"/>
      <c r="B327" s="4"/>
      <c r="C327" s="44"/>
      <c r="D327" s="44"/>
      <c r="E327" s="43"/>
      <c r="F327" s="14"/>
      <c r="G327" s="14"/>
      <c r="H327" s="14"/>
      <c r="I327" s="14"/>
      <c r="J327" s="14"/>
      <c r="K327" s="13"/>
      <c r="L327" s="13"/>
      <c r="M327" s="14"/>
      <c r="N327" s="14"/>
      <c r="O327" s="14"/>
      <c r="P327" s="14"/>
      <c r="Q327" s="14"/>
      <c r="R327" s="14"/>
    </row>
    <row r="328" spans="1:18" ht="12.5" x14ac:dyDescent="0.25">
      <c r="A328" s="8"/>
      <c r="B328" s="4"/>
      <c r="C328" s="44"/>
      <c r="D328" s="44"/>
      <c r="E328" s="43"/>
      <c r="F328" s="14"/>
      <c r="G328" s="14"/>
      <c r="H328" s="14"/>
      <c r="I328" s="14"/>
      <c r="J328" s="14"/>
      <c r="K328" s="13"/>
      <c r="L328" s="13"/>
      <c r="M328" s="14"/>
      <c r="N328" s="14"/>
      <c r="O328" s="14"/>
      <c r="P328" s="14"/>
      <c r="Q328" s="14"/>
      <c r="R328" s="14"/>
    </row>
    <row r="329" spans="1:18" ht="12.5" x14ac:dyDescent="0.25">
      <c r="A329" s="8" t="s">
        <v>150</v>
      </c>
      <c r="B329" s="4">
        <v>254</v>
      </c>
      <c r="C329" s="44">
        <f t="shared" si="11"/>
        <v>11552030</v>
      </c>
      <c r="D329" s="44">
        <f t="shared" si="12"/>
        <v>0</v>
      </c>
      <c r="E329" s="43">
        <v>11552030</v>
      </c>
      <c r="F329" s="14"/>
      <c r="G329" s="14"/>
      <c r="H329" s="14"/>
      <c r="I329" s="14"/>
      <c r="J329" s="14"/>
      <c r="K329" s="13">
        <f t="shared" si="15"/>
        <v>11552030</v>
      </c>
      <c r="L329" s="13">
        <f t="shared" si="16"/>
        <v>0</v>
      </c>
      <c r="M329" s="14">
        <v>11552030</v>
      </c>
      <c r="N329" s="14"/>
      <c r="O329" s="14"/>
      <c r="P329" s="14"/>
      <c r="Q329" s="14"/>
      <c r="R329" s="14"/>
    </row>
    <row r="330" spans="1:18" ht="12.5" x14ac:dyDescent="0.25">
      <c r="A330" s="8" t="s">
        <v>450</v>
      </c>
      <c r="B330" s="4">
        <v>354</v>
      </c>
      <c r="C330" s="44">
        <f t="shared" si="11"/>
        <v>0</v>
      </c>
      <c r="D330" s="44">
        <f t="shared" si="12"/>
        <v>0</v>
      </c>
      <c r="E330" s="43"/>
      <c r="F330" s="14"/>
      <c r="G330" s="14"/>
      <c r="H330" s="14"/>
      <c r="I330" s="14"/>
      <c r="J330" s="14"/>
      <c r="K330" s="13">
        <f t="shared" si="15"/>
        <v>0</v>
      </c>
      <c r="L330" s="13">
        <f t="shared" si="16"/>
        <v>0</v>
      </c>
      <c r="M330" s="14"/>
      <c r="N330" s="14"/>
      <c r="O330" s="14"/>
      <c r="P330" s="14"/>
      <c r="Q330" s="14"/>
      <c r="R330" s="14"/>
    </row>
    <row r="331" spans="1:18" ht="12.5" x14ac:dyDescent="0.25">
      <c r="A331" s="8" t="s">
        <v>29</v>
      </c>
      <c r="B331" s="4">
        <v>264</v>
      </c>
      <c r="C331" s="44">
        <f t="shared" si="11"/>
        <v>3071469.97</v>
      </c>
      <c r="D331" s="44">
        <f t="shared" si="12"/>
        <v>0</v>
      </c>
      <c r="E331" s="43">
        <v>3071469.97</v>
      </c>
      <c r="F331" s="14"/>
      <c r="G331" s="14"/>
      <c r="H331" s="14"/>
      <c r="I331" s="14"/>
      <c r="J331" s="14"/>
      <c r="K331" s="13">
        <f t="shared" si="15"/>
        <v>2513594.9700000002</v>
      </c>
      <c r="L331" s="13">
        <f t="shared" si="16"/>
        <v>0</v>
      </c>
      <c r="M331" s="14">
        <v>2513594.9700000002</v>
      </c>
      <c r="N331" s="14"/>
      <c r="O331" s="14"/>
      <c r="P331" s="14"/>
      <c r="Q331" s="14"/>
      <c r="R331" s="14"/>
    </row>
    <row r="332" spans="1:18" ht="12.5" x14ac:dyDescent="0.25">
      <c r="A332" s="8" t="s">
        <v>142</v>
      </c>
      <c r="B332" s="4">
        <v>266</v>
      </c>
      <c r="C332" s="44">
        <f t="shared" si="11"/>
        <v>0</v>
      </c>
      <c r="D332" s="44">
        <f t="shared" si="12"/>
        <v>0</v>
      </c>
      <c r="E332" s="43"/>
      <c r="F332" s="14"/>
      <c r="G332" s="14"/>
      <c r="H332" s="14"/>
      <c r="I332" s="14"/>
      <c r="J332" s="14"/>
      <c r="K332" s="13">
        <f t="shared" si="15"/>
        <v>0</v>
      </c>
      <c r="L332" s="13">
        <f t="shared" si="16"/>
        <v>0</v>
      </c>
      <c r="M332" s="14"/>
      <c r="N332" s="14"/>
      <c r="O332" s="14"/>
      <c r="P332" s="14"/>
      <c r="Q332" s="14"/>
      <c r="R332" s="14"/>
    </row>
    <row r="333" spans="1:18" ht="12.5" x14ac:dyDescent="0.25">
      <c r="A333" s="8" t="s">
        <v>30</v>
      </c>
      <c r="B333" s="4">
        <v>282</v>
      </c>
      <c r="C333" s="44">
        <f t="shared" si="11"/>
        <v>0</v>
      </c>
      <c r="D333" s="44">
        <f t="shared" si="12"/>
        <v>0</v>
      </c>
      <c r="E333" s="43"/>
      <c r="F333" s="14"/>
      <c r="G333" s="14"/>
      <c r="H333" s="14"/>
      <c r="I333" s="14"/>
      <c r="J333" s="14"/>
      <c r="K333" s="13">
        <f t="shared" si="15"/>
        <v>0</v>
      </c>
      <c r="L333" s="13">
        <f t="shared" si="16"/>
        <v>0</v>
      </c>
      <c r="M333" s="14"/>
      <c r="N333" s="14"/>
      <c r="O333" s="14"/>
      <c r="P333" s="14"/>
      <c r="Q333" s="14"/>
      <c r="R333" s="14"/>
    </row>
    <row r="334" spans="1:18" ht="12.5" x14ac:dyDescent="0.25">
      <c r="A334" s="8" t="s">
        <v>145</v>
      </c>
      <c r="B334" s="4">
        <v>290</v>
      </c>
      <c r="C334" s="44">
        <f t="shared" si="11"/>
        <v>449648.43</v>
      </c>
      <c r="D334" s="44">
        <f t="shared" si="12"/>
        <v>0</v>
      </c>
      <c r="E334" s="43">
        <v>449648.43</v>
      </c>
      <c r="F334" s="14"/>
      <c r="G334" s="14"/>
      <c r="H334" s="14"/>
      <c r="I334" s="14"/>
      <c r="J334" s="14"/>
      <c r="K334" s="13">
        <f t="shared" si="15"/>
        <v>449648.43</v>
      </c>
      <c r="L334" s="13">
        <f t="shared" si="16"/>
        <v>0</v>
      </c>
      <c r="M334" s="14">
        <v>449648.43</v>
      </c>
      <c r="N334" s="14"/>
      <c r="O334" s="14"/>
      <c r="P334" s="14"/>
      <c r="Q334" s="14"/>
      <c r="R334" s="14"/>
    </row>
    <row r="335" spans="1:18" ht="12.5" x14ac:dyDescent="0.25">
      <c r="A335" s="8" t="s">
        <v>31</v>
      </c>
      <c r="B335" s="4">
        <v>401</v>
      </c>
      <c r="C335" s="44">
        <f t="shared" si="11"/>
        <v>0</v>
      </c>
      <c r="D335" s="44">
        <f t="shared" si="12"/>
        <v>422844.73</v>
      </c>
      <c r="E335" s="43"/>
      <c r="F335" s="14">
        <v>396989.73</v>
      </c>
      <c r="G335" s="14"/>
      <c r="H335" s="14">
        <v>25855</v>
      </c>
      <c r="I335" s="14"/>
      <c r="J335" s="14"/>
      <c r="K335" s="13">
        <f t="shared" si="15"/>
        <v>0</v>
      </c>
      <c r="L335" s="13">
        <f t="shared" si="16"/>
        <v>536503.52</v>
      </c>
      <c r="M335" s="14"/>
      <c r="N335" s="14">
        <v>536503.52</v>
      </c>
      <c r="O335" s="14"/>
      <c r="P335" s="14"/>
      <c r="Q335" s="14"/>
      <c r="R335" s="14"/>
    </row>
    <row r="336" spans="1:18" ht="12.5" x14ac:dyDescent="0.25">
      <c r="A336" s="8" t="s">
        <v>32</v>
      </c>
      <c r="B336" s="4">
        <v>411</v>
      </c>
      <c r="C336" s="44">
        <f t="shared" si="11"/>
        <v>0</v>
      </c>
      <c r="D336" s="44">
        <f t="shared" si="12"/>
        <v>6776.53</v>
      </c>
      <c r="E336" s="43"/>
      <c r="F336" s="14">
        <v>6776.53</v>
      </c>
      <c r="G336" s="14"/>
      <c r="H336" s="14"/>
      <c r="I336" s="14"/>
      <c r="J336" s="14"/>
      <c r="K336" s="13">
        <f t="shared" si="15"/>
        <v>0</v>
      </c>
      <c r="L336" s="13">
        <f t="shared" si="16"/>
        <v>6776.53</v>
      </c>
      <c r="M336" s="14"/>
      <c r="N336" s="14">
        <v>6776.53</v>
      </c>
      <c r="O336" s="14"/>
      <c r="P336" s="14"/>
      <c r="Q336" s="14"/>
      <c r="R336" s="14"/>
    </row>
    <row r="337" spans="1:18" ht="12.5" x14ac:dyDescent="0.25">
      <c r="A337" s="8" t="s">
        <v>33</v>
      </c>
      <c r="B337" s="4">
        <v>412</v>
      </c>
      <c r="C337" s="44">
        <f t="shared" si="11"/>
        <v>0</v>
      </c>
      <c r="D337" s="44">
        <f t="shared" si="12"/>
        <v>430819.15</v>
      </c>
      <c r="E337" s="43"/>
      <c r="F337" s="14">
        <v>312358.65000000002</v>
      </c>
      <c r="G337" s="14"/>
      <c r="H337" s="14">
        <v>6122.02</v>
      </c>
      <c r="I337" s="14"/>
      <c r="J337" s="14">
        <v>112338.48</v>
      </c>
      <c r="K337" s="13">
        <f t="shared" si="15"/>
        <v>0</v>
      </c>
      <c r="L337" s="13">
        <f t="shared" si="16"/>
        <v>191647.77000000002</v>
      </c>
      <c r="M337" s="14"/>
      <c r="N337" s="14">
        <v>183573.12</v>
      </c>
      <c r="O337" s="14"/>
      <c r="P337" s="14">
        <v>4210.7</v>
      </c>
      <c r="Q337" s="14"/>
      <c r="R337" s="14">
        <v>3863.95</v>
      </c>
    </row>
    <row r="338" spans="1:18" ht="12.5" x14ac:dyDescent="0.25">
      <c r="A338" s="8" t="s">
        <v>34</v>
      </c>
      <c r="B338" s="4">
        <v>413</v>
      </c>
      <c r="C338" s="44">
        <f t="shared" si="11"/>
        <v>0</v>
      </c>
      <c r="D338" s="44">
        <f t="shared" si="12"/>
        <v>121620.12</v>
      </c>
      <c r="E338" s="43"/>
      <c r="F338" s="14">
        <v>97834.83</v>
      </c>
      <c r="G338" s="14"/>
      <c r="H338" s="14">
        <v>23785.29</v>
      </c>
      <c r="I338" s="14"/>
      <c r="J338" s="14"/>
      <c r="K338" s="13">
        <f t="shared" si="15"/>
        <v>0</v>
      </c>
      <c r="L338" s="13">
        <f t="shared" si="16"/>
        <v>143793.45000000001</v>
      </c>
      <c r="M338" s="14"/>
      <c r="N338" s="14">
        <v>120008.16</v>
      </c>
      <c r="O338" s="14"/>
      <c r="P338" s="14">
        <v>23785.29</v>
      </c>
      <c r="Q338" s="14"/>
      <c r="R338" s="14"/>
    </row>
    <row r="339" spans="1:18" ht="12.5" x14ac:dyDescent="0.25">
      <c r="A339" s="8" t="s">
        <v>35</v>
      </c>
      <c r="B339" s="4">
        <v>414</v>
      </c>
      <c r="C339" s="44">
        <f t="shared" si="11"/>
        <v>0</v>
      </c>
      <c r="D339" s="44">
        <f t="shared" si="12"/>
        <v>96101.49</v>
      </c>
      <c r="E339" s="43"/>
      <c r="F339" s="14">
        <v>87514.02</v>
      </c>
      <c r="G339" s="14"/>
      <c r="H339" s="14">
        <v>8587.4699999999993</v>
      </c>
      <c r="I339" s="14"/>
      <c r="J339" s="14"/>
      <c r="K339" s="13">
        <f t="shared" si="15"/>
        <v>0</v>
      </c>
      <c r="L339" s="13">
        <f t="shared" si="16"/>
        <v>13433.329999999998</v>
      </c>
      <c r="M339" s="14"/>
      <c r="N339" s="14">
        <v>4845.8599999999997</v>
      </c>
      <c r="O339" s="14"/>
      <c r="P339" s="14">
        <v>8587.4699999999993</v>
      </c>
      <c r="Q339" s="14"/>
      <c r="R339" s="14"/>
    </row>
    <row r="340" spans="1:18" ht="12.5" x14ac:dyDescent="0.25">
      <c r="A340" s="8" t="s">
        <v>36</v>
      </c>
      <c r="B340" s="4">
        <v>415</v>
      </c>
      <c r="C340" s="44">
        <f t="shared" si="11"/>
        <v>0</v>
      </c>
      <c r="D340" s="44">
        <f t="shared" si="12"/>
        <v>8741.25</v>
      </c>
      <c r="E340" s="43"/>
      <c r="F340" s="14">
        <v>8641.25</v>
      </c>
      <c r="G340" s="14"/>
      <c r="H340" s="14">
        <v>100</v>
      </c>
      <c r="I340" s="14"/>
      <c r="J340" s="14"/>
      <c r="K340" s="13">
        <f t="shared" si="15"/>
        <v>0</v>
      </c>
      <c r="L340" s="13">
        <f t="shared" si="16"/>
        <v>8010</v>
      </c>
      <c r="M340" s="14"/>
      <c r="N340" s="14">
        <v>7910</v>
      </c>
      <c r="O340" s="14"/>
      <c r="P340" s="14">
        <v>100</v>
      </c>
      <c r="Q340" s="14"/>
      <c r="R340" s="14"/>
    </row>
    <row r="341" spans="1:18" ht="12.5" x14ac:dyDescent="0.25">
      <c r="A341" s="8" t="s">
        <v>37</v>
      </c>
      <c r="B341" s="4">
        <v>416</v>
      </c>
      <c r="C341" s="44">
        <f t="shared" ref="C341:D348" si="17">E341+G341+I341</f>
        <v>0</v>
      </c>
      <c r="D341" s="44">
        <f t="shared" si="17"/>
        <v>2628276.0499999998</v>
      </c>
      <c r="E341" s="43"/>
      <c r="F341" s="14">
        <v>1200000</v>
      </c>
      <c r="G341" s="14"/>
      <c r="H341" s="14"/>
      <c r="I341" s="14"/>
      <c r="J341" s="14">
        <v>1428276.05</v>
      </c>
      <c r="K341" s="13">
        <f t="shared" si="15"/>
        <v>0</v>
      </c>
      <c r="L341" s="13">
        <f t="shared" si="16"/>
        <v>66420.23</v>
      </c>
      <c r="M341" s="14"/>
      <c r="N341" s="14"/>
      <c r="O341" s="14"/>
      <c r="P341" s="14"/>
      <c r="Q341" s="14"/>
      <c r="R341" s="14">
        <v>66420.23</v>
      </c>
    </row>
    <row r="342" spans="1:18" ht="12.5" x14ac:dyDescent="0.25">
      <c r="A342" s="8" t="s">
        <v>38</v>
      </c>
      <c r="B342" s="4">
        <v>418</v>
      </c>
      <c r="C342" s="44">
        <f t="shared" si="17"/>
        <v>0</v>
      </c>
      <c r="D342" s="44">
        <f t="shared" si="17"/>
        <v>9592183.8200000003</v>
      </c>
      <c r="E342" s="43"/>
      <c r="F342" s="19">
        <v>949745.8</v>
      </c>
      <c r="G342" s="14"/>
      <c r="H342" s="14"/>
      <c r="I342" s="14"/>
      <c r="J342" s="14">
        <v>8642438.0199999996</v>
      </c>
      <c r="K342" s="13">
        <f t="shared" si="15"/>
        <v>0</v>
      </c>
      <c r="L342" s="13">
        <f t="shared" si="16"/>
        <v>6578140.6499999994</v>
      </c>
      <c r="M342" s="14"/>
      <c r="N342" s="19">
        <v>6279941.3399999999</v>
      </c>
      <c r="O342" s="14"/>
      <c r="P342" s="14"/>
      <c r="Q342" s="14"/>
      <c r="R342" s="14">
        <v>298199.31</v>
      </c>
    </row>
    <row r="343" spans="1:18" ht="12.5" x14ac:dyDescent="0.25">
      <c r="A343" s="8" t="s">
        <v>152</v>
      </c>
      <c r="B343" s="4">
        <v>424</v>
      </c>
      <c r="C343" s="44">
        <f t="shared" si="17"/>
        <v>0</v>
      </c>
      <c r="D343" s="44">
        <f t="shared" si="17"/>
        <v>424820.7</v>
      </c>
      <c r="E343" s="43"/>
      <c r="F343" s="14"/>
      <c r="G343" s="14"/>
      <c r="H343" s="14"/>
      <c r="I343" s="14"/>
      <c r="J343" s="14">
        <v>424820.7</v>
      </c>
      <c r="K343" s="13">
        <f t="shared" si="15"/>
        <v>0</v>
      </c>
      <c r="L343" s="13">
        <f t="shared" si="16"/>
        <v>13823.7</v>
      </c>
      <c r="M343" s="14"/>
      <c r="N343" s="14"/>
      <c r="O343" s="14"/>
      <c r="P343" s="14"/>
      <c r="Q343" s="14"/>
      <c r="R343" s="14">
        <v>13823.7</v>
      </c>
    </row>
    <row r="344" spans="1:18" ht="12.5" x14ac:dyDescent="0.25">
      <c r="A344" s="8" t="s">
        <v>39</v>
      </c>
      <c r="B344" s="4">
        <v>439</v>
      </c>
      <c r="C344" s="44">
        <f t="shared" si="17"/>
        <v>0</v>
      </c>
      <c r="D344" s="44">
        <f t="shared" si="17"/>
        <v>62525.1</v>
      </c>
      <c r="E344" s="43"/>
      <c r="F344" s="14">
        <v>62447.07</v>
      </c>
      <c r="G344" s="14"/>
      <c r="H344" s="14">
        <v>78.03</v>
      </c>
      <c r="I344" s="14"/>
      <c r="J344" s="14"/>
      <c r="K344" s="13">
        <f t="shared" si="15"/>
        <v>0</v>
      </c>
      <c r="L344" s="13">
        <f t="shared" si="16"/>
        <v>23796.720000000001</v>
      </c>
      <c r="M344" s="14"/>
      <c r="N344" s="14">
        <v>23796.720000000001</v>
      </c>
      <c r="O344" s="14"/>
      <c r="P344" s="14"/>
      <c r="Q344" s="14"/>
      <c r="R344" s="14"/>
    </row>
    <row r="345" spans="1:18" ht="12.5" x14ac:dyDescent="0.25">
      <c r="A345" s="8" t="s">
        <v>40</v>
      </c>
      <c r="B345" s="4">
        <v>444</v>
      </c>
      <c r="C345" s="44">
        <f t="shared" si="17"/>
        <v>0</v>
      </c>
      <c r="D345" s="44">
        <f t="shared" si="17"/>
        <v>13787124.15</v>
      </c>
      <c r="E345" s="43"/>
      <c r="F345" s="14">
        <v>13787124.15</v>
      </c>
      <c r="G345" s="14"/>
      <c r="H345" s="14"/>
      <c r="I345" s="14"/>
      <c r="J345" s="14"/>
      <c r="K345" s="13">
        <f t="shared" si="15"/>
        <v>0</v>
      </c>
      <c r="L345" s="13">
        <f t="shared" si="16"/>
        <v>17108660.649999999</v>
      </c>
      <c r="M345" s="14"/>
      <c r="N345" s="14">
        <v>17108660.649999999</v>
      </c>
      <c r="O345" s="14"/>
      <c r="P345" s="14"/>
      <c r="Q345" s="14"/>
      <c r="R345" s="14"/>
    </row>
    <row r="346" spans="1:18" ht="12.5" x14ac:dyDescent="0.25">
      <c r="A346" s="8" t="s">
        <v>41</v>
      </c>
      <c r="B346" s="4">
        <v>451</v>
      </c>
      <c r="C346" s="44">
        <f t="shared" si="17"/>
        <v>0</v>
      </c>
      <c r="D346" s="44">
        <f t="shared" si="17"/>
        <v>30381423.5</v>
      </c>
      <c r="E346" s="43"/>
      <c r="F346" s="14">
        <v>30381423.5</v>
      </c>
      <c r="G346" s="14"/>
      <c r="H346" s="14"/>
      <c r="I346" s="14"/>
      <c r="J346" s="14"/>
      <c r="K346" s="13">
        <f t="shared" si="15"/>
        <v>0</v>
      </c>
      <c r="L346" s="13">
        <f t="shared" si="16"/>
        <v>29484534.760000002</v>
      </c>
      <c r="M346" s="14"/>
      <c r="N346" s="14">
        <v>29484534.760000002</v>
      </c>
      <c r="O346" s="14"/>
      <c r="P346" s="14"/>
      <c r="Q346" s="14"/>
      <c r="R346" s="14"/>
    </row>
    <row r="347" spans="1:18" ht="12.5" x14ac:dyDescent="0.25">
      <c r="A347" s="8" t="s">
        <v>156</v>
      </c>
      <c r="B347" s="4">
        <v>455</v>
      </c>
      <c r="C347" s="44">
        <f t="shared" si="17"/>
        <v>0</v>
      </c>
      <c r="D347" s="44">
        <f t="shared" si="17"/>
        <v>605463</v>
      </c>
      <c r="E347" s="43"/>
      <c r="F347" s="14">
        <v>605463</v>
      </c>
      <c r="G347" s="14"/>
      <c r="H347" s="14"/>
      <c r="I347" s="14"/>
      <c r="J347" s="14"/>
      <c r="K347" s="13">
        <f t="shared" si="15"/>
        <v>0</v>
      </c>
      <c r="L347" s="13">
        <f t="shared" si="16"/>
        <v>500000</v>
      </c>
      <c r="M347" s="14"/>
      <c r="N347" s="14">
        <v>500000</v>
      </c>
      <c r="O347" s="14"/>
      <c r="P347" s="14"/>
      <c r="Q347" s="14"/>
      <c r="R347" s="14"/>
    </row>
    <row r="348" spans="1:18" ht="12.5" x14ac:dyDescent="0.25">
      <c r="A348" s="8" t="s">
        <v>42</v>
      </c>
      <c r="B348" s="4">
        <v>501</v>
      </c>
      <c r="C348" s="44">
        <f t="shared" si="17"/>
        <v>0</v>
      </c>
      <c r="D348" s="44">
        <f t="shared" si="17"/>
        <v>35096673.039999999</v>
      </c>
      <c r="E348" s="43"/>
      <c r="F348" s="14">
        <v>34919805.289999999</v>
      </c>
      <c r="G348" s="14"/>
      <c r="H348" s="14">
        <v>176867.75</v>
      </c>
      <c r="I348" s="14"/>
      <c r="J348" s="14"/>
      <c r="K348" s="13">
        <f t="shared" si="15"/>
        <v>0</v>
      </c>
      <c r="L348" s="13">
        <f>N348+P348+R348+54515.2</f>
        <v>24388967.02</v>
      </c>
      <c r="M348" s="14"/>
      <c r="N348" s="14">
        <v>24110342.5</v>
      </c>
      <c r="O348" s="14"/>
      <c r="P348" s="14">
        <v>224109.32</v>
      </c>
      <c r="Q348" s="14"/>
      <c r="R348" s="14"/>
    </row>
    <row r="349" spans="1:18" ht="12.5" x14ac:dyDescent="0.25">
      <c r="A349" s="8"/>
      <c r="B349" s="4"/>
      <c r="C349" s="44"/>
      <c r="D349" s="44"/>
      <c r="E349" s="43">
        <v>0</v>
      </c>
      <c r="F349" s="14"/>
      <c r="G349" s="14"/>
      <c r="H349" s="14"/>
      <c r="I349" s="14"/>
      <c r="J349" s="14"/>
      <c r="K349" s="13"/>
      <c r="L349" s="13"/>
      <c r="M349" s="14"/>
      <c r="N349" s="14"/>
      <c r="O349" s="14"/>
      <c r="P349" s="14"/>
      <c r="Q349" s="14"/>
      <c r="R349" s="14"/>
    </row>
    <row r="350" spans="1:18" ht="12.5" x14ac:dyDescent="0.25">
      <c r="A350" s="8"/>
      <c r="B350" s="4"/>
      <c r="C350" s="44"/>
      <c r="D350" s="44"/>
      <c r="E350" s="43"/>
      <c r="F350" s="12"/>
      <c r="G350" s="12"/>
      <c r="H350" s="12"/>
      <c r="I350" s="12"/>
      <c r="J350" s="12"/>
      <c r="K350" s="12"/>
      <c r="L350" s="12"/>
      <c r="M350" s="14"/>
      <c r="N350" s="12"/>
      <c r="O350" s="12"/>
      <c r="P350" s="12"/>
      <c r="Q350" s="12"/>
      <c r="R350" s="12"/>
    </row>
    <row r="351" spans="1:18" ht="13.5" thickBot="1" x14ac:dyDescent="0.35">
      <c r="A351" s="4"/>
      <c r="B351" s="63" t="s">
        <v>106</v>
      </c>
      <c r="C351" s="47">
        <f t="shared" ref="C351:R351" si="18">SUM(C272:C349)</f>
        <v>102861729.06</v>
      </c>
      <c r="D351" s="47">
        <f t="shared" si="18"/>
        <v>102861729.06</v>
      </c>
      <c r="E351" s="61">
        <f t="shared" si="18"/>
        <v>92002815.300000012</v>
      </c>
      <c r="F351" s="15">
        <f t="shared" si="18"/>
        <v>92002815.300000012</v>
      </c>
      <c r="G351" s="15">
        <f t="shared" si="18"/>
        <v>251040.51</v>
      </c>
      <c r="H351" s="15">
        <f t="shared" si="18"/>
        <v>251040.51</v>
      </c>
      <c r="I351" s="15">
        <f t="shared" si="18"/>
        <v>10607873.25</v>
      </c>
      <c r="J351" s="15">
        <f t="shared" si="18"/>
        <v>10607873.249999998</v>
      </c>
      <c r="K351" s="15">
        <f t="shared" si="18"/>
        <v>86201396.400000006</v>
      </c>
      <c r="L351" s="15">
        <f t="shared" si="18"/>
        <v>85710235.849999994</v>
      </c>
      <c r="M351" s="15">
        <f t="shared" si="18"/>
        <v>85623934.160000011</v>
      </c>
      <c r="N351" s="15">
        <f t="shared" si="18"/>
        <v>85012620.680000007</v>
      </c>
      <c r="O351" s="15">
        <f t="shared" si="18"/>
        <v>195155.05</v>
      </c>
      <c r="P351" s="15">
        <f t="shared" si="18"/>
        <v>260792.78</v>
      </c>
      <c r="Q351" s="15">
        <f t="shared" si="18"/>
        <v>382307.19</v>
      </c>
      <c r="R351" s="15">
        <f t="shared" si="18"/>
        <v>382307.19</v>
      </c>
    </row>
    <row r="352" spans="1:18" ht="13.5" thickTop="1" x14ac:dyDescent="0.3">
      <c r="A352" s="4"/>
      <c r="B352" s="63"/>
      <c r="C352" s="46"/>
      <c r="D352" s="46"/>
      <c r="E352" s="6"/>
      <c r="F352" s="6"/>
      <c r="G352" s="6"/>
      <c r="H352" s="6"/>
      <c r="I352" s="6"/>
      <c r="J352" s="6"/>
      <c r="K352" s="6"/>
      <c r="L352" s="6"/>
      <c r="M352" s="6"/>
      <c r="N352" s="6"/>
      <c r="O352" s="6"/>
      <c r="P352" s="6"/>
      <c r="Q352" s="6"/>
      <c r="R352" s="6"/>
    </row>
    <row r="353" spans="1:18" x14ac:dyDescent="0.3">
      <c r="A353" s="4"/>
      <c r="B353" s="63"/>
      <c r="C353" s="46"/>
      <c r="D353" s="46"/>
      <c r="E353" s="6"/>
      <c r="F353" s="6"/>
      <c r="G353" s="6"/>
      <c r="H353" s="6"/>
      <c r="I353" s="6"/>
      <c r="J353" s="6"/>
      <c r="K353" s="6"/>
      <c r="L353" s="6"/>
      <c r="M353" s="6"/>
      <c r="N353" s="6"/>
      <c r="O353" s="6"/>
      <c r="P353" s="6"/>
      <c r="Q353" s="6"/>
      <c r="R353" s="6"/>
    </row>
    <row r="354" spans="1:18" x14ac:dyDescent="0.3">
      <c r="A354" s="4"/>
      <c r="B354" s="63"/>
      <c r="C354" s="46"/>
      <c r="D354" s="46"/>
      <c r="E354" s="6"/>
      <c r="F354" s="6"/>
      <c r="G354" s="6"/>
      <c r="H354" s="6"/>
      <c r="I354" s="6"/>
      <c r="J354" s="6"/>
      <c r="K354" s="6"/>
      <c r="L354" s="6"/>
      <c r="M354" s="6"/>
      <c r="N354" s="6"/>
      <c r="O354" s="6"/>
      <c r="P354" s="6"/>
      <c r="Q354" s="6"/>
      <c r="R354" s="6"/>
    </row>
    <row r="355" spans="1:18" x14ac:dyDescent="0.3">
      <c r="A355" s="4"/>
      <c r="B355" s="63"/>
      <c r="C355" s="46"/>
      <c r="D355" s="46"/>
      <c r="E355" s="6"/>
      <c r="F355" s="6"/>
      <c r="G355" s="6"/>
      <c r="H355" s="6"/>
      <c r="I355" s="6"/>
      <c r="J355" s="6"/>
      <c r="K355" s="6"/>
      <c r="L355" s="6"/>
      <c r="M355" s="6"/>
      <c r="N355" s="6"/>
      <c r="O355" s="6"/>
      <c r="P355" s="6"/>
      <c r="Q355" s="6"/>
      <c r="R355" s="6"/>
    </row>
    <row r="356" spans="1:18" x14ac:dyDescent="0.3">
      <c r="L356" s="29"/>
    </row>
    <row r="357" spans="1:18" x14ac:dyDescent="0.3">
      <c r="F357" s="45"/>
    </row>
    <row r="358" spans="1:18" ht="15.5" x14ac:dyDescent="0.35">
      <c r="A358" s="56" t="s">
        <v>491</v>
      </c>
      <c r="B358" s="65" t="s">
        <v>442</v>
      </c>
      <c r="C358" s="3"/>
      <c r="D358" s="3"/>
      <c r="E358" s="3"/>
      <c r="F358" s="3"/>
      <c r="G358" s="8"/>
      <c r="H358" s="8"/>
    </row>
    <row r="359" spans="1:18" ht="15.5" x14ac:dyDescent="0.35">
      <c r="A359" s="3"/>
      <c r="B359" s="2"/>
      <c r="C359" s="2"/>
      <c r="D359" s="2"/>
      <c r="E359" s="2"/>
      <c r="F359" s="2"/>
      <c r="G359" s="4"/>
      <c r="H359" s="4" t="s">
        <v>105</v>
      </c>
    </row>
    <row r="360" spans="1:18" ht="15.5" x14ac:dyDescent="0.35">
      <c r="A360" s="67" t="s">
        <v>489</v>
      </c>
      <c r="B360" s="68"/>
      <c r="C360" s="385" t="s">
        <v>485</v>
      </c>
      <c r="D360" s="385"/>
      <c r="E360" s="2"/>
      <c r="F360" s="2"/>
      <c r="G360" s="4"/>
      <c r="H360" s="4" t="s">
        <v>6</v>
      </c>
    </row>
    <row r="361" spans="1:18" ht="15.5" x14ac:dyDescent="0.35">
      <c r="A361" s="4" t="s">
        <v>492</v>
      </c>
      <c r="B361" s="2"/>
      <c r="C361" s="343" t="s">
        <v>6</v>
      </c>
      <c r="D361" s="343"/>
      <c r="E361" s="2"/>
      <c r="F361" s="2"/>
      <c r="G361" s="2"/>
      <c r="H361" s="2"/>
      <c r="I361" s="4"/>
      <c r="J361" s="4"/>
      <c r="K361" t="s">
        <v>105</v>
      </c>
    </row>
    <row r="362" spans="1:18" ht="15.5" x14ac:dyDescent="0.35">
      <c r="B362" s="2"/>
      <c r="C362" s="2"/>
      <c r="D362" s="2"/>
      <c r="E362" s="2"/>
      <c r="F362" s="2"/>
      <c r="G362" s="2"/>
      <c r="H362" s="2"/>
      <c r="I362" s="4"/>
      <c r="J362" s="4"/>
      <c r="K362" t="s">
        <v>6</v>
      </c>
    </row>
  </sheetData>
  <mergeCells count="30">
    <mergeCell ref="C360:D360"/>
    <mergeCell ref="C361:D361"/>
    <mergeCell ref="C270:D270"/>
    <mergeCell ref="A264:D264"/>
    <mergeCell ref="A265:D265"/>
    <mergeCell ref="A266:D266"/>
    <mergeCell ref="I270:J270"/>
    <mergeCell ref="A267:D267"/>
    <mergeCell ref="A268:D268"/>
    <mergeCell ref="E8:F8"/>
    <mergeCell ref="G8:H8"/>
    <mergeCell ref="I8:J8"/>
    <mergeCell ref="E270:F270"/>
    <mergeCell ref="G270:H270"/>
    <mergeCell ref="A263:D263"/>
    <mergeCell ref="Q270:R270"/>
    <mergeCell ref="M8:N8"/>
    <mergeCell ref="O8:P8"/>
    <mergeCell ref="Q8:R8"/>
    <mergeCell ref="M270:N270"/>
    <mergeCell ref="O270:P270"/>
    <mergeCell ref="A6:D6"/>
    <mergeCell ref="C225:D225"/>
    <mergeCell ref="C224:D224"/>
    <mergeCell ref="C8:D8"/>
    <mergeCell ref="A1:D1"/>
    <mergeCell ref="A2:D2"/>
    <mergeCell ref="A3:D3"/>
    <mergeCell ref="A4:D4"/>
    <mergeCell ref="A5:D5"/>
  </mergeCells>
  <phoneticPr fontId="0" type="noConversion"/>
  <pageMargins left="0.75" right="0.75" top="0.75" bottom="1" header="0.511811023622047" footer="0.511811023622047"/>
  <pageSetup paperSize="5" orientation="portrait"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17</vt:i4>
      </vt:variant>
    </vt:vector>
  </HeadingPairs>
  <TitlesOfParts>
    <vt:vector size="40" baseType="lpstr">
      <vt:lpstr>Conso CF</vt:lpstr>
      <vt:lpstr>Conso BS</vt:lpstr>
      <vt:lpstr>Conso ISE</vt:lpstr>
      <vt:lpstr>Flyleaf</vt:lpstr>
      <vt:lpstr>A - SMR</vt:lpstr>
      <vt:lpstr>B-1 (Detailed SFPos - GF)</vt:lpstr>
      <vt:lpstr>B-2 (Detailed SFPos - SEF)</vt:lpstr>
      <vt:lpstr>B-3 (Detailed SFPos - TF)</vt:lpstr>
      <vt:lpstr>C-1 (Detailed SFPerf - GF)</vt:lpstr>
      <vt:lpstr>C-2 (Detailed SFPerf - SEF)</vt:lpstr>
      <vt:lpstr>C-3 (Detailed SFPerf - TF)</vt:lpstr>
      <vt:lpstr>D-1 (GF)</vt:lpstr>
      <vt:lpstr>D-2 (SEF)</vt:lpstr>
      <vt:lpstr>D-3 (TF)</vt:lpstr>
      <vt:lpstr>E-1(GF)</vt:lpstr>
      <vt:lpstr>E-2(SEF)</vt:lpstr>
      <vt:lpstr>E-3(TF)</vt:lpstr>
      <vt:lpstr>F - SAAOB</vt:lpstr>
      <vt:lpstr>G-1</vt:lpstr>
      <vt:lpstr>G-2</vt:lpstr>
      <vt:lpstr>F-2 (first)</vt:lpstr>
      <vt:lpstr>Summary -Semi</vt:lpstr>
      <vt:lpstr>Trialbalance</vt:lpstr>
      <vt:lpstr>'A - SMR'!Print_Area</vt:lpstr>
      <vt:lpstr>'B-1 (Detailed SFPos - GF)'!Print_Area</vt:lpstr>
      <vt:lpstr>'B-2 (Detailed SFPos - SEF)'!Print_Area</vt:lpstr>
      <vt:lpstr>'B-3 (Detailed SFPos - TF)'!Print_Area</vt:lpstr>
      <vt:lpstr>'C-1 (Detailed SFPerf - GF)'!Print_Area</vt:lpstr>
      <vt:lpstr>'C-2 (Detailed SFPerf - SEF)'!Print_Area</vt:lpstr>
      <vt:lpstr>'C-3 (Detailed SFPerf - TF)'!Print_Area</vt:lpstr>
      <vt:lpstr>'Conso BS'!Print_Area</vt:lpstr>
      <vt:lpstr>'Conso CF'!Print_Area</vt:lpstr>
      <vt:lpstr>'Conso ISE'!Print_Area</vt:lpstr>
      <vt:lpstr>'D-1 (GF)'!Print_Area</vt:lpstr>
      <vt:lpstr>'D-2 (SEF)'!Print_Area</vt:lpstr>
      <vt:lpstr>'E-1(GF)'!Print_Area</vt:lpstr>
      <vt:lpstr>'F - SAAOB'!Print_Area</vt:lpstr>
      <vt:lpstr>Flyleaf!Print_Area</vt:lpstr>
      <vt:lpstr>'G-1'!Print_Area</vt:lpstr>
      <vt:lpstr>'G-2'!Print_Area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Annexes</dc:title>
  <dc:creator>COA - Municipality of Baggao, Cagayan</dc:creator>
  <cp:lastModifiedBy>Ma. Lourdes M. Angue</cp:lastModifiedBy>
  <cp:lastPrinted>2026-10-17T13:43:57Z</cp:lastPrinted>
  <dcterms:created xsi:type="dcterms:W3CDTF">2003-01-03T18:42:48Z</dcterms:created>
  <dcterms:modified xsi:type="dcterms:W3CDTF">2026-10-17T13:44:59Z</dcterms:modified>
</cp:coreProperties>
</file>